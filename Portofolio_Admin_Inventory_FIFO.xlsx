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Mentah" sheetId="1" state="visible" r:id="rId3"/>
    <sheet name="Latihan_Isi_Sendiri" sheetId="2" state="visible" r:id="rId4"/>
    <sheet name="Kunci_Jawaban" sheetId="3" state="visible" r:id="rId5"/>
    <sheet name="Rekap_Ringkasan" sheetId="4" state="visible" r:id="rId6"/>
    <sheet name="Panduan_Rumus" sheetId="5" state="visible" r:id="rId7"/>
    <sheet name="Latihan_Lookup" sheetId="6" state="visible" r:id="rId8"/>
  </sheets>
  <definedNames>
    <definedName function="false" hidden="true" localSheetId="0" name="_xlnm._FilterDatabase" vbProcedure="false">Data_Mentah!$A$1:$I$240</definedName>
    <definedName function="false" hidden="true" localSheetId="2" name="_xlnm._FilterDatabase" vbProcedure="false">Kunci_Jawaban!$A$1:$L$240</definedName>
    <definedName function="false" hidden="true" localSheetId="1" name="_xlnm._FilterDatabase" vbProcedure="false">Latihan_Isi_Sendiri!$A$1:$L$240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<sst xmlns="http://schemas.openxmlformats.org/spreadsheetml/2006/main" count="5130" uniqueCount="226">
  <si>
    <t xml:space="preserve">Tanggal</t>
  </si>
  <si>
    <t xml:space="preserve">Kode Barang</t>
  </si>
  <si>
    <t xml:space="preserve">Nama Barang</t>
  </si>
  <si>
    <t xml:space="preserve">Kategori</t>
  </si>
  <si>
    <t xml:space="preserve">Satuan</t>
  </si>
  <si>
    <t xml:space="preserve">Jenis Transaksi</t>
  </si>
  <si>
    <t xml:space="preserve">Qty</t>
  </si>
  <si>
    <t xml:space="preserve">Harga Beli/Unit (khusus Masuk)</t>
  </si>
  <si>
    <t xml:space="preserve">Gudang</t>
  </si>
  <si>
    <t xml:space="preserve">2024-01-03</t>
  </si>
  <si>
    <t xml:space="preserve">BB-001</t>
  </si>
  <si>
    <t xml:space="preserve">Plat Baja 2mm</t>
  </si>
  <si>
    <t xml:space="preserve">Bahan Baku</t>
  </si>
  <si>
    <t xml:space="preserve">Kg</t>
  </si>
  <si>
    <t xml:space="preserve">Masuk</t>
  </si>
  <si>
    <t xml:space="preserve">Gudang Utama</t>
  </si>
  <si>
    <t xml:space="preserve">2024-01-07</t>
  </si>
  <si>
    <t xml:space="preserve">Keluar</t>
  </si>
  <si>
    <t xml:space="preserve">2024-01-10</t>
  </si>
  <si>
    <t xml:space="preserve">2024-01-12</t>
  </si>
  <si>
    <t xml:space="preserve">2024-01-15</t>
  </si>
  <si>
    <t xml:space="preserve">2024-01-20</t>
  </si>
  <si>
    <t xml:space="preserve">2024-01-26</t>
  </si>
  <si>
    <t xml:space="preserve">2024-02-01</t>
  </si>
  <si>
    <t xml:space="preserve">2024-02-05</t>
  </si>
  <si>
    <t xml:space="preserve">2024-02-06</t>
  </si>
  <si>
    <t xml:space="preserve">2024-02-11</t>
  </si>
  <si>
    <t xml:space="preserve">2024-02-13</t>
  </si>
  <si>
    <t xml:space="preserve">2024-02-19</t>
  </si>
  <si>
    <t xml:space="preserve">2024-02-23</t>
  </si>
  <si>
    <t xml:space="preserve">2024-02-27</t>
  </si>
  <si>
    <t xml:space="preserve">2024-03-03</t>
  </si>
  <si>
    <t xml:space="preserve">2024-03-08</t>
  </si>
  <si>
    <t xml:space="preserve">2024-03-13</t>
  </si>
  <si>
    <t xml:space="preserve">2024-03-15</t>
  </si>
  <si>
    <t xml:space="preserve">2024-03-18</t>
  </si>
  <si>
    <t xml:space="preserve">2024-03-19</t>
  </si>
  <si>
    <t xml:space="preserve">2024-03-25</t>
  </si>
  <si>
    <t xml:space="preserve">2024-03-29</t>
  </si>
  <si>
    <t xml:space="preserve">2024-03-30</t>
  </si>
  <si>
    <t xml:space="preserve">2024-03-31</t>
  </si>
  <si>
    <t xml:space="preserve">2024-04-06</t>
  </si>
  <si>
    <t xml:space="preserve">2024-04-12</t>
  </si>
  <si>
    <t xml:space="preserve">2024-04-14</t>
  </si>
  <si>
    <t xml:space="preserve">2024-04-19</t>
  </si>
  <si>
    <t xml:space="preserve">2024-04-20</t>
  </si>
  <si>
    <t xml:space="preserve">2024-04-22</t>
  </si>
  <si>
    <t xml:space="preserve">2024-04-25</t>
  </si>
  <si>
    <t xml:space="preserve">2024-04-30</t>
  </si>
  <si>
    <t xml:space="preserve">2024-05-02</t>
  </si>
  <si>
    <t xml:space="preserve">2024-05-04</t>
  </si>
  <si>
    <t xml:space="preserve">2024-05-09</t>
  </si>
  <si>
    <t xml:space="preserve">2024-05-15</t>
  </si>
  <si>
    <t xml:space="preserve">2024-05-19</t>
  </si>
  <si>
    <t xml:space="preserve">2024-05-21</t>
  </si>
  <si>
    <t xml:space="preserve">2024-05-25</t>
  </si>
  <si>
    <t xml:space="preserve">2024-05-30</t>
  </si>
  <si>
    <t xml:space="preserve">2024-06-05</t>
  </si>
  <si>
    <t xml:space="preserve">2024-06-07</t>
  </si>
  <si>
    <t xml:space="preserve">2024-06-12</t>
  </si>
  <si>
    <t xml:space="preserve">2024-06-17</t>
  </si>
  <si>
    <t xml:space="preserve">2024-01-04</t>
  </si>
  <si>
    <t xml:space="preserve">BB-002</t>
  </si>
  <si>
    <t xml:space="preserve">Resin Polimer</t>
  </si>
  <si>
    <t xml:space="preserve">2024-01-08</t>
  </si>
  <si>
    <t xml:space="preserve">2024-01-16</t>
  </si>
  <si>
    <t xml:space="preserve">2024-01-21</t>
  </si>
  <si>
    <t xml:space="preserve">2024-01-24</t>
  </si>
  <si>
    <t xml:space="preserve">2024-01-28</t>
  </si>
  <si>
    <t xml:space="preserve">2024-01-30</t>
  </si>
  <si>
    <t xml:space="preserve">2024-01-31</t>
  </si>
  <si>
    <t xml:space="preserve">2024-02-02</t>
  </si>
  <si>
    <t xml:space="preserve">2024-02-07</t>
  </si>
  <si>
    <t xml:space="preserve">2024-02-12</t>
  </si>
  <si>
    <t xml:space="preserve">2024-02-16</t>
  </si>
  <si>
    <t xml:space="preserve">2024-02-21</t>
  </si>
  <si>
    <t xml:space="preserve">2024-03-02</t>
  </si>
  <si>
    <t xml:space="preserve">2024-03-12</t>
  </si>
  <si>
    <t xml:space="preserve">2024-03-16</t>
  </si>
  <si>
    <t xml:space="preserve">2024-03-21</t>
  </si>
  <si>
    <t xml:space="preserve">2024-04-04</t>
  </si>
  <si>
    <t xml:space="preserve">2024-04-10</t>
  </si>
  <si>
    <t xml:space="preserve">2024-04-15</t>
  </si>
  <si>
    <t xml:space="preserve">2024-04-21</t>
  </si>
  <si>
    <t xml:space="preserve">2024-04-26</t>
  </si>
  <si>
    <t xml:space="preserve">2024-04-28</t>
  </si>
  <si>
    <t xml:space="preserve">2024-05-01</t>
  </si>
  <si>
    <t xml:space="preserve">2024-05-10</t>
  </si>
  <si>
    <t xml:space="preserve">2024-05-16</t>
  </si>
  <si>
    <t xml:space="preserve">2024-05-17</t>
  </si>
  <si>
    <t xml:space="preserve">2024-05-22</t>
  </si>
  <si>
    <t xml:space="preserve">2024-05-28</t>
  </si>
  <si>
    <t xml:space="preserve">2024-05-29</t>
  </si>
  <si>
    <t xml:space="preserve">2024-06-03</t>
  </si>
  <si>
    <t xml:space="preserve">2024-06-11</t>
  </si>
  <si>
    <t xml:space="preserve">2024-06-14</t>
  </si>
  <si>
    <t xml:space="preserve">2024-06-15</t>
  </si>
  <si>
    <t xml:space="preserve">2024-06-18</t>
  </si>
  <si>
    <t xml:space="preserve">2024-06-21</t>
  </si>
  <si>
    <t xml:space="preserve">2024-06-26</t>
  </si>
  <si>
    <t xml:space="preserve">2024-06-28</t>
  </si>
  <si>
    <t xml:space="preserve">CH-001</t>
  </si>
  <si>
    <t xml:space="preserve">Cat Epoxy</t>
  </si>
  <si>
    <t xml:space="preserve">Kimia</t>
  </si>
  <si>
    <t xml:space="preserve">Liter</t>
  </si>
  <si>
    <t xml:space="preserve">2024-01-11</t>
  </si>
  <si>
    <t xml:space="preserve">2024-01-14</t>
  </si>
  <si>
    <t xml:space="preserve">2024-01-19</t>
  </si>
  <si>
    <t xml:space="preserve">2024-01-22</t>
  </si>
  <si>
    <t xml:space="preserve">2024-02-03</t>
  </si>
  <si>
    <t xml:space="preserve">2024-02-17</t>
  </si>
  <si>
    <t xml:space="preserve">2024-02-20</t>
  </si>
  <si>
    <t xml:space="preserve">2024-02-25</t>
  </si>
  <si>
    <t xml:space="preserve">2024-03-01</t>
  </si>
  <si>
    <t xml:space="preserve">2024-03-06</t>
  </si>
  <si>
    <t xml:space="preserve">2024-03-07</t>
  </si>
  <si>
    <t xml:space="preserve">2024-03-09</t>
  </si>
  <si>
    <t xml:space="preserve">2024-03-14</t>
  </si>
  <si>
    <t xml:space="preserve">2024-03-20</t>
  </si>
  <si>
    <t xml:space="preserve">2024-03-23</t>
  </si>
  <si>
    <t xml:space="preserve">2024-03-28</t>
  </si>
  <si>
    <t xml:space="preserve">2024-04-01</t>
  </si>
  <si>
    <t xml:space="preserve">2024-04-05</t>
  </si>
  <si>
    <t xml:space="preserve">2024-04-09</t>
  </si>
  <si>
    <t xml:space="preserve">2024-04-18</t>
  </si>
  <si>
    <t xml:space="preserve">2024-04-27</t>
  </si>
  <si>
    <t xml:space="preserve">2024-04-29</t>
  </si>
  <si>
    <t xml:space="preserve">2024-05-03</t>
  </si>
  <si>
    <t xml:space="preserve">2024-05-07</t>
  </si>
  <si>
    <t xml:space="preserve">2024-05-12</t>
  </si>
  <si>
    <t xml:space="preserve">2024-05-18</t>
  </si>
  <si>
    <t xml:space="preserve">2024-05-24</t>
  </si>
  <si>
    <t xml:space="preserve">2024-05-27</t>
  </si>
  <si>
    <t xml:space="preserve">2024-06-02</t>
  </si>
  <si>
    <t xml:space="preserve">2024-01-05</t>
  </si>
  <si>
    <t xml:space="preserve">KM-001</t>
  </si>
  <si>
    <t xml:space="preserve">Kardus Box L</t>
  </si>
  <si>
    <t xml:space="preserve">Kemasan</t>
  </si>
  <si>
    <t xml:space="preserve">Pcs</t>
  </si>
  <si>
    <t xml:space="preserve">2024-01-09</t>
  </si>
  <si>
    <t xml:space="preserve">2024-01-13</t>
  </si>
  <si>
    <t xml:space="preserve">2024-01-17</t>
  </si>
  <si>
    <t xml:space="preserve">2024-01-29</t>
  </si>
  <si>
    <t xml:space="preserve">2024-02-04</t>
  </si>
  <si>
    <t xml:space="preserve">2024-02-10</t>
  </si>
  <si>
    <t xml:space="preserve">2024-02-22</t>
  </si>
  <si>
    <t xml:space="preserve">2024-03-17</t>
  </si>
  <si>
    <t xml:space="preserve">2024-03-27</t>
  </si>
  <si>
    <t xml:space="preserve">2024-04-03</t>
  </si>
  <si>
    <t xml:space="preserve">2024-04-13</t>
  </si>
  <si>
    <t xml:space="preserve">2024-04-24</t>
  </si>
  <si>
    <t xml:space="preserve">2024-05-08</t>
  </si>
  <si>
    <t xml:space="preserve">2024-05-26</t>
  </si>
  <si>
    <t xml:space="preserve">2024-06-01</t>
  </si>
  <si>
    <t xml:space="preserve">2024-01-02</t>
  </si>
  <si>
    <t xml:space="preserve">SP-001</t>
  </si>
  <si>
    <t xml:space="preserve">Bearing 6205</t>
  </si>
  <si>
    <t xml:space="preserve">Sparepart</t>
  </si>
  <si>
    <t xml:space="preserve">2024-01-25</t>
  </si>
  <si>
    <t xml:space="preserve">2024-01-27</t>
  </si>
  <si>
    <t xml:space="preserve">2024-02-08</t>
  </si>
  <si>
    <t xml:space="preserve">2024-02-18</t>
  </si>
  <si>
    <t xml:space="preserve">2024-02-28</t>
  </si>
  <si>
    <t xml:space="preserve">2024-02-29</t>
  </si>
  <si>
    <t xml:space="preserve">2024-03-24</t>
  </si>
  <si>
    <t xml:space="preserve">2024-04-11</t>
  </si>
  <si>
    <t xml:space="preserve">2024-04-16</t>
  </si>
  <si>
    <t xml:space="preserve">2024-05-05</t>
  </si>
  <si>
    <t xml:space="preserve">2024-05-13</t>
  </si>
  <si>
    <t xml:space="preserve">2024-05-31</t>
  </si>
  <si>
    <t xml:space="preserve">2024-06-06</t>
  </si>
  <si>
    <t xml:space="preserve">2024-06-08</t>
  </si>
  <si>
    <t xml:space="preserve">2024-06-16</t>
  </si>
  <si>
    <t xml:space="preserve">Saldo Stok Berjalan (Qty)</t>
  </si>
  <si>
    <t xml:space="preserve">Sisa Qty Layer Ini (per Tgl Laporan)</t>
  </si>
  <si>
    <t xml:space="preserve">Nilai Sisa Persediaan FIFO (Rp)</t>
  </si>
  <si>
    <t xml:space="preserve">Tanggal Laporan (acuan) &gt;&gt;</t>
  </si>
  <si>
    <t xml:space="preserve">2024-12-31</t>
  </si>
  <si>
    <t xml:space="preserve">Legenda: sel kuning = kolom yang harus diisi sendiri. Data sudah terurut per Kode Barang lalu Tanggal - syarat wajib supaya rumus SUMIFS 'expanding range' ($G$2:G2 diseret ke bawah) bisa menghitung saldo &amp; sisa layer FIFO dengan benar. Lihat sheet Panduan_Rumus untuk penjelasan konsep FIFO-nya.</t>
  </si>
  <si>
    <t xml:space="preserve">REKAP PERSEDIAAN (METODE FIFO) - PT MAJUJAYA MANUFAKTUR</t>
  </si>
  <si>
    <t xml:space="preserve">Sumber data: sheet Kunci_Jawaban -- Nilai persediaan akhir dihitung dengan metode FIFO (First In First Out)</t>
  </si>
  <si>
    <t xml:space="preserve">Total Qty Masuk</t>
  </si>
  <si>
    <t xml:space="preserve">Total Qty Keluar</t>
  </si>
  <si>
    <t xml:space="preserve">Saldo Akhir (Qty)</t>
  </si>
  <si>
    <t xml:space="preserve">Nilai Persediaan Akhir FIFO (Rp)</t>
  </si>
  <si>
    <t xml:space="preserve">TOTAL NILAI PERSEDIAAN AKHIR</t>
  </si>
  <si>
    <t xml:space="preserve">Kolom / Tugas</t>
  </si>
  <si>
    <t xml:space="preserve">Rumus &amp; Cara Kerja</t>
  </si>
  <si>
    <t xml:space="preserve">Untuk apa skill ini di dunia kerja / bullet CV</t>
  </si>
  <si>
    <t xml:space="preserve">Konsep dasar</t>
  </si>
  <si>
    <t xml:space="preserve">Data sudah diurutkan per Kode Barang lalu Tanggal (wajib untuk metode FIFO manual di Excel). Setiap barang masuk dianggap 'lapisan/layer' stok dengan harga belinya sendiri; saat barang keluar, yang dianggap terjual/terpakai adalah lapisan TERLAMA lebih dulu (First In First Out).</t>
  </si>
  <si>
    <t xml:space="preserve">Ini konsep akuntansi persediaan yang umum dipakai staff admin gudang &amp; finance di perusahaan manufacturing.</t>
  </si>
  <si>
    <t xml:space="preserve">Saldo Stok Berjalan</t>
  </si>
  <si>
    <t xml:space="preserve">Rumus: SUMIFS(qty s.d. baris ini,kode=kode ini,jenis="Masuk") - SUMIFS(qty s.d. baris ini,kode=kode ini,jenis="Keluar")</t>
  </si>
  <si>
    <t xml:space="preserve">Kartu stok berjalan (running balance) - dasar laporan mutasi stok harian/bulanan.</t>
  </si>
  <si>
    <t xml:space="preserve">Sisa Qty Layer Ini</t>
  </si>
  <si>
    <t xml:space="preserve">Rumus: jika baris ini Masuk -&gt; MAX(0, MIN(Qty layer, TotalMasukSampaiBarisIni - TotalKeluarSampaiBarisIni)); jika Keluar -&gt; kosong</t>
  </si>
  <si>
    <t xml:space="preserve">Menghitung berapa unit dari SETIAP batch pembelian yang masih tersisa sampai tanggal laporan - inti dari metode FIFO.</t>
  </si>
  <si>
    <t xml:space="preserve">Nilai Sisa Persediaan FIFO</t>
  </si>
  <si>
    <t xml:space="preserve">Rumus: Sisa Qty Layer x Harga Beli per Unit layer tsb</t>
  </si>
  <si>
    <t xml:space="preserve">Nilai uang persediaan akhir sesuai standar akuntansi FIFO - dibutuhkan untuk laporan keuangan / stock opname.</t>
  </si>
  <si>
    <t xml:space="preserve">Rekap per Barang</t>
  </si>
  <si>
    <t xml:space="preserve">Rumus: SUMIFS (total masuk/keluar), SUMIF (total nilai FIFO)</t>
  </si>
  <si>
    <t xml:space="preserve">Membuat laporan nilai persediaan akhir per SKU - laporan yang nyaris selalu diminta ke admin gudang/inventory control setiap akhir bulan.</t>
  </si>
  <si>
    <t xml:space="preserve">Tips CV / Portofolio</t>
  </si>
  <si>
    <t xml:space="preserve">Cantumkan sebagai project: Menyusun kartu stok &amp; valuasi persediaan akhir metode FIFO untuk 5 SKU (235 transaksi keluar-masuk) menggunakan Excel formula SUMIFS bertingkat, tanpa bantuan software ERP.</t>
  </si>
  <si>
    <t xml:space="preserve">Ini termasuk skill yang jarang dimiliki fresh graduate non-akuntansi - cocok dipakai membedakan diri Anda saat melamar admin gudang/purchasing/inventory.</t>
  </si>
  <si>
    <t xml:space="preserve">LATIHAN LOOKUP: VLOOKUP, INDEX+MATCH, HLOOKUP</t>
  </si>
  <si>
    <t xml:space="preserve">Data transaksi diambil dari sheet Kunci_Jawaban. Isi kolom kuning sendiri di baris 4 dst (baris 3 = contoh).</t>
  </si>
  <si>
    <t xml:space="preserve">Tabel Referensi 1: Master Barang &amp; Minimum Stok (untuk VLOOKUP &amp; INDEX+MATCH)</t>
  </si>
  <si>
    <t xml:space="preserve">Minimum Stok (Qty)</t>
  </si>
  <si>
    <t xml:space="preserve">Tabel Referensi 2: Rekomendasi Aksi berdasarkan Level Status Stok (untuk HLOOKUP)</t>
  </si>
  <si>
    <t xml:space="preserve">Level</t>
  </si>
  <si>
    <t xml:space="preserve">Kritis</t>
  </si>
  <si>
    <t xml:space="preserve">Waspada</t>
  </si>
  <si>
    <t xml:space="preserve">Aman</t>
  </si>
  <si>
    <t xml:space="preserve">Rekomendasi Aksi</t>
  </si>
  <si>
    <t xml:space="preserve">Segera PO Ulang</t>
  </si>
  <si>
    <t xml:space="preserve">Pantau Ketat</t>
  </si>
  <si>
    <t xml:space="preserve">Tidak Perlu Aksi</t>
  </si>
  <si>
    <t xml:space="preserve">Area Praktik (data dari sheet Rekap_Ringkasan)</t>
  </si>
  <si>
    <t xml:space="preserve">Nama Barang (VLOOKUP)</t>
  </si>
  <si>
    <t xml:space="preserve">Minimum Stok (INDEX+MATCH, cek silang)</t>
  </si>
  <si>
    <t xml:space="preserve">Level Status (bantuan)</t>
  </si>
  <si>
    <t xml:space="preserve">Rekomendasi Aksi (HLOOKUP)</t>
  </si>
  <si>
    <t xml:space="preserve">Catatan: XLOOKUP sengaja tidak dipakai sebagai rumus hidup di file ini karena engine yang memverifikasi file ini belum bisa menghitungnya (berisiko rumus rusak/tidak terbaca saat dibuka). INDEX+MATCH di kolom D adalah pengganti XLOOKUP yang hasilnya identik dan didukung semua versi Excel/Google Sheets. Kalau Excel/Google Sheets kamu sudah versi baru, boleh dicoba sendiri (ketik manual): XLOOKUP(A21,A6:A10,C6:C10) — hasilnya akan sama dengan kolom C &amp; 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</si>
</sst>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n">
        <v>193</v>
      </c>
      <c r="H2" s="4" t="n">
        <v>18716</v>
      </c>
      <c r="I2" s="3" t="s">
        <v>15</v>
      </c>
    </row>
    <row r="3" customFormat="false" ht="15" hidden="false" customHeight="false" outlineLevel="0" collapsed="false">
      <c r="A3" s="2" t="s">
        <v>16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17</v>
      </c>
      <c r="G3" s="3" t="n">
        <v>55</v>
      </c>
      <c r="H3" s="3"/>
      <c r="I3" s="3" t="s">
        <v>15</v>
      </c>
    </row>
    <row r="4" customFormat="false" ht="15" hidden="false" customHeight="false" outlineLevel="0" collapsed="false">
      <c r="A4" s="2" t="s">
        <v>18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17</v>
      </c>
      <c r="G4" s="3" t="n">
        <v>23</v>
      </c>
      <c r="H4" s="3"/>
      <c r="I4" s="3" t="s">
        <v>15</v>
      </c>
    </row>
    <row r="5" customFormat="false" ht="15" hidden="false" customHeight="false" outlineLevel="0" collapsed="false">
      <c r="A5" s="2" t="s">
        <v>19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17</v>
      </c>
      <c r="G5" s="3" t="n">
        <v>20</v>
      </c>
      <c r="H5" s="3"/>
      <c r="I5" s="3" t="s">
        <v>15</v>
      </c>
    </row>
    <row r="6" customFormat="false" ht="15" hidden="false" customHeight="false" outlineLevel="0" collapsed="false">
      <c r="A6" s="2" t="s">
        <v>20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17</v>
      </c>
      <c r="G6" s="3" t="n">
        <v>27</v>
      </c>
      <c r="H6" s="3"/>
      <c r="I6" s="3" t="s">
        <v>15</v>
      </c>
    </row>
    <row r="7" customFormat="false" ht="15" hidden="false" customHeight="false" outlineLevel="0" collapsed="false">
      <c r="A7" s="2" t="s">
        <v>21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n">
        <v>180</v>
      </c>
      <c r="H7" s="4" t="n">
        <v>16626</v>
      </c>
      <c r="I7" s="3" t="s">
        <v>15</v>
      </c>
    </row>
    <row r="8" customFormat="false" ht="15" hidden="false" customHeight="false" outlineLevel="0" collapsed="false">
      <c r="A8" s="2" t="s">
        <v>22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n">
        <v>24</v>
      </c>
      <c r="H8" s="4" t="n">
        <v>20154</v>
      </c>
      <c r="I8" s="3" t="s">
        <v>15</v>
      </c>
    </row>
    <row r="9" customFormat="false" ht="15" hidden="false" customHeight="false" outlineLevel="0" collapsed="false">
      <c r="A9" s="2" t="s">
        <v>23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  <c r="G9" s="3" t="n">
        <v>168</v>
      </c>
      <c r="H9" s="4" t="n">
        <v>20742</v>
      </c>
      <c r="I9" s="3" t="s">
        <v>15</v>
      </c>
    </row>
    <row r="10" customFormat="false" ht="15" hidden="false" customHeight="false" outlineLevel="0" collapsed="false">
      <c r="A10" s="2" t="s">
        <v>24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17</v>
      </c>
      <c r="G10" s="3" t="n">
        <v>37</v>
      </c>
      <c r="H10" s="3"/>
      <c r="I10" s="3" t="s">
        <v>15</v>
      </c>
    </row>
    <row r="11" customFormat="false" ht="15" hidden="false" customHeight="false" outlineLevel="0" collapsed="false">
      <c r="A11" s="2" t="s">
        <v>25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17</v>
      </c>
      <c r="G11" s="3" t="n">
        <v>79</v>
      </c>
      <c r="H11" s="3"/>
      <c r="I11" s="3" t="s">
        <v>15</v>
      </c>
    </row>
    <row r="12" customFormat="false" ht="15" hidden="false" customHeight="false" outlineLevel="0" collapsed="false">
      <c r="A12" s="2" t="s">
        <v>26</v>
      </c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17</v>
      </c>
      <c r="G12" s="3" t="n">
        <v>109</v>
      </c>
      <c r="H12" s="3"/>
      <c r="I12" s="3" t="s">
        <v>15</v>
      </c>
    </row>
    <row r="13" customFormat="false" ht="15" hidden="false" customHeight="false" outlineLevel="0" collapsed="false">
      <c r="A13" s="2" t="s">
        <v>27</v>
      </c>
      <c r="B13" s="3" t="s">
        <v>10</v>
      </c>
      <c r="C13" s="3" t="s">
        <v>11</v>
      </c>
      <c r="D13" s="3" t="s">
        <v>12</v>
      </c>
      <c r="E13" s="3" t="s">
        <v>13</v>
      </c>
      <c r="F13" s="3" t="s">
        <v>14</v>
      </c>
      <c r="G13" s="3" t="n">
        <v>77</v>
      </c>
      <c r="H13" s="4" t="n">
        <v>20830</v>
      </c>
      <c r="I13" s="3" t="s">
        <v>15</v>
      </c>
    </row>
    <row r="14" customFormat="false" ht="15" hidden="false" customHeight="false" outlineLevel="0" collapsed="false">
      <c r="A14" s="2" t="s">
        <v>28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17</v>
      </c>
      <c r="G14" s="3" t="n">
        <v>27</v>
      </c>
      <c r="H14" s="3"/>
      <c r="I14" s="3" t="s">
        <v>15</v>
      </c>
    </row>
    <row r="15" customFormat="false" ht="15" hidden="false" customHeight="false" outlineLevel="0" collapsed="false">
      <c r="A15" s="2" t="s">
        <v>29</v>
      </c>
      <c r="B15" s="3" t="s">
        <v>10</v>
      </c>
      <c r="C15" s="3" t="s">
        <v>11</v>
      </c>
      <c r="D15" s="3" t="s">
        <v>12</v>
      </c>
      <c r="E15" s="3" t="s">
        <v>13</v>
      </c>
      <c r="F15" s="3" t="s">
        <v>17</v>
      </c>
      <c r="G15" s="3" t="n">
        <v>21</v>
      </c>
      <c r="H15" s="3"/>
      <c r="I15" s="3" t="s">
        <v>15</v>
      </c>
    </row>
    <row r="16" customFormat="false" ht="15" hidden="false" customHeight="false" outlineLevel="0" collapsed="false">
      <c r="A16" s="2" t="s">
        <v>30</v>
      </c>
      <c r="B16" s="3" t="s">
        <v>10</v>
      </c>
      <c r="C16" s="3" t="s">
        <v>11</v>
      </c>
      <c r="D16" s="3" t="s">
        <v>12</v>
      </c>
      <c r="E16" s="3" t="s">
        <v>13</v>
      </c>
      <c r="F16" s="3" t="s">
        <v>14</v>
      </c>
      <c r="G16" s="3" t="n">
        <v>22</v>
      </c>
      <c r="H16" s="4" t="n">
        <v>17956</v>
      </c>
      <c r="I16" s="3" t="s">
        <v>15</v>
      </c>
    </row>
    <row r="17" customFormat="false" ht="15" hidden="false" customHeight="false" outlineLevel="0" collapsed="false">
      <c r="A17" s="2" t="s">
        <v>31</v>
      </c>
      <c r="B17" s="3" t="s">
        <v>10</v>
      </c>
      <c r="C17" s="3" t="s">
        <v>11</v>
      </c>
      <c r="D17" s="3" t="s">
        <v>12</v>
      </c>
      <c r="E17" s="3" t="s">
        <v>13</v>
      </c>
      <c r="F17" s="3" t="s">
        <v>17</v>
      </c>
      <c r="G17" s="3" t="n">
        <v>106</v>
      </c>
      <c r="H17" s="3"/>
      <c r="I17" s="3" t="s">
        <v>15</v>
      </c>
    </row>
    <row r="18" customFormat="false" ht="15" hidden="false" customHeight="false" outlineLevel="0" collapsed="false">
      <c r="A18" s="2" t="s">
        <v>32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14</v>
      </c>
      <c r="G18" s="3" t="n">
        <v>60</v>
      </c>
      <c r="H18" s="4" t="n">
        <v>17467</v>
      </c>
      <c r="I18" s="3" t="s">
        <v>15</v>
      </c>
    </row>
    <row r="19" customFormat="false" ht="15" hidden="false" customHeight="false" outlineLevel="0" collapsed="false">
      <c r="A19" s="2" t="s">
        <v>33</v>
      </c>
      <c r="B19" s="3" t="s">
        <v>10</v>
      </c>
      <c r="C19" s="3" t="s">
        <v>11</v>
      </c>
      <c r="D19" s="3" t="s">
        <v>12</v>
      </c>
      <c r="E19" s="3" t="s">
        <v>13</v>
      </c>
      <c r="F19" s="3" t="s">
        <v>17</v>
      </c>
      <c r="G19" s="3" t="n">
        <v>94</v>
      </c>
      <c r="H19" s="3"/>
      <c r="I19" s="3" t="s">
        <v>15</v>
      </c>
    </row>
    <row r="20" customFormat="false" ht="15" hidden="false" customHeight="false" outlineLevel="0" collapsed="false">
      <c r="A20" s="2" t="s">
        <v>34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17</v>
      </c>
      <c r="G20" s="3" t="n">
        <v>71</v>
      </c>
      <c r="H20" s="3"/>
      <c r="I20" s="3" t="s">
        <v>15</v>
      </c>
    </row>
    <row r="21" customFormat="false" ht="15" hidden="false" customHeight="false" outlineLevel="0" collapsed="false">
      <c r="A21" s="2" t="s">
        <v>35</v>
      </c>
      <c r="B21" s="3" t="s">
        <v>10</v>
      </c>
      <c r="C21" s="3" t="s">
        <v>11</v>
      </c>
      <c r="D21" s="3" t="s">
        <v>12</v>
      </c>
      <c r="E21" s="3" t="s">
        <v>13</v>
      </c>
      <c r="F21" s="3" t="s">
        <v>14</v>
      </c>
      <c r="G21" s="3" t="n">
        <v>144</v>
      </c>
      <c r="H21" s="4" t="n">
        <v>17898</v>
      </c>
      <c r="I21" s="3" t="s">
        <v>15</v>
      </c>
    </row>
    <row r="22" customFormat="false" ht="15" hidden="false" customHeight="false" outlineLevel="0" collapsed="false">
      <c r="A22" s="2" t="s">
        <v>36</v>
      </c>
      <c r="B22" s="3" t="s">
        <v>10</v>
      </c>
      <c r="C22" s="3" t="s">
        <v>11</v>
      </c>
      <c r="D22" s="3" t="s">
        <v>12</v>
      </c>
      <c r="E22" s="3" t="s">
        <v>13</v>
      </c>
      <c r="F22" s="3" t="s">
        <v>14</v>
      </c>
      <c r="G22" s="3" t="n">
        <v>79</v>
      </c>
      <c r="H22" s="4" t="n">
        <v>16350</v>
      </c>
      <c r="I22" s="3" t="s">
        <v>15</v>
      </c>
    </row>
    <row r="23" customFormat="false" ht="15" hidden="false" customHeight="false" outlineLevel="0" collapsed="false">
      <c r="A23" s="2" t="s">
        <v>37</v>
      </c>
      <c r="B23" s="3" t="s">
        <v>10</v>
      </c>
      <c r="C23" s="3" t="s">
        <v>11</v>
      </c>
      <c r="D23" s="3" t="s">
        <v>12</v>
      </c>
      <c r="E23" s="3" t="s">
        <v>13</v>
      </c>
      <c r="F23" s="3" t="s">
        <v>14</v>
      </c>
      <c r="G23" s="3" t="n">
        <v>112</v>
      </c>
      <c r="H23" s="4" t="n">
        <v>19179</v>
      </c>
      <c r="I23" s="3" t="s">
        <v>15</v>
      </c>
    </row>
    <row r="24" customFormat="false" ht="15" hidden="false" customHeight="false" outlineLevel="0" collapsed="false">
      <c r="A24" s="2" t="s">
        <v>38</v>
      </c>
      <c r="B24" s="3" t="s">
        <v>10</v>
      </c>
      <c r="C24" s="3" t="s">
        <v>11</v>
      </c>
      <c r="D24" s="3" t="s">
        <v>12</v>
      </c>
      <c r="E24" s="3" t="s">
        <v>13</v>
      </c>
      <c r="F24" s="3" t="s">
        <v>17</v>
      </c>
      <c r="G24" s="3" t="n">
        <v>15</v>
      </c>
      <c r="H24" s="3"/>
      <c r="I24" s="3" t="s">
        <v>15</v>
      </c>
    </row>
    <row r="25" customFormat="false" ht="15" hidden="false" customHeight="false" outlineLevel="0" collapsed="false">
      <c r="A25" s="2" t="s">
        <v>39</v>
      </c>
      <c r="B25" s="3" t="s">
        <v>10</v>
      </c>
      <c r="C25" s="3" t="s">
        <v>11</v>
      </c>
      <c r="D25" s="3" t="s">
        <v>12</v>
      </c>
      <c r="E25" s="3" t="s">
        <v>13</v>
      </c>
      <c r="F25" s="3" t="s">
        <v>17</v>
      </c>
      <c r="G25" s="3" t="n">
        <v>51</v>
      </c>
      <c r="H25" s="3"/>
      <c r="I25" s="3" t="s">
        <v>15</v>
      </c>
    </row>
    <row r="26" customFormat="false" ht="15" hidden="false" customHeight="false" outlineLevel="0" collapsed="false">
      <c r="A26" s="2" t="s">
        <v>40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17</v>
      </c>
      <c r="G26" s="3" t="n">
        <v>76</v>
      </c>
      <c r="H26" s="3"/>
      <c r="I26" s="3" t="s">
        <v>15</v>
      </c>
    </row>
    <row r="27" customFormat="false" ht="15" hidden="false" customHeight="false" outlineLevel="0" collapsed="false">
      <c r="A27" s="2" t="s">
        <v>41</v>
      </c>
      <c r="B27" s="3" t="s">
        <v>10</v>
      </c>
      <c r="C27" s="3" t="s">
        <v>11</v>
      </c>
      <c r="D27" s="3" t="s">
        <v>12</v>
      </c>
      <c r="E27" s="3" t="s">
        <v>13</v>
      </c>
      <c r="F27" s="3" t="s">
        <v>17</v>
      </c>
      <c r="G27" s="3" t="n">
        <v>116</v>
      </c>
      <c r="H27" s="3"/>
      <c r="I27" s="3" t="s">
        <v>15</v>
      </c>
    </row>
    <row r="28" customFormat="false" ht="15" hidden="false" customHeight="false" outlineLevel="0" collapsed="false">
      <c r="A28" s="2" t="s">
        <v>42</v>
      </c>
      <c r="B28" s="3" t="s">
        <v>10</v>
      </c>
      <c r="C28" s="3" t="s">
        <v>11</v>
      </c>
      <c r="D28" s="3" t="s">
        <v>12</v>
      </c>
      <c r="E28" s="3" t="s">
        <v>13</v>
      </c>
      <c r="F28" s="3" t="s">
        <v>14</v>
      </c>
      <c r="G28" s="3" t="n">
        <v>159</v>
      </c>
      <c r="H28" s="4" t="n">
        <v>20670</v>
      </c>
      <c r="I28" s="3" t="s">
        <v>15</v>
      </c>
    </row>
    <row r="29" customFormat="false" ht="15" hidden="false" customHeight="false" outlineLevel="0" collapsed="false">
      <c r="A29" s="2" t="s">
        <v>43</v>
      </c>
      <c r="B29" s="3" t="s">
        <v>10</v>
      </c>
      <c r="C29" s="3" t="s">
        <v>11</v>
      </c>
      <c r="D29" s="3" t="s">
        <v>12</v>
      </c>
      <c r="E29" s="3" t="s">
        <v>13</v>
      </c>
      <c r="F29" s="3" t="s">
        <v>14</v>
      </c>
      <c r="G29" s="3" t="n">
        <v>116</v>
      </c>
      <c r="H29" s="4" t="n">
        <v>18992</v>
      </c>
      <c r="I29" s="3" t="s">
        <v>15</v>
      </c>
    </row>
    <row r="30" customFormat="false" ht="15" hidden="false" customHeight="false" outlineLevel="0" collapsed="false">
      <c r="A30" s="2" t="s">
        <v>44</v>
      </c>
      <c r="B30" s="3" t="s">
        <v>10</v>
      </c>
      <c r="C30" s="3" t="s">
        <v>11</v>
      </c>
      <c r="D30" s="3" t="s">
        <v>12</v>
      </c>
      <c r="E30" s="3" t="s">
        <v>13</v>
      </c>
      <c r="F30" s="3" t="s">
        <v>17</v>
      </c>
      <c r="G30" s="3" t="n">
        <v>116</v>
      </c>
      <c r="H30" s="3"/>
      <c r="I30" s="3" t="s">
        <v>15</v>
      </c>
    </row>
    <row r="31" customFormat="false" ht="15" hidden="false" customHeight="false" outlineLevel="0" collapsed="false">
      <c r="A31" s="2" t="s">
        <v>45</v>
      </c>
      <c r="B31" s="3" t="s">
        <v>10</v>
      </c>
      <c r="C31" s="3" t="s">
        <v>11</v>
      </c>
      <c r="D31" s="3" t="s">
        <v>12</v>
      </c>
      <c r="E31" s="3" t="s">
        <v>13</v>
      </c>
      <c r="F31" s="3" t="s">
        <v>17</v>
      </c>
      <c r="G31" s="3" t="n">
        <v>58</v>
      </c>
      <c r="H31" s="3"/>
      <c r="I31" s="3" t="s">
        <v>15</v>
      </c>
    </row>
    <row r="32" customFormat="false" ht="15" hidden="false" customHeight="false" outlineLevel="0" collapsed="false">
      <c r="A32" s="2" t="s">
        <v>46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17</v>
      </c>
      <c r="G32" s="3" t="n">
        <v>55</v>
      </c>
      <c r="H32" s="3"/>
      <c r="I32" s="3" t="s">
        <v>15</v>
      </c>
    </row>
    <row r="33" customFormat="false" ht="15" hidden="false" customHeight="false" outlineLevel="0" collapsed="false">
      <c r="A33" s="2" t="s">
        <v>47</v>
      </c>
      <c r="B33" s="3" t="s">
        <v>10</v>
      </c>
      <c r="C33" s="3" t="s">
        <v>11</v>
      </c>
      <c r="D33" s="3" t="s">
        <v>12</v>
      </c>
      <c r="E33" s="3" t="s">
        <v>13</v>
      </c>
      <c r="F33" s="3" t="s">
        <v>17</v>
      </c>
      <c r="G33" s="3" t="n">
        <v>71</v>
      </c>
      <c r="H33" s="3"/>
      <c r="I33" s="3" t="s">
        <v>15</v>
      </c>
    </row>
    <row r="34" customFormat="false" ht="15" hidden="false" customHeight="false" outlineLevel="0" collapsed="false">
      <c r="A34" s="2" t="s">
        <v>48</v>
      </c>
      <c r="B34" s="3" t="s">
        <v>10</v>
      </c>
      <c r="C34" s="3" t="s">
        <v>11</v>
      </c>
      <c r="D34" s="3" t="s">
        <v>12</v>
      </c>
      <c r="E34" s="3" t="s">
        <v>13</v>
      </c>
      <c r="F34" s="3" t="s">
        <v>14</v>
      </c>
      <c r="G34" s="3" t="n">
        <v>55</v>
      </c>
      <c r="H34" s="4" t="n">
        <v>19603</v>
      </c>
      <c r="I34" s="3" t="s">
        <v>15</v>
      </c>
    </row>
    <row r="35" customFormat="false" ht="15" hidden="false" customHeight="false" outlineLevel="0" collapsed="false">
      <c r="A35" s="2" t="s">
        <v>49</v>
      </c>
      <c r="B35" s="3" t="s">
        <v>10</v>
      </c>
      <c r="C35" s="3" t="s">
        <v>11</v>
      </c>
      <c r="D35" s="3" t="s">
        <v>12</v>
      </c>
      <c r="E35" s="3" t="s">
        <v>13</v>
      </c>
      <c r="F35" s="3" t="s">
        <v>14</v>
      </c>
      <c r="G35" s="3" t="n">
        <v>151</v>
      </c>
      <c r="H35" s="4" t="n">
        <v>18300</v>
      </c>
      <c r="I35" s="3" t="s">
        <v>15</v>
      </c>
    </row>
    <row r="36" customFormat="false" ht="15" hidden="false" customHeight="false" outlineLevel="0" collapsed="false">
      <c r="A36" s="2" t="s">
        <v>50</v>
      </c>
      <c r="B36" s="3" t="s">
        <v>10</v>
      </c>
      <c r="C36" s="3" t="s">
        <v>11</v>
      </c>
      <c r="D36" s="3" t="s">
        <v>12</v>
      </c>
      <c r="E36" s="3" t="s">
        <v>13</v>
      </c>
      <c r="F36" s="3" t="s">
        <v>14</v>
      </c>
      <c r="G36" s="3" t="n">
        <v>60</v>
      </c>
      <c r="H36" s="4" t="n">
        <v>18967</v>
      </c>
      <c r="I36" s="3" t="s">
        <v>15</v>
      </c>
    </row>
    <row r="37" customFormat="false" ht="15" hidden="false" customHeight="false" outlineLevel="0" collapsed="false">
      <c r="A37" s="2" t="s">
        <v>51</v>
      </c>
      <c r="B37" s="3" t="s">
        <v>10</v>
      </c>
      <c r="C37" s="3" t="s">
        <v>11</v>
      </c>
      <c r="D37" s="3" t="s">
        <v>12</v>
      </c>
      <c r="E37" s="3" t="s">
        <v>13</v>
      </c>
      <c r="F37" s="3" t="s">
        <v>17</v>
      </c>
      <c r="G37" s="3" t="n">
        <v>25</v>
      </c>
      <c r="H37" s="3"/>
      <c r="I37" s="3" t="s">
        <v>15</v>
      </c>
    </row>
    <row r="38" customFormat="false" ht="15" hidden="false" customHeight="false" outlineLevel="0" collapsed="false">
      <c r="A38" s="2" t="s">
        <v>52</v>
      </c>
      <c r="B38" s="3" t="s">
        <v>10</v>
      </c>
      <c r="C38" s="3" t="s">
        <v>11</v>
      </c>
      <c r="D38" s="3" t="s">
        <v>12</v>
      </c>
      <c r="E38" s="3" t="s">
        <v>13</v>
      </c>
      <c r="F38" s="3" t="s">
        <v>14</v>
      </c>
      <c r="G38" s="3" t="n">
        <v>104</v>
      </c>
      <c r="H38" s="4" t="n">
        <v>16928</v>
      </c>
      <c r="I38" s="3" t="s">
        <v>15</v>
      </c>
    </row>
    <row r="39" customFormat="false" ht="15" hidden="false" customHeight="false" outlineLevel="0" collapsed="false">
      <c r="A39" s="2" t="s">
        <v>53</v>
      </c>
      <c r="B39" s="3" t="s">
        <v>10</v>
      </c>
      <c r="C39" s="3" t="s">
        <v>11</v>
      </c>
      <c r="D39" s="3" t="s">
        <v>12</v>
      </c>
      <c r="E39" s="3" t="s">
        <v>13</v>
      </c>
      <c r="F39" s="3" t="s">
        <v>17</v>
      </c>
      <c r="G39" s="3" t="n">
        <v>71</v>
      </c>
      <c r="H39" s="3"/>
      <c r="I39" s="3" t="s">
        <v>15</v>
      </c>
    </row>
    <row r="40" customFormat="false" ht="15" hidden="false" customHeight="false" outlineLevel="0" collapsed="false">
      <c r="A40" s="2" t="s">
        <v>54</v>
      </c>
      <c r="B40" s="3" t="s">
        <v>10</v>
      </c>
      <c r="C40" s="3" t="s">
        <v>11</v>
      </c>
      <c r="D40" s="3" t="s">
        <v>12</v>
      </c>
      <c r="E40" s="3" t="s">
        <v>13</v>
      </c>
      <c r="F40" s="3" t="s">
        <v>17</v>
      </c>
      <c r="G40" s="3" t="n">
        <v>92</v>
      </c>
      <c r="H40" s="3"/>
      <c r="I40" s="3" t="s">
        <v>15</v>
      </c>
    </row>
    <row r="41" customFormat="false" ht="15" hidden="false" customHeight="false" outlineLevel="0" collapsed="false">
      <c r="A41" s="2" t="s">
        <v>55</v>
      </c>
      <c r="B41" s="3" t="s">
        <v>10</v>
      </c>
      <c r="C41" s="3" t="s">
        <v>11</v>
      </c>
      <c r="D41" s="3" t="s">
        <v>12</v>
      </c>
      <c r="E41" s="3" t="s">
        <v>13</v>
      </c>
      <c r="F41" s="3" t="s">
        <v>14</v>
      </c>
      <c r="G41" s="3" t="n">
        <v>31</v>
      </c>
      <c r="H41" s="4" t="n">
        <v>17047</v>
      </c>
      <c r="I41" s="3" t="s">
        <v>15</v>
      </c>
    </row>
    <row r="42" customFormat="false" ht="15" hidden="false" customHeight="false" outlineLevel="0" collapsed="false">
      <c r="A42" s="2" t="s">
        <v>56</v>
      </c>
      <c r="B42" s="3" t="s">
        <v>10</v>
      </c>
      <c r="C42" s="3" t="s">
        <v>11</v>
      </c>
      <c r="D42" s="3" t="s">
        <v>12</v>
      </c>
      <c r="E42" s="3" t="s">
        <v>13</v>
      </c>
      <c r="F42" s="3" t="s">
        <v>17</v>
      </c>
      <c r="G42" s="3" t="n">
        <v>27</v>
      </c>
      <c r="H42" s="3"/>
      <c r="I42" s="3" t="s">
        <v>15</v>
      </c>
    </row>
    <row r="43" customFormat="false" ht="15" hidden="false" customHeight="false" outlineLevel="0" collapsed="false">
      <c r="A43" s="2" t="s">
        <v>57</v>
      </c>
      <c r="B43" s="3" t="s">
        <v>10</v>
      </c>
      <c r="C43" s="3" t="s">
        <v>11</v>
      </c>
      <c r="D43" s="3" t="s">
        <v>12</v>
      </c>
      <c r="E43" s="3" t="s">
        <v>13</v>
      </c>
      <c r="F43" s="3" t="s">
        <v>17</v>
      </c>
      <c r="G43" s="3" t="n">
        <v>83</v>
      </c>
      <c r="H43" s="3"/>
      <c r="I43" s="3" t="s">
        <v>15</v>
      </c>
    </row>
    <row r="44" customFormat="false" ht="15" hidden="false" customHeight="false" outlineLevel="0" collapsed="false">
      <c r="A44" s="2" t="s">
        <v>58</v>
      </c>
      <c r="B44" s="3" t="s">
        <v>10</v>
      </c>
      <c r="C44" s="3" t="s">
        <v>11</v>
      </c>
      <c r="D44" s="3" t="s">
        <v>12</v>
      </c>
      <c r="E44" s="3" t="s">
        <v>13</v>
      </c>
      <c r="F44" s="3" t="s">
        <v>14</v>
      </c>
      <c r="G44" s="3" t="n">
        <v>86</v>
      </c>
      <c r="H44" s="4" t="n">
        <v>17474</v>
      </c>
      <c r="I44" s="3" t="s">
        <v>15</v>
      </c>
    </row>
    <row r="45" customFormat="false" ht="15" hidden="false" customHeight="false" outlineLevel="0" collapsed="false">
      <c r="A45" s="2" t="s">
        <v>59</v>
      </c>
      <c r="B45" s="3" t="s">
        <v>10</v>
      </c>
      <c r="C45" s="3" t="s">
        <v>11</v>
      </c>
      <c r="D45" s="3" t="s">
        <v>12</v>
      </c>
      <c r="E45" s="3" t="s">
        <v>13</v>
      </c>
      <c r="F45" s="3" t="s">
        <v>17</v>
      </c>
      <c r="G45" s="3" t="n">
        <v>86</v>
      </c>
      <c r="H45" s="3"/>
      <c r="I45" s="3" t="s">
        <v>15</v>
      </c>
    </row>
    <row r="46" customFormat="false" ht="15" hidden="false" customHeight="false" outlineLevel="0" collapsed="false">
      <c r="A46" s="2" t="s">
        <v>60</v>
      </c>
      <c r="B46" s="3" t="s">
        <v>10</v>
      </c>
      <c r="C46" s="3" t="s">
        <v>11</v>
      </c>
      <c r="D46" s="3" t="s">
        <v>12</v>
      </c>
      <c r="E46" s="3" t="s">
        <v>13</v>
      </c>
      <c r="F46" s="3" t="s">
        <v>17</v>
      </c>
      <c r="G46" s="3" t="n">
        <v>102</v>
      </c>
      <c r="H46" s="3"/>
      <c r="I46" s="3" t="s">
        <v>15</v>
      </c>
    </row>
    <row r="47" customFormat="false" ht="15" hidden="false" customHeight="false" outlineLevel="0" collapsed="false">
      <c r="A47" s="2" t="s">
        <v>61</v>
      </c>
      <c r="B47" s="3" t="s">
        <v>62</v>
      </c>
      <c r="C47" s="3" t="s">
        <v>63</v>
      </c>
      <c r="D47" s="3" t="s">
        <v>12</v>
      </c>
      <c r="E47" s="3" t="s">
        <v>13</v>
      </c>
      <c r="F47" s="3" t="s">
        <v>14</v>
      </c>
      <c r="G47" s="3" t="n">
        <v>41</v>
      </c>
      <c r="H47" s="4" t="n">
        <v>24774</v>
      </c>
      <c r="I47" s="3" t="s">
        <v>15</v>
      </c>
    </row>
    <row r="48" customFormat="false" ht="15" hidden="false" customHeight="false" outlineLevel="0" collapsed="false">
      <c r="A48" s="2" t="s">
        <v>64</v>
      </c>
      <c r="B48" s="3" t="s">
        <v>62</v>
      </c>
      <c r="C48" s="3" t="s">
        <v>63</v>
      </c>
      <c r="D48" s="3" t="s">
        <v>12</v>
      </c>
      <c r="E48" s="3" t="s">
        <v>13</v>
      </c>
      <c r="F48" s="3" t="s">
        <v>17</v>
      </c>
      <c r="G48" s="3" t="n">
        <v>40</v>
      </c>
      <c r="H48" s="3"/>
      <c r="I48" s="3" t="s">
        <v>15</v>
      </c>
    </row>
    <row r="49" customFormat="false" ht="15" hidden="false" customHeight="false" outlineLevel="0" collapsed="false">
      <c r="A49" s="2" t="s">
        <v>19</v>
      </c>
      <c r="B49" s="3" t="s">
        <v>62</v>
      </c>
      <c r="C49" s="3" t="s">
        <v>63</v>
      </c>
      <c r="D49" s="3" t="s">
        <v>12</v>
      </c>
      <c r="E49" s="3" t="s">
        <v>13</v>
      </c>
      <c r="F49" s="3" t="s">
        <v>14</v>
      </c>
      <c r="G49" s="3" t="n">
        <v>63</v>
      </c>
      <c r="H49" s="4" t="n">
        <v>24797</v>
      </c>
      <c r="I49" s="3" t="s">
        <v>15</v>
      </c>
    </row>
    <row r="50" customFormat="false" ht="15" hidden="false" customHeight="false" outlineLevel="0" collapsed="false">
      <c r="A50" s="2" t="s">
        <v>65</v>
      </c>
      <c r="B50" s="3" t="s">
        <v>62</v>
      </c>
      <c r="C50" s="3" t="s">
        <v>63</v>
      </c>
      <c r="D50" s="3" t="s">
        <v>12</v>
      </c>
      <c r="E50" s="3" t="s">
        <v>13</v>
      </c>
      <c r="F50" s="3" t="s">
        <v>17</v>
      </c>
      <c r="G50" s="3" t="n">
        <v>60</v>
      </c>
      <c r="H50" s="3"/>
      <c r="I50" s="3" t="s">
        <v>15</v>
      </c>
    </row>
    <row r="51" customFormat="false" ht="15" hidden="false" customHeight="false" outlineLevel="0" collapsed="false">
      <c r="A51" s="2" t="s">
        <v>66</v>
      </c>
      <c r="B51" s="3" t="s">
        <v>62</v>
      </c>
      <c r="C51" s="3" t="s">
        <v>63</v>
      </c>
      <c r="D51" s="3" t="s">
        <v>12</v>
      </c>
      <c r="E51" s="3" t="s">
        <v>13</v>
      </c>
      <c r="F51" s="3" t="s">
        <v>14</v>
      </c>
      <c r="G51" s="3" t="n">
        <v>66</v>
      </c>
      <c r="H51" s="4" t="n">
        <v>27184</v>
      </c>
      <c r="I51" s="3" t="s">
        <v>15</v>
      </c>
    </row>
    <row r="52" customFormat="false" ht="15" hidden="false" customHeight="false" outlineLevel="0" collapsed="false">
      <c r="A52" s="2" t="s">
        <v>67</v>
      </c>
      <c r="B52" s="3" t="s">
        <v>62</v>
      </c>
      <c r="C52" s="3" t="s">
        <v>63</v>
      </c>
      <c r="D52" s="3" t="s">
        <v>12</v>
      </c>
      <c r="E52" s="3" t="s">
        <v>13</v>
      </c>
      <c r="F52" s="3" t="s">
        <v>14</v>
      </c>
      <c r="G52" s="3" t="n">
        <v>195</v>
      </c>
      <c r="H52" s="4" t="n">
        <v>25807</v>
      </c>
      <c r="I52" s="3" t="s">
        <v>15</v>
      </c>
    </row>
    <row r="53" customFormat="false" ht="15" hidden="false" customHeight="false" outlineLevel="0" collapsed="false">
      <c r="A53" s="2" t="s">
        <v>68</v>
      </c>
      <c r="B53" s="3" t="s">
        <v>62</v>
      </c>
      <c r="C53" s="3" t="s">
        <v>63</v>
      </c>
      <c r="D53" s="3" t="s">
        <v>12</v>
      </c>
      <c r="E53" s="3" t="s">
        <v>13</v>
      </c>
      <c r="F53" s="3" t="s">
        <v>17</v>
      </c>
      <c r="G53" s="3" t="n">
        <v>18</v>
      </c>
      <c r="H53" s="3"/>
      <c r="I53" s="3" t="s">
        <v>15</v>
      </c>
    </row>
    <row r="54" customFormat="false" ht="15" hidden="false" customHeight="false" outlineLevel="0" collapsed="false">
      <c r="A54" s="2" t="s">
        <v>69</v>
      </c>
      <c r="B54" s="3" t="s">
        <v>62</v>
      </c>
      <c r="C54" s="3" t="s">
        <v>63</v>
      </c>
      <c r="D54" s="3" t="s">
        <v>12</v>
      </c>
      <c r="E54" s="3" t="s">
        <v>13</v>
      </c>
      <c r="F54" s="3" t="s">
        <v>14</v>
      </c>
      <c r="G54" s="3" t="n">
        <v>53</v>
      </c>
      <c r="H54" s="4" t="n">
        <v>23889</v>
      </c>
      <c r="I54" s="3" t="s">
        <v>15</v>
      </c>
    </row>
    <row r="55" customFormat="false" ht="15" hidden="false" customHeight="false" outlineLevel="0" collapsed="false">
      <c r="A55" s="2" t="s">
        <v>70</v>
      </c>
      <c r="B55" s="3" t="s">
        <v>62</v>
      </c>
      <c r="C55" s="3" t="s">
        <v>63</v>
      </c>
      <c r="D55" s="3" t="s">
        <v>12</v>
      </c>
      <c r="E55" s="3" t="s">
        <v>13</v>
      </c>
      <c r="F55" s="3" t="s">
        <v>14</v>
      </c>
      <c r="G55" s="3" t="n">
        <v>149</v>
      </c>
      <c r="H55" s="4" t="n">
        <v>26438</v>
      </c>
      <c r="I55" s="3" t="s">
        <v>15</v>
      </c>
    </row>
    <row r="56" customFormat="false" ht="15" hidden="false" customHeight="false" outlineLevel="0" collapsed="false">
      <c r="A56" s="2" t="s">
        <v>71</v>
      </c>
      <c r="B56" s="3" t="s">
        <v>62</v>
      </c>
      <c r="C56" s="3" t="s">
        <v>63</v>
      </c>
      <c r="D56" s="3" t="s">
        <v>12</v>
      </c>
      <c r="E56" s="3" t="s">
        <v>13</v>
      </c>
      <c r="F56" s="3" t="s">
        <v>17</v>
      </c>
      <c r="G56" s="3" t="n">
        <v>32</v>
      </c>
      <c r="H56" s="3"/>
      <c r="I56" s="3" t="s">
        <v>15</v>
      </c>
    </row>
    <row r="57" customFormat="false" ht="15" hidden="false" customHeight="false" outlineLevel="0" collapsed="false">
      <c r="A57" s="2" t="s">
        <v>25</v>
      </c>
      <c r="B57" s="3" t="s">
        <v>62</v>
      </c>
      <c r="C57" s="3" t="s">
        <v>63</v>
      </c>
      <c r="D57" s="3" t="s">
        <v>12</v>
      </c>
      <c r="E57" s="3" t="s">
        <v>13</v>
      </c>
      <c r="F57" s="3" t="s">
        <v>17</v>
      </c>
      <c r="G57" s="3" t="n">
        <v>86</v>
      </c>
      <c r="H57" s="3"/>
      <c r="I57" s="3" t="s">
        <v>15</v>
      </c>
    </row>
    <row r="58" customFormat="false" ht="15" hidden="false" customHeight="false" outlineLevel="0" collapsed="false">
      <c r="A58" s="2" t="s">
        <v>72</v>
      </c>
      <c r="B58" s="3" t="s">
        <v>62</v>
      </c>
      <c r="C58" s="3" t="s">
        <v>63</v>
      </c>
      <c r="D58" s="3" t="s">
        <v>12</v>
      </c>
      <c r="E58" s="3" t="s">
        <v>13</v>
      </c>
      <c r="F58" s="3" t="s">
        <v>17</v>
      </c>
      <c r="G58" s="3" t="n">
        <v>78</v>
      </c>
      <c r="H58" s="3"/>
      <c r="I58" s="3" t="s">
        <v>15</v>
      </c>
    </row>
    <row r="59" customFormat="false" ht="15" hidden="false" customHeight="false" outlineLevel="0" collapsed="false">
      <c r="A59" s="2" t="s">
        <v>73</v>
      </c>
      <c r="B59" s="3" t="s">
        <v>62</v>
      </c>
      <c r="C59" s="3" t="s">
        <v>63</v>
      </c>
      <c r="D59" s="3" t="s">
        <v>12</v>
      </c>
      <c r="E59" s="3" t="s">
        <v>13</v>
      </c>
      <c r="F59" s="3" t="s">
        <v>17</v>
      </c>
      <c r="G59" s="3" t="n">
        <v>21</v>
      </c>
      <c r="H59" s="3"/>
      <c r="I59" s="3" t="s">
        <v>15</v>
      </c>
    </row>
    <row r="60" customFormat="false" ht="15" hidden="false" customHeight="false" outlineLevel="0" collapsed="false">
      <c r="A60" s="2" t="s">
        <v>74</v>
      </c>
      <c r="B60" s="3" t="s">
        <v>62</v>
      </c>
      <c r="C60" s="3" t="s">
        <v>63</v>
      </c>
      <c r="D60" s="3" t="s">
        <v>12</v>
      </c>
      <c r="E60" s="3" t="s">
        <v>13</v>
      </c>
      <c r="F60" s="3" t="s">
        <v>17</v>
      </c>
      <c r="G60" s="3" t="n">
        <v>87</v>
      </c>
      <c r="H60" s="3"/>
      <c r="I60" s="3" t="s">
        <v>15</v>
      </c>
    </row>
    <row r="61" customFormat="false" ht="15" hidden="false" customHeight="false" outlineLevel="0" collapsed="false">
      <c r="A61" s="2" t="s">
        <v>75</v>
      </c>
      <c r="B61" s="3" t="s">
        <v>62</v>
      </c>
      <c r="C61" s="3" t="s">
        <v>63</v>
      </c>
      <c r="D61" s="3" t="s">
        <v>12</v>
      </c>
      <c r="E61" s="3" t="s">
        <v>13</v>
      </c>
      <c r="F61" s="3" t="s">
        <v>17</v>
      </c>
      <c r="G61" s="3" t="n">
        <v>109</v>
      </c>
      <c r="H61" s="3"/>
      <c r="I61" s="3" t="s">
        <v>15</v>
      </c>
    </row>
    <row r="62" customFormat="false" ht="15" hidden="false" customHeight="false" outlineLevel="0" collapsed="false">
      <c r="A62" s="2" t="s">
        <v>30</v>
      </c>
      <c r="B62" s="3" t="s">
        <v>62</v>
      </c>
      <c r="C62" s="3" t="s">
        <v>63</v>
      </c>
      <c r="D62" s="3" t="s">
        <v>12</v>
      </c>
      <c r="E62" s="3" t="s">
        <v>13</v>
      </c>
      <c r="F62" s="3" t="s">
        <v>17</v>
      </c>
      <c r="G62" s="3" t="n">
        <v>26</v>
      </c>
      <c r="H62" s="3"/>
      <c r="I62" s="3" t="s">
        <v>15</v>
      </c>
    </row>
    <row r="63" customFormat="false" ht="15" hidden="false" customHeight="false" outlineLevel="0" collapsed="false">
      <c r="A63" s="2" t="s">
        <v>76</v>
      </c>
      <c r="B63" s="3" t="s">
        <v>62</v>
      </c>
      <c r="C63" s="3" t="s">
        <v>63</v>
      </c>
      <c r="D63" s="3" t="s">
        <v>12</v>
      </c>
      <c r="E63" s="3" t="s">
        <v>13</v>
      </c>
      <c r="F63" s="3" t="s">
        <v>14</v>
      </c>
      <c r="G63" s="3" t="n">
        <v>114</v>
      </c>
      <c r="H63" s="4" t="n">
        <v>23355</v>
      </c>
      <c r="I63" s="3" t="s">
        <v>15</v>
      </c>
    </row>
    <row r="64" customFormat="false" ht="15" hidden="false" customHeight="false" outlineLevel="0" collapsed="false">
      <c r="A64" s="2" t="s">
        <v>32</v>
      </c>
      <c r="B64" s="3" t="s">
        <v>62</v>
      </c>
      <c r="C64" s="3" t="s">
        <v>63</v>
      </c>
      <c r="D64" s="3" t="s">
        <v>12</v>
      </c>
      <c r="E64" s="3" t="s">
        <v>13</v>
      </c>
      <c r="F64" s="3" t="s">
        <v>17</v>
      </c>
      <c r="G64" s="3" t="n">
        <v>39</v>
      </c>
      <c r="H64" s="3"/>
      <c r="I64" s="3" t="s">
        <v>15</v>
      </c>
    </row>
    <row r="65" customFormat="false" ht="15" hidden="false" customHeight="false" outlineLevel="0" collapsed="false">
      <c r="A65" s="2" t="s">
        <v>77</v>
      </c>
      <c r="B65" s="3" t="s">
        <v>62</v>
      </c>
      <c r="C65" s="3" t="s">
        <v>63</v>
      </c>
      <c r="D65" s="3" t="s">
        <v>12</v>
      </c>
      <c r="E65" s="3" t="s">
        <v>13</v>
      </c>
      <c r="F65" s="3" t="s">
        <v>17</v>
      </c>
      <c r="G65" s="3" t="n">
        <v>58</v>
      </c>
      <c r="H65" s="3"/>
      <c r="I65" s="3" t="s">
        <v>15</v>
      </c>
    </row>
    <row r="66" customFormat="false" ht="15" hidden="false" customHeight="false" outlineLevel="0" collapsed="false">
      <c r="A66" s="2" t="s">
        <v>34</v>
      </c>
      <c r="B66" s="3" t="s">
        <v>62</v>
      </c>
      <c r="C66" s="3" t="s">
        <v>63</v>
      </c>
      <c r="D66" s="3" t="s">
        <v>12</v>
      </c>
      <c r="E66" s="3" t="s">
        <v>13</v>
      </c>
      <c r="F66" s="3" t="s">
        <v>14</v>
      </c>
      <c r="G66" s="3" t="n">
        <v>170</v>
      </c>
      <c r="H66" s="4" t="n">
        <v>27719</v>
      </c>
      <c r="I66" s="3" t="s">
        <v>15</v>
      </c>
    </row>
    <row r="67" customFormat="false" ht="15" hidden="false" customHeight="false" outlineLevel="0" collapsed="false">
      <c r="A67" s="2" t="s">
        <v>78</v>
      </c>
      <c r="B67" s="3" t="s">
        <v>62</v>
      </c>
      <c r="C67" s="3" t="s">
        <v>63</v>
      </c>
      <c r="D67" s="3" t="s">
        <v>12</v>
      </c>
      <c r="E67" s="3" t="s">
        <v>13</v>
      </c>
      <c r="F67" s="3" t="s">
        <v>14</v>
      </c>
      <c r="G67" s="3" t="n">
        <v>85</v>
      </c>
      <c r="H67" s="4" t="n">
        <v>26908</v>
      </c>
      <c r="I67" s="3" t="s">
        <v>15</v>
      </c>
    </row>
    <row r="68" customFormat="false" ht="15" hidden="false" customHeight="false" outlineLevel="0" collapsed="false">
      <c r="A68" s="2" t="s">
        <v>35</v>
      </c>
      <c r="B68" s="3" t="s">
        <v>62</v>
      </c>
      <c r="C68" s="3" t="s">
        <v>63</v>
      </c>
      <c r="D68" s="3" t="s">
        <v>12</v>
      </c>
      <c r="E68" s="3" t="s">
        <v>13</v>
      </c>
      <c r="F68" s="3" t="s">
        <v>17</v>
      </c>
      <c r="G68" s="3" t="n">
        <v>20</v>
      </c>
      <c r="H68" s="3"/>
      <c r="I68" s="3" t="s">
        <v>15</v>
      </c>
    </row>
    <row r="69" customFormat="false" ht="15" hidden="false" customHeight="false" outlineLevel="0" collapsed="false">
      <c r="A69" s="2" t="s">
        <v>79</v>
      </c>
      <c r="B69" s="3" t="s">
        <v>62</v>
      </c>
      <c r="C69" s="3" t="s">
        <v>63</v>
      </c>
      <c r="D69" s="3" t="s">
        <v>12</v>
      </c>
      <c r="E69" s="3" t="s">
        <v>13</v>
      </c>
      <c r="F69" s="3" t="s">
        <v>17</v>
      </c>
      <c r="G69" s="3" t="n">
        <v>79</v>
      </c>
      <c r="H69" s="3"/>
      <c r="I69" s="3" t="s">
        <v>15</v>
      </c>
    </row>
    <row r="70" customFormat="false" ht="15" hidden="false" customHeight="false" outlineLevel="0" collapsed="false">
      <c r="A70" s="2" t="s">
        <v>37</v>
      </c>
      <c r="B70" s="3" t="s">
        <v>62</v>
      </c>
      <c r="C70" s="3" t="s">
        <v>63</v>
      </c>
      <c r="D70" s="3" t="s">
        <v>12</v>
      </c>
      <c r="E70" s="3" t="s">
        <v>13</v>
      </c>
      <c r="F70" s="3" t="s">
        <v>14</v>
      </c>
      <c r="G70" s="3" t="n">
        <v>21</v>
      </c>
      <c r="H70" s="4" t="n">
        <v>23058</v>
      </c>
      <c r="I70" s="3" t="s">
        <v>15</v>
      </c>
    </row>
    <row r="71" customFormat="false" ht="15" hidden="false" customHeight="false" outlineLevel="0" collapsed="false">
      <c r="A71" s="2" t="s">
        <v>39</v>
      </c>
      <c r="B71" s="3" t="s">
        <v>62</v>
      </c>
      <c r="C71" s="3" t="s">
        <v>63</v>
      </c>
      <c r="D71" s="3" t="s">
        <v>12</v>
      </c>
      <c r="E71" s="3" t="s">
        <v>13</v>
      </c>
      <c r="F71" s="3" t="s">
        <v>17</v>
      </c>
      <c r="G71" s="3" t="n">
        <v>76</v>
      </c>
      <c r="H71" s="3"/>
      <c r="I71" s="3" t="s">
        <v>15</v>
      </c>
    </row>
    <row r="72" customFormat="false" ht="15" hidden="false" customHeight="false" outlineLevel="0" collapsed="false">
      <c r="A72" s="2" t="s">
        <v>40</v>
      </c>
      <c r="B72" s="3" t="s">
        <v>62</v>
      </c>
      <c r="C72" s="3" t="s">
        <v>63</v>
      </c>
      <c r="D72" s="3" t="s">
        <v>12</v>
      </c>
      <c r="E72" s="3" t="s">
        <v>13</v>
      </c>
      <c r="F72" s="3" t="s">
        <v>14</v>
      </c>
      <c r="G72" s="3" t="n">
        <v>72</v>
      </c>
      <c r="H72" s="4" t="n">
        <v>25587</v>
      </c>
      <c r="I72" s="3" t="s">
        <v>15</v>
      </c>
    </row>
    <row r="73" customFormat="false" ht="15" hidden="false" customHeight="false" outlineLevel="0" collapsed="false">
      <c r="A73" s="2" t="s">
        <v>80</v>
      </c>
      <c r="B73" s="3" t="s">
        <v>62</v>
      </c>
      <c r="C73" s="3" t="s">
        <v>63</v>
      </c>
      <c r="D73" s="3" t="s">
        <v>12</v>
      </c>
      <c r="E73" s="3" t="s">
        <v>13</v>
      </c>
      <c r="F73" s="3" t="s">
        <v>14</v>
      </c>
      <c r="G73" s="3" t="n">
        <v>59</v>
      </c>
      <c r="H73" s="4" t="n">
        <v>26490</v>
      </c>
      <c r="I73" s="3" t="s">
        <v>15</v>
      </c>
    </row>
    <row r="74" customFormat="false" ht="15" hidden="false" customHeight="false" outlineLevel="0" collapsed="false">
      <c r="A74" s="2" t="s">
        <v>81</v>
      </c>
      <c r="B74" s="3" t="s">
        <v>62</v>
      </c>
      <c r="C74" s="3" t="s">
        <v>63</v>
      </c>
      <c r="D74" s="3" t="s">
        <v>12</v>
      </c>
      <c r="E74" s="3" t="s">
        <v>13</v>
      </c>
      <c r="F74" s="3" t="s">
        <v>17</v>
      </c>
      <c r="G74" s="3" t="n">
        <v>43</v>
      </c>
      <c r="H74" s="3"/>
      <c r="I74" s="3" t="s">
        <v>15</v>
      </c>
    </row>
    <row r="75" customFormat="false" ht="15" hidden="false" customHeight="false" outlineLevel="0" collapsed="false">
      <c r="A75" s="2" t="s">
        <v>82</v>
      </c>
      <c r="B75" s="3" t="s">
        <v>62</v>
      </c>
      <c r="C75" s="3" t="s">
        <v>63</v>
      </c>
      <c r="D75" s="3" t="s">
        <v>12</v>
      </c>
      <c r="E75" s="3" t="s">
        <v>13</v>
      </c>
      <c r="F75" s="3" t="s">
        <v>14</v>
      </c>
      <c r="G75" s="3" t="n">
        <v>113</v>
      </c>
      <c r="H75" s="4" t="n">
        <v>25257</v>
      </c>
      <c r="I75" s="3" t="s">
        <v>15</v>
      </c>
    </row>
    <row r="76" customFormat="false" ht="15" hidden="false" customHeight="false" outlineLevel="0" collapsed="false">
      <c r="A76" s="2" t="s">
        <v>83</v>
      </c>
      <c r="B76" s="3" t="s">
        <v>62</v>
      </c>
      <c r="C76" s="3" t="s">
        <v>63</v>
      </c>
      <c r="D76" s="3" t="s">
        <v>12</v>
      </c>
      <c r="E76" s="3" t="s">
        <v>13</v>
      </c>
      <c r="F76" s="3" t="s">
        <v>14</v>
      </c>
      <c r="G76" s="3" t="n">
        <v>72</v>
      </c>
      <c r="H76" s="4" t="n">
        <v>26385</v>
      </c>
      <c r="I76" s="3" t="s">
        <v>15</v>
      </c>
    </row>
    <row r="77" customFormat="false" ht="15" hidden="false" customHeight="false" outlineLevel="0" collapsed="false">
      <c r="A77" s="2" t="s">
        <v>84</v>
      </c>
      <c r="B77" s="3" t="s">
        <v>62</v>
      </c>
      <c r="C77" s="3" t="s">
        <v>63</v>
      </c>
      <c r="D77" s="3" t="s">
        <v>12</v>
      </c>
      <c r="E77" s="3" t="s">
        <v>13</v>
      </c>
      <c r="F77" s="3" t="s">
        <v>17</v>
      </c>
      <c r="G77" s="3" t="n">
        <v>71</v>
      </c>
      <c r="H77" s="3"/>
      <c r="I77" s="3" t="s">
        <v>15</v>
      </c>
    </row>
    <row r="78" customFormat="false" ht="15" hidden="false" customHeight="false" outlineLevel="0" collapsed="false">
      <c r="A78" s="2" t="s">
        <v>85</v>
      </c>
      <c r="B78" s="3" t="s">
        <v>62</v>
      </c>
      <c r="C78" s="3" t="s">
        <v>63</v>
      </c>
      <c r="D78" s="3" t="s">
        <v>12</v>
      </c>
      <c r="E78" s="3" t="s">
        <v>13</v>
      </c>
      <c r="F78" s="3" t="s">
        <v>14</v>
      </c>
      <c r="G78" s="3" t="n">
        <v>162</v>
      </c>
      <c r="H78" s="4" t="n">
        <v>26962</v>
      </c>
      <c r="I78" s="3" t="s">
        <v>15</v>
      </c>
    </row>
    <row r="79" customFormat="false" ht="15" hidden="false" customHeight="false" outlineLevel="0" collapsed="false">
      <c r="A79" s="2" t="s">
        <v>86</v>
      </c>
      <c r="B79" s="3" t="s">
        <v>62</v>
      </c>
      <c r="C79" s="3" t="s">
        <v>63</v>
      </c>
      <c r="D79" s="3" t="s">
        <v>12</v>
      </c>
      <c r="E79" s="3" t="s">
        <v>13</v>
      </c>
      <c r="F79" s="3" t="s">
        <v>17</v>
      </c>
      <c r="G79" s="3" t="n">
        <v>83</v>
      </c>
      <c r="H79" s="3"/>
      <c r="I79" s="3" t="s">
        <v>15</v>
      </c>
    </row>
    <row r="80" customFormat="false" ht="15" hidden="false" customHeight="false" outlineLevel="0" collapsed="false">
      <c r="A80" s="2" t="s">
        <v>50</v>
      </c>
      <c r="B80" s="3" t="s">
        <v>62</v>
      </c>
      <c r="C80" s="3" t="s">
        <v>63</v>
      </c>
      <c r="D80" s="3" t="s">
        <v>12</v>
      </c>
      <c r="E80" s="3" t="s">
        <v>13</v>
      </c>
      <c r="F80" s="3" t="s">
        <v>17</v>
      </c>
      <c r="G80" s="3" t="n">
        <v>60</v>
      </c>
      <c r="H80" s="3"/>
      <c r="I80" s="3" t="s">
        <v>15</v>
      </c>
    </row>
    <row r="81" customFormat="false" ht="15" hidden="false" customHeight="false" outlineLevel="0" collapsed="false">
      <c r="A81" s="2" t="s">
        <v>87</v>
      </c>
      <c r="B81" s="3" t="s">
        <v>62</v>
      </c>
      <c r="C81" s="3" t="s">
        <v>63</v>
      </c>
      <c r="D81" s="3" t="s">
        <v>12</v>
      </c>
      <c r="E81" s="3" t="s">
        <v>13</v>
      </c>
      <c r="F81" s="3" t="s">
        <v>14</v>
      </c>
      <c r="G81" s="3" t="n">
        <v>188</v>
      </c>
      <c r="H81" s="4" t="n">
        <v>23975</v>
      </c>
      <c r="I81" s="3" t="s">
        <v>15</v>
      </c>
    </row>
    <row r="82" customFormat="false" ht="15" hidden="false" customHeight="false" outlineLevel="0" collapsed="false">
      <c r="A82" s="2" t="s">
        <v>88</v>
      </c>
      <c r="B82" s="3" t="s">
        <v>62</v>
      </c>
      <c r="C82" s="3" t="s">
        <v>63</v>
      </c>
      <c r="D82" s="3" t="s">
        <v>12</v>
      </c>
      <c r="E82" s="3" t="s">
        <v>13</v>
      </c>
      <c r="F82" s="3" t="s">
        <v>14</v>
      </c>
      <c r="G82" s="3" t="n">
        <v>199</v>
      </c>
      <c r="H82" s="4" t="n">
        <v>24325</v>
      </c>
      <c r="I82" s="3" t="s">
        <v>15</v>
      </c>
    </row>
    <row r="83" customFormat="false" ht="15" hidden="false" customHeight="false" outlineLevel="0" collapsed="false">
      <c r="A83" s="2" t="s">
        <v>89</v>
      </c>
      <c r="B83" s="3" t="s">
        <v>62</v>
      </c>
      <c r="C83" s="3" t="s">
        <v>63</v>
      </c>
      <c r="D83" s="3" t="s">
        <v>12</v>
      </c>
      <c r="E83" s="3" t="s">
        <v>13</v>
      </c>
      <c r="F83" s="3" t="s">
        <v>14</v>
      </c>
      <c r="G83" s="3" t="n">
        <v>122</v>
      </c>
      <c r="H83" s="4" t="n">
        <v>25772</v>
      </c>
      <c r="I83" s="3" t="s">
        <v>15</v>
      </c>
    </row>
    <row r="84" customFormat="false" ht="15" hidden="false" customHeight="false" outlineLevel="0" collapsed="false">
      <c r="A84" s="2" t="s">
        <v>90</v>
      </c>
      <c r="B84" s="3" t="s">
        <v>62</v>
      </c>
      <c r="C84" s="3" t="s">
        <v>63</v>
      </c>
      <c r="D84" s="3" t="s">
        <v>12</v>
      </c>
      <c r="E84" s="3" t="s">
        <v>13</v>
      </c>
      <c r="F84" s="3" t="s">
        <v>17</v>
      </c>
      <c r="G84" s="3" t="n">
        <v>97</v>
      </c>
      <c r="H84" s="3"/>
      <c r="I84" s="3" t="s">
        <v>15</v>
      </c>
    </row>
    <row r="85" customFormat="false" ht="15" hidden="false" customHeight="false" outlineLevel="0" collapsed="false">
      <c r="A85" s="2" t="s">
        <v>91</v>
      </c>
      <c r="B85" s="3" t="s">
        <v>62</v>
      </c>
      <c r="C85" s="3" t="s">
        <v>63</v>
      </c>
      <c r="D85" s="3" t="s">
        <v>12</v>
      </c>
      <c r="E85" s="3" t="s">
        <v>13</v>
      </c>
      <c r="F85" s="3" t="s">
        <v>14</v>
      </c>
      <c r="G85" s="3" t="n">
        <v>119</v>
      </c>
      <c r="H85" s="4" t="n">
        <v>23043</v>
      </c>
      <c r="I85" s="3" t="s">
        <v>15</v>
      </c>
    </row>
    <row r="86" customFormat="false" ht="15" hidden="false" customHeight="false" outlineLevel="0" collapsed="false">
      <c r="A86" s="2" t="s">
        <v>92</v>
      </c>
      <c r="B86" s="3" t="s">
        <v>62</v>
      </c>
      <c r="C86" s="3" t="s">
        <v>63</v>
      </c>
      <c r="D86" s="3" t="s">
        <v>12</v>
      </c>
      <c r="E86" s="3" t="s">
        <v>13</v>
      </c>
      <c r="F86" s="3" t="s">
        <v>17</v>
      </c>
      <c r="G86" s="3" t="n">
        <v>70</v>
      </c>
      <c r="H86" s="3"/>
      <c r="I86" s="3" t="s">
        <v>15</v>
      </c>
    </row>
    <row r="87" customFormat="false" ht="15" hidden="false" customHeight="false" outlineLevel="0" collapsed="false">
      <c r="A87" s="2" t="s">
        <v>93</v>
      </c>
      <c r="B87" s="3" t="s">
        <v>62</v>
      </c>
      <c r="C87" s="3" t="s">
        <v>63</v>
      </c>
      <c r="D87" s="3" t="s">
        <v>12</v>
      </c>
      <c r="E87" s="3" t="s">
        <v>13</v>
      </c>
      <c r="F87" s="3" t="s">
        <v>14</v>
      </c>
      <c r="G87" s="3" t="n">
        <v>36</v>
      </c>
      <c r="H87" s="4" t="n">
        <v>25155</v>
      </c>
      <c r="I87" s="3" t="s">
        <v>15</v>
      </c>
    </row>
    <row r="88" customFormat="false" ht="15" hidden="false" customHeight="false" outlineLevel="0" collapsed="false">
      <c r="A88" s="2" t="s">
        <v>57</v>
      </c>
      <c r="B88" s="3" t="s">
        <v>62</v>
      </c>
      <c r="C88" s="3" t="s">
        <v>63</v>
      </c>
      <c r="D88" s="3" t="s">
        <v>12</v>
      </c>
      <c r="E88" s="3" t="s">
        <v>13</v>
      </c>
      <c r="F88" s="3" t="s">
        <v>14</v>
      </c>
      <c r="G88" s="3" t="n">
        <v>175</v>
      </c>
      <c r="H88" s="4" t="n">
        <v>23309</v>
      </c>
      <c r="I88" s="3" t="s">
        <v>15</v>
      </c>
    </row>
    <row r="89" customFormat="false" ht="15" hidden="false" customHeight="false" outlineLevel="0" collapsed="false">
      <c r="A89" s="2" t="s">
        <v>94</v>
      </c>
      <c r="B89" s="3" t="s">
        <v>62</v>
      </c>
      <c r="C89" s="3" t="s">
        <v>63</v>
      </c>
      <c r="D89" s="3" t="s">
        <v>12</v>
      </c>
      <c r="E89" s="3" t="s">
        <v>13</v>
      </c>
      <c r="F89" s="3" t="s">
        <v>14</v>
      </c>
      <c r="G89" s="3" t="n">
        <v>122</v>
      </c>
      <c r="H89" s="4" t="n">
        <v>27268</v>
      </c>
      <c r="I89" s="3" t="s">
        <v>15</v>
      </c>
    </row>
    <row r="90" customFormat="false" ht="15" hidden="false" customHeight="false" outlineLevel="0" collapsed="false">
      <c r="A90" s="2" t="s">
        <v>95</v>
      </c>
      <c r="B90" s="3" t="s">
        <v>62</v>
      </c>
      <c r="C90" s="3" t="s">
        <v>63</v>
      </c>
      <c r="D90" s="3" t="s">
        <v>12</v>
      </c>
      <c r="E90" s="3" t="s">
        <v>13</v>
      </c>
      <c r="F90" s="3" t="s">
        <v>17</v>
      </c>
      <c r="G90" s="3" t="n">
        <v>86</v>
      </c>
      <c r="H90" s="3"/>
      <c r="I90" s="3" t="s">
        <v>15</v>
      </c>
    </row>
    <row r="91" customFormat="false" ht="15" hidden="false" customHeight="false" outlineLevel="0" collapsed="false">
      <c r="A91" s="2" t="s">
        <v>96</v>
      </c>
      <c r="B91" s="3" t="s">
        <v>62</v>
      </c>
      <c r="C91" s="3" t="s">
        <v>63</v>
      </c>
      <c r="D91" s="3" t="s">
        <v>12</v>
      </c>
      <c r="E91" s="3" t="s">
        <v>13</v>
      </c>
      <c r="F91" s="3" t="s">
        <v>17</v>
      </c>
      <c r="G91" s="3" t="n">
        <v>114</v>
      </c>
      <c r="H91" s="3"/>
      <c r="I91" s="3" t="s">
        <v>15</v>
      </c>
    </row>
    <row r="92" customFormat="false" ht="15" hidden="false" customHeight="false" outlineLevel="0" collapsed="false">
      <c r="A92" s="2" t="s">
        <v>60</v>
      </c>
      <c r="B92" s="3" t="s">
        <v>62</v>
      </c>
      <c r="C92" s="3" t="s">
        <v>63</v>
      </c>
      <c r="D92" s="3" t="s">
        <v>12</v>
      </c>
      <c r="E92" s="3" t="s">
        <v>13</v>
      </c>
      <c r="F92" s="3" t="s">
        <v>17</v>
      </c>
      <c r="G92" s="3" t="n">
        <v>66</v>
      </c>
      <c r="H92" s="3"/>
      <c r="I92" s="3" t="s">
        <v>15</v>
      </c>
    </row>
    <row r="93" customFormat="false" ht="15" hidden="false" customHeight="false" outlineLevel="0" collapsed="false">
      <c r="A93" s="2" t="s">
        <v>97</v>
      </c>
      <c r="B93" s="3" t="s">
        <v>62</v>
      </c>
      <c r="C93" s="3" t="s">
        <v>63</v>
      </c>
      <c r="D93" s="3" t="s">
        <v>12</v>
      </c>
      <c r="E93" s="3" t="s">
        <v>13</v>
      </c>
      <c r="F93" s="3" t="s">
        <v>14</v>
      </c>
      <c r="G93" s="3" t="n">
        <v>188</v>
      </c>
      <c r="H93" s="4" t="n">
        <v>27244</v>
      </c>
      <c r="I93" s="3" t="s">
        <v>15</v>
      </c>
    </row>
    <row r="94" customFormat="false" ht="15" hidden="false" customHeight="false" outlineLevel="0" collapsed="false">
      <c r="A94" s="2" t="s">
        <v>98</v>
      </c>
      <c r="B94" s="3" t="s">
        <v>62</v>
      </c>
      <c r="C94" s="3" t="s">
        <v>63</v>
      </c>
      <c r="D94" s="3" t="s">
        <v>12</v>
      </c>
      <c r="E94" s="3" t="s">
        <v>13</v>
      </c>
      <c r="F94" s="3" t="s">
        <v>14</v>
      </c>
      <c r="G94" s="3" t="n">
        <v>173</v>
      </c>
      <c r="H94" s="4" t="n">
        <v>27182</v>
      </c>
      <c r="I94" s="3" t="s">
        <v>15</v>
      </c>
    </row>
    <row r="95" customFormat="false" ht="15" hidden="false" customHeight="false" outlineLevel="0" collapsed="false">
      <c r="A95" s="2" t="s">
        <v>99</v>
      </c>
      <c r="B95" s="3" t="s">
        <v>62</v>
      </c>
      <c r="C95" s="3" t="s">
        <v>63</v>
      </c>
      <c r="D95" s="3" t="s">
        <v>12</v>
      </c>
      <c r="E95" s="3" t="s">
        <v>13</v>
      </c>
      <c r="F95" s="3" t="s">
        <v>17</v>
      </c>
      <c r="G95" s="3" t="n">
        <v>88</v>
      </c>
      <c r="H95" s="3"/>
      <c r="I95" s="3" t="s">
        <v>15</v>
      </c>
    </row>
    <row r="96" customFormat="false" ht="15" hidden="false" customHeight="false" outlineLevel="0" collapsed="false">
      <c r="A96" s="2" t="s">
        <v>100</v>
      </c>
      <c r="B96" s="3" t="s">
        <v>62</v>
      </c>
      <c r="C96" s="3" t="s">
        <v>63</v>
      </c>
      <c r="D96" s="3" t="s">
        <v>12</v>
      </c>
      <c r="E96" s="3" t="s">
        <v>13</v>
      </c>
      <c r="F96" s="3" t="s">
        <v>17</v>
      </c>
      <c r="G96" s="3" t="n">
        <v>56</v>
      </c>
      <c r="H96" s="3"/>
      <c r="I96" s="3" t="s">
        <v>15</v>
      </c>
    </row>
    <row r="97" customFormat="false" ht="15" hidden="false" customHeight="false" outlineLevel="0" collapsed="false">
      <c r="A97" s="2" t="s">
        <v>16</v>
      </c>
      <c r="B97" s="3" t="s">
        <v>101</v>
      </c>
      <c r="C97" s="3" t="s">
        <v>102</v>
      </c>
      <c r="D97" s="3" t="s">
        <v>103</v>
      </c>
      <c r="E97" s="3" t="s">
        <v>104</v>
      </c>
      <c r="F97" s="3" t="s">
        <v>14</v>
      </c>
      <c r="G97" s="3" t="n">
        <v>156</v>
      </c>
      <c r="H97" s="4" t="n">
        <v>25536</v>
      </c>
      <c r="I97" s="3" t="s">
        <v>15</v>
      </c>
    </row>
    <row r="98" customFormat="false" ht="15" hidden="false" customHeight="false" outlineLevel="0" collapsed="false">
      <c r="A98" s="2" t="s">
        <v>18</v>
      </c>
      <c r="B98" s="3" t="s">
        <v>101</v>
      </c>
      <c r="C98" s="3" t="s">
        <v>102</v>
      </c>
      <c r="D98" s="3" t="s">
        <v>103</v>
      </c>
      <c r="E98" s="3" t="s">
        <v>104</v>
      </c>
      <c r="F98" s="3" t="s">
        <v>17</v>
      </c>
      <c r="G98" s="3" t="n">
        <v>39</v>
      </c>
      <c r="H98" s="3"/>
      <c r="I98" s="3" t="s">
        <v>15</v>
      </c>
    </row>
    <row r="99" customFormat="false" ht="15" hidden="false" customHeight="false" outlineLevel="0" collapsed="false">
      <c r="A99" s="2" t="s">
        <v>105</v>
      </c>
      <c r="B99" s="3" t="s">
        <v>101</v>
      </c>
      <c r="C99" s="3" t="s">
        <v>102</v>
      </c>
      <c r="D99" s="3" t="s">
        <v>103</v>
      </c>
      <c r="E99" s="3" t="s">
        <v>104</v>
      </c>
      <c r="F99" s="3" t="s">
        <v>14</v>
      </c>
      <c r="G99" s="3" t="n">
        <v>113</v>
      </c>
      <c r="H99" s="4" t="n">
        <v>26376</v>
      </c>
      <c r="I99" s="3" t="s">
        <v>15</v>
      </c>
    </row>
    <row r="100" customFormat="false" ht="15" hidden="false" customHeight="false" outlineLevel="0" collapsed="false">
      <c r="A100" s="2" t="s">
        <v>106</v>
      </c>
      <c r="B100" s="3" t="s">
        <v>101</v>
      </c>
      <c r="C100" s="3" t="s">
        <v>102</v>
      </c>
      <c r="D100" s="3" t="s">
        <v>103</v>
      </c>
      <c r="E100" s="3" t="s">
        <v>104</v>
      </c>
      <c r="F100" s="3" t="s">
        <v>14</v>
      </c>
      <c r="G100" s="3" t="n">
        <v>22</v>
      </c>
      <c r="H100" s="4" t="n">
        <v>23000</v>
      </c>
      <c r="I100" s="3" t="s">
        <v>15</v>
      </c>
    </row>
    <row r="101" customFormat="false" ht="15" hidden="false" customHeight="false" outlineLevel="0" collapsed="false">
      <c r="A101" s="2" t="s">
        <v>107</v>
      </c>
      <c r="B101" s="3" t="s">
        <v>101</v>
      </c>
      <c r="C101" s="3" t="s">
        <v>102</v>
      </c>
      <c r="D101" s="3" t="s">
        <v>103</v>
      </c>
      <c r="E101" s="3" t="s">
        <v>104</v>
      </c>
      <c r="F101" s="3" t="s">
        <v>17</v>
      </c>
      <c r="G101" s="3" t="n">
        <v>118</v>
      </c>
      <c r="H101" s="3"/>
      <c r="I101" s="3" t="s">
        <v>15</v>
      </c>
    </row>
    <row r="102" customFormat="false" ht="15" hidden="false" customHeight="false" outlineLevel="0" collapsed="false">
      <c r="A102" s="2" t="s">
        <v>66</v>
      </c>
      <c r="B102" s="3" t="s">
        <v>101</v>
      </c>
      <c r="C102" s="3" t="s">
        <v>102</v>
      </c>
      <c r="D102" s="3" t="s">
        <v>103</v>
      </c>
      <c r="E102" s="3" t="s">
        <v>104</v>
      </c>
      <c r="F102" s="3" t="s">
        <v>14</v>
      </c>
      <c r="G102" s="3" t="n">
        <v>140</v>
      </c>
      <c r="H102" s="4" t="n">
        <v>27383</v>
      </c>
      <c r="I102" s="3" t="s">
        <v>15</v>
      </c>
    </row>
    <row r="103" customFormat="false" ht="15" hidden="false" customHeight="false" outlineLevel="0" collapsed="false">
      <c r="A103" s="2" t="s">
        <v>108</v>
      </c>
      <c r="B103" s="3" t="s">
        <v>101</v>
      </c>
      <c r="C103" s="3" t="s">
        <v>102</v>
      </c>
      <c r="D103" s="3" t="s">
        <v>103</v>
      </c>
      <c r="E103" s="3" t="s">
        <v>104</v>
      </c>
      <c r="F103" s="3" t="s">
        <v>17</v>
      </c>
      <c r="G103" s="3" t="n">
        <v>72</v>
      </c>
      <c r="H103" s="3"/>
      <c r="I103" s="3" t="s">
        <v>15</v>
      </c>
    </row>
    <row r="104" customFormat="false" ht="15" hidden="false" customHeight="false" outlineLevel="0" collapsed="false">
      <c r="A104" s="2" t="s">
        <v>22</v>
      </c>
      <c r="B104" s="3" t="s">
        <v>101</v>
      </c>
      <c r="C104" s="3" t="s">
        <v>102</v>
      </c>
      <c r="D104" s="3" t="s">
        <v>103</v>
      </c>
      <c r="E104" s="3" t="s">
        <v>104</v>
      </c>
      <c r="F104" s="3" t="s">
        <v>14</v>
      </c>
      <c r="G104" s="3" t="n">
        <v>130</v>
      </c>
      <c r="H104" s="4" t="n">
        <v>25399</v>
      </c>
      <c r="I104" s="3" t="s">
        <v>15</v>
      </c>
    </row>
    <row r="105" customFormat="false" ht="15" hidden="false" customHeight="false" outlineLevel="0" collapsed="false">
      <c r="A105" s="2" t="s">
        <v>70</v>
      </c>
      <c r="B105" s="3" t="s">
        <v>101</v>
      </c>
      <c r="C105" s="3" t="s">
        <v>102</v>
      </c>
      <c r="D105" s="3" t="s">
        <v>103</v>
      </c>
      <c r="E105" s="3" t="s">
        <v>104</v>
      </c>
      <c r="F105" s="3" t="s">
        <v>14</v>
      </c>
      <c r="G105" s="3" t="n">
        <v>21</v>
      </c>
      <c r="H105" s="4" t="n">
        <v>27490</v>
      </c>
      <c r="I105" s="3" t="s">
        <v>15</v>
      </c>
    </row>
    <row r="106" customFormat="false" ht="15" hidden="false" customHeight="false" outlineLevel="0" collapsed="false">
      <c r="A106" s="2" t="s">
        <v>109</v>
      </c>
      <c r="B106" s="3" t="s">
        <v>101</v>
      </c>
      <c r="C106" s="3" t="s">
        <v>102</v>
      </c>
      <c r="D106" s="3" t="s">
        <v>103</v>
      </c>
      <c r="E106" s="3" t="s">
        <v>104</v>
      </c>
      <c r="F106" s="3" t="s">
        <v>14</v>
      </c>
      <c r="G106" s="3" t="n">
        <v>163</v>
      </c>
      <c r="H106" s="4" t="n">
        <v>26580</v>
      </c>
      <c r="I106" s="3" t="s">
        <v>15</v>
      </c>
    </row>
    <row r="107" customFormat="false" ht="15" hidden="false" customHeight="false" outlineLevel="0" collapsed="false">
      <c r="A107" s="2" t="s">
        <v>72</v>
      </c>
      <c r="B107" s="3" t="s">
        <v>101</v>
      </c>
      <c r="C107" s="3" t="s">
        <v>102</v>
      </c>
      <c r="D107" s="3" t="s">
        <v>103</v>
      </c>
      <c r="E107" s="3" t="s">
        <v>104</v>
      </c>
      <c r="F107" s="3" t="s">
        <v>14</v>
      </c>
      <c r="G107" s="3" t="n">
        <v>185</v>
      </c>
      <c r="H107" s="4" t="n">
        <v>26192</v>
      </c>
      <c r="I107" s="3" t="s">
        <v>15</v>
      </c>
    </row>
    <row r="108" customFormat="false" ht="15" hidden="false" customHeight="false" outlineLevel="0" collapsed="false">
      <c r="A108" s="2" t="s">
        <v>26</v>
      </c>
      <c r="B108" s="3" t="s">
        <v>101</v>
      </c>
      <c r="C108" s="3" t="s">
        <v>102</v>
      </c>
      <c r="D108" s="3" t="s">
        <v>103</v>
      </c>
      <c r="E108" s="3" t="s">
        <v>104</v>
      </c>
      <c r="F108" s="3" t="s">
        <v>14</v>
      </c>
      <c r="G108" s="3" t="n">
        <v>40</v>
      </c>
      <c r="H108" s="4" t="n">
        <v>26458</v>
      </c>
      <c r="I108" s="3" t="s">
        <v>15</v>
      </c>
    </row>
    <row r="109" customFormat="false" ht="15" hidden="false" customHeight="false" outlineLevel="0" collapsed="false">
      <c r="A109" s="2" t="s">
        <v>110</v>
      </c>
      <c r="B109" s="3" t="s">
        <v>101</v>
      </c>
      <c r="C109" s="3" t="s">
        <v>102</v>
      </c>
      <c r="D109" s="3" t="s">
        <v>103</v>
      </c>
      <c r="E109" s="3" t="s">
        <v>104</v>
      </c>
      <c r="F109" s="3" t="s">
        <v>14</v>
      </c>
      <c r="G109" s="3" t="n">
        <v>176</v>
      </c>
      <c r="H109" s="4" t="n">
        <v>25227</v>
      </c>
      <c r="I109" s="3" t="s">
        <v>15</v>
      </c>
    </row>
    <row r="110" customFormat="false" ht="15" hidden="false" customHeight="false" outlineLevel="0" collapsed="false">
      <c r="A110" s="2" t="s">
        <v>111</v>
      </c>
      <c r="B110" s="3" t="s">
        <v>101</v>
      </c>
      <c r="C110" s="3" t="s">
        <v>102</v>
      </c>
      <c r="D110" s="3" t="s">
        <v>103</v>
      </c>
      <c r="E110" s="3" t="s">
        <v>104</v>
      </c>
      <c r="F110" s="3" t="s">
        <v>17</v>
      </c>
      <c r="G110" s="3" t="n">
        <v>78</v>
      </c>
      <c r="H110" s="3"/>
      <c r="I110" s="3" t="s">
        <v>15</v>
      </c>
    </row>
    <row r="111" customFormat="false" ht="15" hidden="false" customHeight="false" outlineLevel="0" collapsed="false">
      <c r="A111" s="2" t="s">
        <v>29</v>
      </c>
      <c r="B111" s="3" t="s">
        <v>101</v>
      </c>
      <c r="C111" s="3" t="s">
        <v>102</v>
      </c>
      <c r="D111" s="3" t="s">
        <v>103</v>
      </c>
      <c r="E111" s="3" t="s">
        <v>104</v>
      </c>
      <c r="F111" s="3" t="s">
        <v>14</v>
      </c>
      <c r="G111" s="3" t="n">
        <v>37</v>
      </c>
      <c r="H111" s="4" t="n">
        <v>24494</v>
      </c>
      <c r="I111" s="3" t="s">
        <v>15</v>
      </c>
    </row>
    <row r="112" customFormat="false" ht="15" hidden="false" customHeight="false" outlineLevel="0" collapsed="false">
      <c r="A112" s="2" t="s">
        <v>112</v>
      </c>
      <c r="B112" s="3" t="s">
        <v>101</v>
      </c>
      <c r="C112" s="3" t="s">
        <v>102</v>
      </c>
      <c r="D112" s="3" t="s">
        <v>103</v>
      </c>
      <c r="E112" s="3" t="s">
        <v>104</v>
      </c>
      <c r="F112" s="3" t="s">
        <v>14</v>
      </c>
      <c r="G112" s="3" t="n">
        <v>183</v>
      </c>
      <c r="H112" s="4" t="n">
        <v>26730</v>
      </c>
      <c r="I112" s="3" t="s">
        <v>15</v>
      </c>
    </row>
    <row r="113" customFormat="false" ht="15" hidden="false" customHeight="false" outlineLevel="0" collapsed="false">
      <c r="A113" s="2" t="s">
        <v>113</v>
      </c>
      <c r="B113" s="3" t="s">
        <v>101</v>
      </c>
      <c r="C113" s="3" t="s">
        <v>102</v>
      </c>
      <c r="D113" s="3" t="s">
        <v>103</v>
      </c>
      <c r="E113" s="3" t="s">
        <v>104</v>
      </c>
      <c r="F113" s="3" t="s">
        <v>17</v>
      </c>
      <c r="G113" s="3" t="n">
        <v>99</v>
      </c>
      <c r="H113" s="3"/>
      <c r="I113" s="3" t="s">
        <v>15</v>
      </c>
    </row>
    <row r="114" customFormat="false" ht="15" hidden="false" customHeight="false" outlineLevel="0" collapsed="false">
      <c r="A114" s="2" t="s">
        <v>114</v>
      </c>
      <c r="B114" s="3" t="s">
        <v>101</v>
      </c>
      <c r="C114" s="3" t="s">
        <v>102</v>
      </c>
      <c r="D114" s="3" t="s">
        <v>103</v>
      </c>
      <c r="E114" s="3" t="s">
        <v>104</v>
      </c>
      <c r="F114" s="3" t="s">
        <v>17</v>
      </c>
      <c r="G114" s="3" t="n">
        <v>51</v>
      </c>
      <c r="H114" s="3"/>
      <c r="I114" s="3" t="s">
        <v>15</v>
      </c>
    </row>
    <row r="115" customFormat="false" ht="15" hidden="false" customHeight="false" outlineLevel="0" collapsed="false">
      <c r="A115" s="2" t="s">
        <v>115</v>
      </c>
      <c r="B115" s="3" t="s">
        <v>101</v>
      </c>
      <c r="C115" s="3" t="s">
        <v>102</v>
      </c>
      <c r="D115" s="3" t="s">
        <v>103</v>
      </c>
      <c r="E115" s="3" t="s">
        <v>104</v>
      </c>
      <c r="F115" s="3" t="s">
        <v>14</v>
      </c>
      <c r="G115" s="3" t="n">
        <v>156</v>
      </c>
      <c r="H115" s="4" t="n">
        <v>23181</v>
      </c>
      <c r="I115" s="3" t="s">
        <v>15</v>
      </c>
    </row>
    <row r="116" customFormat="false" ht="15" hidden="false" customHeight="false" outlineLevel="0" collapsed="false">
      <c r="A116" s="2" t="s">
        <v>116</v>
      </c>
      <c r="B116" s="3" t="s">
        <v>101</v>
      </c>
      <c r="C116" s="3" t="s">
        <v>102</v>
      </c>
      <c r="D116" s="3" t="s">
        <v>103</v>
      </c>
      <c r="E116" s="3" t="s">
        <v>104</v>
      </c>
      <c r="F116" s="3" t="s">
        <v>17</v>
      </c>
      <c r="G116" s="3" t="n">
        <v>46</v>
      </c>
      <c r="H116" s="3"/>
      <c r="I116" s="3" t="s">
        <v>15</v>
      </c>
    </row>
    <row r="117" customFormat="false" ht="15" hidden="false" customHeight="false" outlineLevel="0" collapsed="false">
      <c r="A117" s="2" t="s">
        <v>77</v>
      </c>
      <c r="B117" s="3" t="s">
        <v>101</v>
      </c>
      <c r="C117" s="3" t="s">
        <v>102</v>
      </c>
      <c r="D117" s="3" t="s">
        <v>103</v>
      </c>
      <c r="E117" s="3" t="s">
        <v>104</v>
      </c>
      <c r="F117" s="3" t="s">
        <v>14</v>
      </c>
      <c r="G117" s="3" t="n">
        <v>132</v>
      </c>
      <c r="H117" s="4" t="n">
        <v>23067</v>
      </c>
      <c r="I117" s="3" t="s">
        <v>15</v>
      </c>
    </row>
    <row r="118" customFormat="false" ht="15" hidden="false" customHeight="false" outlineLevel="0" collapsed="false">
      <c r="A118" s="2" t="s">
        <v>117</v>
      </c>
      <c r="B118" s="3" t="s">
        <v>101</v>
      </c>
      <c r="C118" s="3" t="s">
        <v>102</v>
      </c>
      <c r="D118" s="3" t="s">
        <v>103</v>
      </c>
      <c r="E118" s="3" t="s">
        <v>104</v>
      </c>
      <c r="F118" s="3" t="s">
        <v>14</v>
      </c>
      <c r="G118" s="3" t="n">
        <v>23</v>
      </c>
      <c r="H118" s="4" t="n">
        <v>27043</v>
      </c>
      <c r="I118" s="3" t="s">
        <v>15</v>
      </c>
    </row>
    <row r="119" customFormat="false" ht="15" hidden="false" customHeight="false" outlineLevel="0" collapsed="false">
      <c r="A119" s="2" t="s">
        <v>78</v>
      </c>
      <c r="B119" s="3" t="s">
        <v>101</v>
      </c>
      <c r="C119" s="3" t="s">
        <v>102</v>
      </c>
      <c r="D119" s="3" t="s">
        <v>103</v>
      </c>
      <c r="E119" s="3" t="s">
        <v>104</v>
      </c>
      <c r="F119" s="3" t="s">
        <v>14</v>
      </c>
      <c r="G119" s="3" t="n">
        <v>99</v>
      </c>
      <c r="H119" s="4" t="n">
        <v>27082</v>
      </c>
      <c r="I119" s="3" t="s">
        <v>15</v>
      </c>
    </row>
    <row r="120" customFormat="false" ht="15" hidden="false" customHeight="false" outlineLevel="0" collapsed="false">
      <c r="A120" s="2" t="s">
        <v>36</v>
      </c>
      <c r="B120" s="3" t="s">
        <v>101</v>
      </c>
      <c r="C120" s="3" t="s">
        <v>102</v>
      </c>
      <c r="D120" s="3" t="s">
        <v>103</v>
      </c>
      <c r="E120" s="3" t="s">
        <v>104</v>
      </c>
      <c r="F120" s="3" t="s">
        <v>17</v>
      </c>
      <c r="G120" s="3" t="n">
        <v>111</v>
      </c>
      <c r="H120" s="3"/>
      <c r="I120" s="3" t="s">
        <v>15</v>
      </c>
    </row>
    <row r="121" customFormat="false" ht="15" hidden="false" customHeight="false" outlineLevel="0" collapsed="false">
      <c r="A121" s="2" t="s">
        <v>118</v>
      </c>
      <c r="B121" s="3" t="s">
        <v>101</v>
      </c>
      <c r="C121" s="3" t="s">
        <v>102</v>
      </c>
      <c r="D121" s="3" t="s">
        <v>103</v>
      </c>
      <c r="E121" s="3" t="s">
        <v>104</v>
      </c>
      <c r="F121" s="3" t="s">
        <v>14</v>
      </c>
      <c r="G121" s="3" t="n">
        <v>57</v>
      </c>
      <c r="H121" s="4" t="n">
        <v>23459</v>
      </c>
      <c r="I121" s="3" t="s">
        <v>15</v>
      </c>
    </row>
    <row r="122" customFormat="false" ht="15" hidden="false" customHeight="false" outlineLevel="0" collapsed="false">
      <c r="A122" s="2" t="s">
        <v>119</v>
      </c>
      <c r="B122" s="3" t="s">
        <v>101</v>
      </c>
      <c r="C122" s="3" t="s">
        <v>102</v>
      </c>
      <c r="D122" s="3" t="s">
        <v>103</v>
      </c>
      <c r="E122" s="3" t="s">
        <v>104</v>
      </c>
      <c r="F122" s="3" t="s">
        <v>17</v>
      </c>
      <c r="G122" s="3" t="n">
        <v>19</v>
      </c>
      <c r="H122" s="3"/>
      <c r="I122" s="3" t="s">
        <v>15</v>
      </c>
    </row>
    <row r="123" customFormat="false" ht="15" hidden="false" customHeight="false" outlineLevel="0" collapsed="false">
      <c r="A123" s="2" t="s">
        <v>120</v>
      </c>
      <c r="B123" s="3" t="s">
        <v>101</v>
      </c>
      <c r="C123" s="3" t="s">
        <v>102</v>
      </c>
      <c r="D123" s="3" t="s">
        <v>103</v>
      </c>
      <c r="E123" s="3" t="s">
        <v>104</v>
      </c>
      <c r="F123" s="3" t="s">
        <v>17</v>
      </c>
      <c r="G123" s="3" t="n">
        <v>34</v>
      </c>
      <c r="H123" s="3"/>
      <c r="I123" s="3" t="s">
        <v>15</v>
      </c>
    </row>
    <row r="124" customFormat="false" ht="15" hidden="false" customHeight="false" outlineLevel="0" collapsed="false">
      <c r="A124" s="2" t="s">
        <v>40</v>
      </c>
      <c r="B124" s="3" t="s">
        <v>101</v>
      </c>
      <c r="C124" s="3" t="s">
        <v>102</v>
      </c>
      <c r="D124" s="3" t="s">
        <v>103</v>
      </c>
      <c r="E124" s="3" t="s">
        <v>104</v>
      </c>
      <c r="F124" s="3" t="s">
        <v>17</v>
      </c>
      <c r="G124" s="3" t="n">
        <v>116</v>
      </c>
      <c r="H124" s="3"/>
      <c r="I124" s="3" t="s">
        <v>15</v>
      </c>
    </row>
    <row r="125" customFormat="false" ht="15" hidden="false" customHeight="false" outlineLevel="0" collapsed="false">
      <c r="A125" s="2" t="s">
        <v>121</v>
      </c>
      <c r="B125" s="3" t="s">
        <v>101</v>
      </c>
      <c r="C125" s="3" t="s">
        <v>102</v>
      </c>
      <c r="D125" s="3" t="s">
        <v>103</v>
      </c>
      <c r="E125" s="3" t="s">
        <v>104</v>
      </c>
      <c r="F125" s="3" t="s">
        <v>14</v>
      </c>
      <c r="G125" s="3" t="n">
        <v>83</v>
      </c>
      <c r="H125" s="4" t="n">
        <v>26152</v>
      </c>
      <c r="I125" s="3" t="s">
        <v>15</v>
      </c>
    </row>
    <row r="126" customFormat="false" ht="15" hidden="false" customHeight="false" outlineLevel="0" collapsed="false">
      <c r="A126" s="2" t="s">
        <v>122</v>
      </c>
      <c r="B126" s="3" t="s">
        <v>101</v>
      </c>
      <c r="C126" s="3" t="s">
        <v>102</v>
      </c>
      <c r="D126" s="3" t="s">
        <v>103</v>
      </c>
      <c r="E126" s="3" t="s">
        <v>104</v>
      </c>
      <c r="F126" s="3" t="s">
        <v>14</v>
      </c>
      <c r="G126" s="3" t="n">
        <v>28</v>
      </c>
      <c r="H126" s="4" t="n">
        <v>24631</v>
      </c>
      <c r="I126" s="3" t="s">
        <v>15</v>
      </c>
    </row>
    <row r="127" customFormat="false" ht="15" hidden="false" customHeight="false" outlineLevel="0" collapsed="false">
      <c r="A127" s="2" t="s">
        <v>123</v>
      </c>
      <c r="B127" s="3" t="s">
        <v>101</v>
      </c>
      <c r="C127" s="3" t="s">
        <v>102</v>
      </c>
      <c r="D127" s="3" t="s">
        <v>103</v>
      </c>
      <c r="E127" s="3" t="s">
        <v>104</v>
      </c>
      <c r="F127" s="3" t="s">
        <v>17</v>
      </c>
      <c r="G127" s="3" t="n">
        <v>22</v>
      </c>
      <c r="H127" s="3"/>
      <c r="I127" s="3" t="s">
        <v>15</v>
      </c>
    </row>
    <row r="128" customFormat="false" ht="15" hidden="false" customHeight="false" outlineLevel="0" collapsed="false">
      <c r="A128" s="2" t="s">
        <v>43</v>
      </c>
      <c r="B128" s="3" t="s">
        <v>101</v>
      </c>
      <c r="C128" s="3" t="s">
        <v>102</v>
      </c>
      <c r="D128" s="3" t="s">
        <v>103</v>
      </c>
      <c r="E128" s="3" t="s">
        <v>104</v>
      </c>
      <c r="F128" s="3" t="s">
        <v>17</v>
      </c>
      <c r="G128" s="3" t="n">
        <v>36</v>
      </c>
      <c r="H128" s="3"/>
      <c r="I128" s="3" t="s">
        <v>15</v>
      </c>
    </row>
    <row r="129" customFormat="false" ht="15" hidden="false" customHeight="false" outlineLevel="0" collapsed="false">
      <c r="A129" s="2" t="s">
        <v>124</v>
      </c>
      <c r="B129" s="3" t="s">
        <v>101</v>
      </c>
      <c r="C129" s="3" t="s">
        <v>102</v>
      </c>
      <c r="D129" s="3" t="s">
        <v>103</v>
      </c>
      <c r="E129" s="3" t="s">
        <v>104</v>
      </c>
      <c r="F129" s="3" t="s">
        <v>14</v>
      </c>
      <c r="G129" s="3" t="n">
        <v>99</v>
      </c>
      <c r="H129" s="4" t="n">
        <v>25646</v>
      </c>
      <c r="I129" s="3" t="s">
        <v>15</v>
      </c>
    </row>
    <row r="130" customFormat="false" ht="15" hidden="false" customHeight="false" outlineLevel="0" collapsed="false">
      <c r="A130" s="2" t="s">
        <v>45</v>
      </c>
      <c r="B130" s="3" t="s">
        <v>101</v>
      </c>
      <c r="C130" s="3" t="s">
        <v>102</v>
      </c>
      <c r="D130" s="3" t="s">
        <v>103</v>
      </c>
      <c r="E130" s="3" t="s">
        <v>104</v>
      </c>
      <c r="F130" s="3" t="s">
        <v>17</v>
      </c>
      <c r="G130" s="3" t="n">
        <v>15</v>
      </c>
      <c r="H130" s="3"/>
      <c r="I130" s="3" t="s">
        <v>15</v>
      </c>
    </row>
    <row r="131" customFormat="false" ht="15" hidden="false" customHeight="false" outlineLevel="0" collapsed="false">
      <c r="A131" s="2" t="s">
        <v>84</v>
      </c>
      <c r="B131" s="3" t="s">
        <v>101</v>
      </c>
      <c r="C131" s="3" t="s">
        <v>102</v>
      </c>
      <c r="D131" s="3" t="s">
        <v>103</v>
      </c>
      <c r="E131" s="3" t="s">
        <v>104</v>
      </c>
      <c r="F131" s="3" t="s">
        <v>17</v>
      </c>
      <c r="G131" s="3" t="n">
        <v>76</v>
      </c>
      <c r="H131" s="3"/>
      <c r="I131" s="3" t="s">
        <v>15</v>
      </c>
    </row>
    <row r="132" customFormat="false" ht="15" hidden="false" customHeight="false" outlineLevel="0" collapsed="false">
      <c r="A132" s="2" t="s">
        <v>125</v>
      </c>
      <c r="B132" s="3" t="s">
        <v>101</v>
      </c>
      <c r="C132" s="3" t="s">
        <v>102</v>
      </c>
      <c r="D132" s="3" t="s">
        <v>103</v>
      </c>
      <c r="E132" s="3" t="s">
        <v>104</v>
      </c>
      <c r="F132" s="3" t="s">
        <v>14</v>
      </c>
      <c r="G132" s="3" t="n">
        <v>183</v>
      </c>
      <c r="H132" s="4" t="n">
        <v>25447</v>
      </c>
      <c r="I132" s="3" t="s">
        <v>15</v>
      </c>
    </row>
    <row r="133" customFormat="false" ht="15" hidden="false" customHeight="false" outlineLevel="0" collapsed="false">
      <c r="A133" s="2" t="s">
        <v>126</v>
      </c>
      <c r="B133" s="3" t="s">
        <v>101</v>
      </c>
      <c r="C133" s="3" t="s">
        <v>102</v>
      </c>
      <c r="D133" s="3" t="s">
        <v>103</v>
      </c>
      <c r="E133" s="3" t="s">
        <v>104</v>
      </c>
      <c r="F133" s="3" t="s">
        <v>14</v>
      </c>
      <c r="G133" s="3" t="n">
        <v>33</v>
      </c>
      <c r="H133" s="4" t="n">
        <v>24784</v>
      </c>
      <c r="I133" s="3" t="s">
        <v>15</v>
      </c>
    </row>
    <row r="134" customFormat="false" ht="15" hidden="false" customHeight="false" outlineLevel="0" collapsed="false">
      <c r="A134" s="2" t="s">
        <v>48</v>
      </c>
      <c r="B134" s="3" t="s">
        <v>101</v>
      </c>
      <c r="C134" s="3" t="s">
        <v>102</v>
      </c>
      <c r="D134" s="3" t="s">
        <v>103</v>
      </c>
      <c r="E134" s="3" t="s">
        <v>104</v>
      </c>
      <c r="F134" s="3" t="s">
        <v>14</v>
      </c>
      <c r="G134" s="3" t="n">
        <v>131</v>
      </c>
      <c r="H134" s="4" t="n">
        <v>25658</v>
      </c>
      <c r="I134" s="3" t="s">
        <v>15</v>
      </c>
    </row>
    <row r="135" customFormat="false" ht="15" hidden="false" customHeight="false" outlineLevel="0" collapsed="false">
      <c r="A135" s="2" t="s">
        <v>86</v>
      </c>
      <c r="B135" s="3" t="s">
        <v>101</v>
      </c>
      <c r="C135" s="3" t="s">
        <v>102</v>
      </c>
      <c r="D135" s="3" t="s">
        <v>103</v>
      </c>
      <c r="E135" s="3" t="s">
        <v>104</v>
      </c>
      <c r="F135" s="3" t="s">
        <v>14</v>
      </c>
      <c r="G135" s="3" t="n">
        <v>90</v>
      </c>
      <c r="H135" s="4" t="n">
        <v>27789</v>
      </c>
      <c r="I135" s="3" t="s">
        <v>15</v>
      </c>
    </row>
    <row r="136" customFormat="false" ht="15" hidden="false" customHeight="false" outlineLevel="0" collapsed="false">
      <c r="A136" s="2" t="s">
        <v>49</v>
      </c>
      <c r="B136" s="3" t="s">
        <v>101</v>
      </c>
      <c r="C136" s="3" t="s">
        <v>102</v>
      </c>
      <c r="D136" s="3" t="s">
        <v>103</v>
      </c>
      <c r="E136" s="3" t="s">
        <v>104</v>
      </c>
      <c r="F136" s="3" t="s">
        <v>14</v>
      </c>
      <c r="G136" s="3" t="n">
        <v>82</v>
      </c>
      <c r="H136" s="4" t="n">
        <v>23073</v>
      </c>
      <c r="I136" s="3" t="s">
        <v>15</v>
      </c>
    </row>
    <row r="137" customFormat="false" ht="15" hidden="false" customHeight="false" outlineLevel="0" collapsed="false">
      <c r="A137" s="2" t="s">
        <v>127</v>
      </c>
      <c r="B137" s="3" t="s">
        <v>101</v>
      </c>
      <c r="C137" s="3" t="s">
        <v>102</v>
      </c>
      <c r="D137" s="3" t="s">
        <v>103</v>
      </c>
      <c r="E137" s="3" t="s">
        <v>104</v>
      </c>
      <c r="F137" s="3" t="s">
        <v>17</v>
      </c>
      <c r="G137" s="3" t="n">
        <v>98</v>
      </c>
      <c r="H137" s="3"/>
      <c r="I137" s="3" t="s">
        <v>15</v>
      </c>
    </row>
    <row r="138" customFormat="false" ht="15" hidden="false" customHeight="false" outlineLevel="0" collapsed="false">
      <c r="A138" s="2" t="s">
        <v>128</v>
      </c>
      <c r="B138" s="3" t="s">
        <v>101</v>
      </c>
      <c r="C138" s="3" t="s">
        <v>102</v>
      </c>
      <c r="D138" s="3" t="s">
        <v>103</v>
      </c>
      <c r="E138" s="3" t="s">
        <v>104</v>
      </c>
      <c r="F138" s="3" t="s">
        <v>17</v>
      </c>
      <c r="G138" s="3" t="n">
        <v>29</v>
      </c>
      <c r="H138" s="3"/>
      <c r="I138" s="3" t="s">
        <v>15</v>
      </c>
    </row>
    <row r="139" customFormat="false" ht="15" hidden="false" customHeight="false" outlineLevel="0" collapsed="false">
      <c r="A139" s="2" t="s">
        <v>87</v>
      </c>
      <c r="B139" s="3" t="s">
        <v>101</v>
      </c>
      <c r="C139" s="3" t="s">
        <v>102</v>
      </c>
      <c r="D139" s="3" t="s">
        <v>103</v>
      </c>
      <c r="E139" s="3" t="s">
        <v>104</v>
      </c>
      <c r="F139" s="3" t="s">
        <v>17</v>
      </c>
      <c r="G139" s="3" t="n">
        <v>41</v>
      </c>
      <c r="H139" s="3"/>
      <c r="I139" s="3" t="s">
        <v>15</v>
      </c>
    </row>
    <row r="140" customFormat="false" ht="15" hidden="false" customHeight="false" outlineLevel="0" collapsed="false">
      <c r="A140" s="2" t="s">
        <v>129</v>
      </c>
      <c r="B140" s="3" t="s">
        <v>101</v>
      </c>
      <c r="C140" s="3" t="s">
        <v>102</v>
      </c>
      <c r="D140" s="3" t="s">
        <v>103</v>
      </c>
      <c r="E140" s="3" t="s">
        <v>104</v>
      </c>
      <c r="F140" s="3" t="s">
        <v>17</v>
      </c>
      <c r="G140" s="3" t="n">
        <v>97</v>
      </c>
      <c r="H140" s="3"/>
      <c r="I140" s="3" t="s">
        <v>15</v>
      </c>
    </row>
    <row r="141" customFormat="false" ht="15" hidden="false" customHeight="false" outlineLevel="0" collapsed="false">
      <c r="A141" s="2" t="s">
        <v>89</v>
      </c>
      <c r="B141" s="3" t="s">
        <v>101</v>
      </c>
      <c r="C141" s="3" t="s">
        <v>102</v>
      </c>
      <c r="D141" s="3" t="s">
        <v>103</v>
      </c>
      <c r="E141" s="3" t="s">
        <v>104</v>
      </c>
      <c r="F141" s="3" t="s">
        <v>14</v>
      </c>
      <c r="G141" s="3" t="n">
        <v>180</v>
      </c>
      <c r="H141" s="4" t="n">
        <v>23491</v>
      </c>
      <c r="I141" s="3" t="s">
        <v>15</v>
      </c>
    </row>
    <row r="142" customFormat="false" ht="15" hidden="false" customHeight="false" outlineLevel="0" collapsed="false">
      <c r="A142" s="2" t="s">
        <v>130</v>
      </c>
      <c r="B142" s="3" t="s">
        <v>101</v>
      </c>
      <c r="C142" s="3" t="s">
        <v>102</v>
      </c>
      <c r="D142" s="3" t="s">
        <v>103</v>
      </c>
      <c r="E142" s="3" t="s">
        <v>104</v>
      </c>
      <c r="F142" s="3" t="s">
        <v>14</v>
      </c>
      <c r="G142" s="3" t="n">
        <v>59</v>
      </c>
      <c r="H142" s="4" t="n">
        <v>27393</v>
      </c>
      <c r="I142" s="3" t="s">
        <v>15</v>
      </c>
    </row>
    <row r="143" customFormat="false" ht="15" hidden="false" customHeight="false" outlineLevel="0" collapsed="false">
      <c r="A143" s="2" t="s">
        <v>53</v>
      </c>
      <c r="B143" s="3" t="s">
        <v>101</v>
      </c>
      <c r="C143" s="3" t="s">
        <v>102</v>
      </c>
      <c r="D143" s="3" t="s">
        <v>103</v>
      </c>
      <c r="E143" s="3" t="s">
        <v>104</v>
      </c>
      <c r="F143" s="3" t="s">
        <v>14</v>
      </c>
      <c r="G143" s="3" t="n">
        <v>79</v>
      </c>
      <c r="H143" s="4" t="n">
        <v>25594</v>
      </c>
      <c r="I143" s="3" t="s">
        <v>15</v>
      </c>
    </row>
    <row r="144" customFormat="false" ht="15" hidden="false" customHeight="false" outlineLevel="0" collapsed="false">
      <c r="A144" s="2" t="s">
        <v>131</v>
      </c>
      <c r="B144" s="3" t="s">
        <v>101</v>
      </c>
      <c r="C144" s="3" t="s">
        <v>102</v>
      </c>
      <c r="D144" s="3" t="s">
        <v>103</v>
      </c>
      <c r="E144" s="3" t="s">
        <v>104</v>
      </c>
      <c r="F144" s="3" t="s">
        <v>17</v>
      </c>
      <c r="G144" s="3" t="n">
        <v>106</v>
      </c>
      <c r="H144" s="3"/>
      <c r="I144" s="3" t="s">
        <v>15</v>
      </c>
    </row>
    <row r="145" customFormat="false" ht="15" hidden="false" customHeight="false" outlineLevel="0" collapsed="false">
      <c r="A145" s="2" t="s">
        <v>132</v>
      </c>
      <c r="B145" s="3" t="s">
        <v>101</v>
      </c>
      <c r="C145" s="3" t="s">
        <v>102</v>
      </c>
      <c r="D145" s="3" t="s">
        <v>103</v>
      </c>
      <c r="E145" s="3" t="s">
        <v>104</v>
      </c>
      <c r="F145" s="3" t="s">
        <v>17</v>
      </c>
      <c r="G145" s="3" t="n">
        <v>66</v>
      </c>
      <c r="H145" s="3"/>
      <c r="I145" s="3" t="s">
        <v>15</v>
      </c>
    </row>
    <row r="146" customFormat="false" ht="15" hidden="false" customHeight="false" outlineLevel="0" collapsed="false">
      <c r="A146" s="2" t="s">
        <v>133</v>
      </c>
      <c r="B146" s="3" t="s">
        <v>101</v>
      </c>
      <c r="C146" s="3" t="s">
        <v>102</v>
      </c>
      <c r="D146" s="3" t="s">
        <v>103</v>
      </c>
      <c r="E146" s="3" t="s">
        <v>104</v>
      </c>
      <c r="F146" s="3" t="s">
        <v>14</v>
      </c>
      <c r="G146" s="3" t="n">
        <v>196</v>
      </c>
      <c r="H146" s="4" t="n">
        <v>26094</v>
      </c>
      <c r="I146" s="3" t="s">
        <v>15</v>
      </c>
    </row>
    <row r="147" customFormat="false" ht="15" hidden="false" customHeight="false" outlineLevel="0" collapsed="false">
      <c r="A147" s="2" t="s">
        <v>134</v>
      </c>
      <c r="B147" s="3" t="s">
        <v>135</v>
      </c>
      <c r="C147" s="3" t="s">
        <v>136</v>
      </c>
      <c r="D147" s="3" t="s">
        <v>137</v>
      </c>
      <c r="E147" s="3" t="s">
        <v>138</v>
      </c>
      <c r="F147" s="3" t="s">
        <v>14</v>
      </c>
      <c r="G147" s="3" t="n">
        <v>66</v>
      </c>
      <c r="H147" s="4" t="n">
        <v>20680</v>
      </c>
      <c r="I147" s="3" t="s">
        <v>15</v>
      </c>
    </row>
    <row r="148" customFormat="false" ht="15" hidden="false" customHeight="false" outlineLevel="0" collapsed="false">
      <c r="A148" s="2" t="s">
        <v>16</v>
      </c>
      <c r="B148" s="3" t="s">
        <v>135</v>
      </c>
      <c r="C148" s="3" t="s">
        <v>136</v>
      </c>
      <c r="D148" s="3" t="s">
        <v>137</v>
      </c>
      <c r="E148" s="3" t="s">
        <v>138</v>
      </c>
      <c r="F148" s="3" t="s">
        <v>17</v>
      </c>
      <c r="G148" s="3" t="n">
        <v>53</v>
      </c>
      <c r="H148" s="3"/>
      <c r="I148" s="3" t="s">
        <v>15</v>
      </c>
    </row>
    <row r="149" customFormat="false" ht="15" hidden="false" customHeight="false" outlineLevel="0" collapsed="false">
      <c r="A149" s="2" t="s">
        <v>139</v>
      </c>
      <c r="B149" s="3" t="s">
        <v>135</v>
      </c>
      <c r="C149" s="3" t="s">
        <v>136</v>
      </c>
      <c r="D149" s="3" t="s">
        <v>137</v>
      </c>
      <c r="E149" s="3" t="s">
        <v>138</v>
      </c>
      <c r="F149" s="3" t="s">
        <v>14</v>
      </c>
      <c r="G149" s="3" t="n">
        <v>45</v>
      </c>
      <c r="H149" s="4" t="n">
        <v>18211</v>
      </c>
      <c r="I149" s="3" t="s">
        <v>15</v>
      </c>
    </row>
    <row r="150" customFormat="false" ht="15" hidden="false" customHeight="false" outlineLevel="0" collapsed="false">
      <c r="A150" s="2" t="s">
        <v>105</v>
      </c>
      <c r="B150" s="3" t="s">
        <v>135</v>
      </c>
      <c r="C150" s="3" t="s">
        <v>136</v>
      </c>
      <c r="D150" s="3" t="s">
        <v>137</v>
      </c>
      <c r="E150" s="3" t="s">
        <v>138</v>
      </c>
      <c r="F150" s="3" t="s">
        <v>17</v>
      </c>
      <c r="G150" s="3" t="n">
        <v>34</v>
      </c>
      <c r="H150" s="3"/>
      <c r="I150" s="3" t="s">
        <v>15</v>
      </c>
    </row>
    <row r="151" customFormat="false" ht="15" hidden="false" customHeight="false" outlineLevel="0" collapsed="false">
      <c r="A151" s="2" t="s">
        <v>140</v>
      </c>
      <c r="B151" s="3" t="s">
        <v>135</v>
      </c>
      <c r="C151" s="3" t="s">
        <v>136</v>
      </c>
      <c r="D151" s="3" t="s">
        <v>137</v>
      </c>
      <c r="E151" s="3" t="s">
        <v>138</v>
      </c>
      <c r="F151" s="3" t="s">
        <v>14</v>
      </c>
      <c r="G151" s="3" t="n">
        <v>57</v>
      </c>
      <c r="H151" s="4" t="n">
        <v>17225</v>
      </c>
      <c r="I151" s="3" t="s">
        <v>15</v>
      </c>
    </row>
    <row r="152" customFormat="false" ht="15" hidden="false" customHeight="false" outlineLevel="0" collapsed="false">
      <c r="A152" s="2" t="s">
        <v>141</v>
      </c>
      <c r="B152" s="3" t="s">
        <v>135</v>
      </c>
      <c r="C152" s="3" t="s">
        <v>136</v>
      </c>
      <c r="D152" s="3" t="s">
        <v>137</v>
      </c>
      <c r="E152" s="3" t="s">
        <v>138</v>
      </c>
      <c r="F152" s="3" t="s">
        <v>17</v>
      </c>
      <c r="G152" s="3" t="n">
        <v>32</v>
      </c>
      <c r="H152" s="3"/>
      <c r="I152" s="3" t="s">
        <v>15</v>
      </c>
    </row>
    <row r="153" customFormat="false" ht="15" hidden="false" customHeight="false" outlineLevel="0" collapsed="false">
      <c r="A153" s="2" t="s">
        <v>66</v>
      </c>
      <c r="B153" s="3" t="s">
        <v>135</v>
      </c>
      <c r="C153" s="3" t="s">
        <v>136</v>
      </c>
      <c r="D153" s="3" t="s">
        <v>137</v>
      </c>
      <c r="E153" s="3" t="s">
        <v>138</v>
      </c>
      <c r="F153" s="3" t="s">
        <v>17</v>
      </c>
      <c r="G153" s="3" t="n">
        <v>43</v>
      </c>
      <c r="H153" s="3"/>
      <c r="I153" s="3" t="s">
        <v>15</v>
      </c>
    </row>
    <row r="154" customFormat="false" ht="15" hidden="false" customHeight="false" outlineLevel="0" collapsed="false">
      <c r="A154" s="2" t="s">
        <v>22</v>
      </c>
      <c r="B154" s="3" t="s">
        <v>135</v>
      </c>
      <c r="C154" s="3" t="s">
        <v>136</v>
      </c>
      <c r="D154" s="3" t="s">
        <v>137</v>
      </c>
      <c r="E154" s="3" t="s">
        <v>138</v>
      </c>
      <c r="F154" s="3" t="s">
        <v>14</v>
      </c>
      <c r="G154" s="3" t="n">
        <v>100</v>
      </c>
      <c r="H154" s="4" t="n">
        <v>19986</v>
      </c>
      <c r="I154" s="3" t="s">
        <v>15</v>
      </c>
    </row>
    <row r="155" customFormat="false" ht="15" hidden="false" customHeight="false" outlineLevel="0" collapsed="false">
      <c r="A155" s="2" t="s">
        <v>142</v>
      </c>
      <c r="B155" s="3" t="s">
        <v>135</v>
      </c>
      <c r="C155" s="3" t="s">
        <v>136</v>
      </c>
      <c r="D155" s="3" t="s">
        <v>137</v>
      </c>
      <c r="E155" s="3" t="s">
        <v>138</v>
      </c>
      <c r="F155" s="3" t="s">
        <v>14</v>
      </c>
      <c r="G155" s="3" t="n">
        <v>165</v>
      </c>
      <c r="H155" s="4" t="n">
        <v>16390</v>
      </c>
      <c r="I155" s="3" t="s">
        <v>15</v>
      </c>
    </row>
    <row r="156" customFormat="false" ht="15" hidden="false" customHeight="false" outlineLevel="0" collapsed="false">
      <c r="A156" s="2" t="s">
        <v>71</v>
      </c>
      <c r="B156" s="3" t="s">
        <v>135</v>
      </c>
      <c r="C156" s="3" t="s">
        <v>136</v>
      </c>
      <c r="D156" s="3" t="s">
        <v>137</v>
      </c>
      <c r="E156" s="3" t="s">
        <v>138</v>
      </c>
      <c r="F156" s="3" t="s">
        <v>14</v>
      </c>
      <c r="G156" s="3" t="n">
        <v>61</v>
      </c>
      <c r="H156" s="4" t="n">
        <v>16491</v>
      </c>
      <c r="I156" s="3" t="s">
        <v>15</v>
      </c>
    </row>
    <row r="157" customFormat="false" ht="15" hidden="false" customHeight="false" outlineLevel="0" collapsed="false">
      <c r="A157" s="2" t="s">
        <v>143</v>
      </c>
      <c r="B157" s="3" t="s">
        <v>135</v>
      </c>
      <c r="C157" s="3" t="s">
        <v>136</v>
      </c>
      <c r="D157" s="3" t="s">
        <v>137</v>
      </c>
      <c r="E157" s="3" t="s">
        <v>138</v>
      </c>
      <c r="F157" s="3" t="s">
        <v>17</v>
      </c>
      <c r="G157" s="3" t="n">
        <v>70</v>
      </c>
      <c r="H157" s="3"/>
      <c r="I157" s="3" t="s">
        <v>15</v>
      </c>
    </row>
    <row r="158" customFormat="false" ht="15" hidden="false" customHeight="false" outlineLevel="0" collapsed="false">
      <c r="A158" s="2" t="s">
        <v>144</v>
      </c>
      <c r="B158" s="3" t="s">
        <v>135</v>
      </c>
      <c r="C158" s="3" t="s">
        <v>136</v>
      </c>
      <c r="D158" s="3" t="s">
        <v>137</v>
      </c>
      <c r="E158" s="3" t="s">
        <v>138</v>
      </c>
      <c r="F158" s="3" t="s">
        <v>14</v>
      </c>
      <c r="G158" s="3" t="n">
        <v>105</v>
      </c>
      <c r="H158" s="4" t="n">
        <v>18128</v>
      </c>
      <c r="I158" s="3" t="s">
        <v>15</v>
      </c>
    </row>
    <row r="159" customFormat="false" ht="15" hidden="false" customHeight="false" outlineLevel="0" collapsed="false">
      <c r="A159" s="2" t="s">
        <v>27</v>
      </c>
      <c r="B159" s="3" t="s">
        <v>135</v>
      </c>
      <c r="C159" s="3" t="s">
        <v>136</v>
      </c>
      <c r="D159" s="3" t="s">
        <v>137</v>
      </c>
      <c r="E159" s="3" t="s">
        <v>138</v>
      </c>
      <c r="F159" s="3" t="s">
        <v>14</v>
      </c>
      <c r="G159" s="3" t="n">
        <v>162</v>
      </c>
      <c r="H159" s="4" t="n">
        <v>18111</v>
      </c>
      <c r="I159" s="3" t="s">
        <v>15</v>
      </c>
    </row>
    <row r="160" customFormat="false" ht="15" hidden="false" customHeight="false" outlineLevel="0" collapsed="false">
      <c r="A160" s="2" t="s">
        <v>74</v>
      </c>
      <c r="B160" s="3" t="s">
        <v>135</v>
      </c>
      <c r="C160" s="3" t="s">
        <v>136</v>
      </c>
      <c r="D160" s="3" t="s">
        <v>137</v>
      </c>
      <c r="E160" s="3" t="s">
        <v>138</v>
      </c>
      <c r="F160" s="3" t="s">
        <v>14</v>
      </c>
      <c r="G160" s="3" t="n">
        <v>51</v>
      </c>
      <c r="H160" s="4" t="n">
        <v>18876</v>
      </c>
      <c r="I160" s="3" t="s">
        <v>15</v>
      </c>
    </row>
    <row r="161" customFormat="false" ht="15" hidden="false" customHeight="false" outlineLevel="0" collapsed="false">
      <c r="A161" s="2" t="s">
        <v>145</v>
      </c>
      <c r="B161" s="3" t="s">
        <v>135</v>
      </c>
      <c r="C161" s="3" t="s">
        <v>136</v>
      </c>
      <c r="D161" s="3" t="s">
        <v>137</v>
      </c>
      <c r="E161" s="3" t="s">
        <v>138</v>
      </c>
      <c r="F161" s="3" t="s">
        <v>17</v>
      </c>
      <c r="G161" s="3" t="n">
        <v>35</v>
      </c>
      <c r="H161" s="3"/>
      <c r="I161" s="3" t="s">
        <v>15</v>
      </c>
    </row>
    <row r="162" customFormat="false" ht="15" hidden="false" customHeight="false" outlineLevel="0" collapsed="false">
      <c r="A162" s="2" t="s">
        <v>30</v>
      </c>
      <c r="B162" s="3" t="s">
        <v>135</v>
      </c>
      <c r="C162" s="3" t="s">
        <v>136</v>
      </c>
      <c r="D162" s="3" t="s">
        <v>137</v>
      </c>
      <c r="E162" s="3" t="s">
        <v>138</v>
      </c>
      <c r="F162" s="3" t="s">
        <v>17</v>
      </c>
      <c r="G162" s="3" t="n">
        <v>93</v>
      </c>
      <c r="H162" s="3"/>
      <c r="I162" s="3" t="s">
        <v>15</v>
      </c>
    </row>
    <row r="163" customFormat="false" ht="15" hidden="false" customHeight="false" outlineLevel="0" collapsed="false">
      <c r="A163" s="2" t="s">
        <v>31</v>
      </c>
      <c r="B163" s="3" t="s">
        <v>135</v>
      </c>
      <c r="C163" s="3" t="s">
        <v>136</v>
      </c>
      <c r="D163" s="3" t="s">
        <v>137</v>
      </c>
      <c r="E163" s="3" t="s">
        <v>138</v>
      </c>
      <c r="F163" s="3" t="s">
        <v>14</v>
      </c>
      <c r="G163" s="3" t="n">
        <v>92</v>
      </c>
      <c r="H163" s="4" t="n">
        <v>18909</v>
      </c>
      <c r="I163" s="3" t="s">
        <v>15</v>
      </c>
    </row>
    <row r="164" customFormat="false" ht="15" hidden="false" customHeight="false" outlineLevel="0" collapsed="false">
      <c r="A164" s="2" t="s">
        <v>114</v>
      </c>
      <c r="B164" s="3" t="s">
        <v>135</v>
      </c>
      <c r="C164" s="3" t="s">
        <v>136</v>
      </c>
      <c r="D164" s="3" t="s">
        <v>137</v>
      </c>
      <c r="E164" s="3" t="s">
        <v>138</v>
      </c>
      <c r="F164" s="3" t="s">
        <v>17</v>
      </c>
      <c r="G164" s="3" t="n">
        <v>72</v>
      </c>
      <c r="H164" s="3"/>
      <c r="I164" s="3" t="s">
        <v>15</v>
      </c>
    </row>
    <row r="165" customFormat="false" ht="15" hidden="false" customHeight="false" outlineLevel="0" collapsed="false">
      <c r="A165" s="2" t="s">
        <v>77</v>
      </c>
      <c r="B165" s="3" t="s">
        <v>135</v>
      </c>
      <c r="C165" s="3" t="s">
        <v>136</v>
      </c>
      <c r="D165" s="3" t="s">
        <v>137</v>
      </c>
      <c r="E165" s="3" t="s">
        <v>138</v>
      </c>
      <c r="F165" s="3" t="s">
        <v>14</v>
      </c>
      <c r="G165" s="3" t="n">
        <v>40</v>
      </c>
      <c r="H165" s="4" t="n">
        <v>19121</v>
      </c>
      <c r="I165" s="3" t="s">
        <v>15</v>
      </c>
    </row>
    <row r="166" customFormat="false" ht="15" hidden="false" customHeight="false" outlineLevel="0" collapsed="false">
      <c r="A166" s="2" t="s">
        <v>146</v>
      </c>
      <c r="B166" s="3" t="s">
        <v>135</v>
      </c>
      <c r="C166" s="3" t="s">
        <v>136</v>
      </c>
      <c r="D166" s="3" t="s">
        <v>137</v>
      </c>
      <c r="E166" s="3" t="s">
        <v>138</v>
      </c>
      <c r="F166" s="3" t="s">
        <v>14</v>
      </c>
      <c r="G166" s="3" t="n">
        <v>181</v>
      </c>
      <c r="H166" s="4" t="n">
        <v>17186</v>
      </c>
      <c r="I166" s="3" t="s">
        <v>15</v>
      </c>
    </row>
    <row r="167" customFormat="false" ht="15" hidden="false" customHeight="false" outlineLevel="0" collapsed="false">
      <c r="A167" s="2" t="s">
        <v>36</v>
      </c>
      <c r="B167" s="3" t="s">
        <v>135</v>
      </c>
      <c r="C167" s="3" t="s">
        <v>136</v>
      </c>
      <c r="D167" s="3" t="s">
        <v>137</v>
      </c>
      <c r="E167" s="3" t="s">
        <v>138</v>
      </c>
      <c r="F167" s="3" t="s">
        <v>17</v>
      </c>
      <c r="G167" s="3" t="n">
        <v>53</v>
      </c>
      <c r="H167" s="3"/>
      <c r="I167" s="3" t="s">
        <v>15</v>
      </c>
    </row>
    <row r="168" customFormat="false" ht="15" hidden="false" customHeight="false" outlineLevel="0" collapsed="false">
      <c r="A168" s="2" t="s">
        <v>119</v>
      </c>
      <c r="B168" s="3" t="s">
        <v>135</v>
      </c>
      <c r="C168" s="3" t="s">
        <v>136</v>
      </c>
      <c r="D168" s="3" t="s">
        <v>137</v>
      </c>
      <c r="E168" s="3" t="s">
        <v>138</v>
      </c>
      <c r="F168" s="3" t="s">
        <v>17</v>
      </c>
      <c r="G168" s="3" t="n">
        <v>83</v>
      </c>
      <c r="H168" s="3"/>
      <c r="I168" s="3" t="s">
        <v>15</v>
      </c>
    </row>
    <row r="169" customFormat="false" ht="15" hidden="false" customHeight="false" outlineLevel="0" collapsed="false">
      <c r="A169" s="2" t="s">
        <v>147</v>
      </c>
      <c r="B169" s="3" t="s">
        <v>135</v>
      </c>
      <c r="C169" s="3" t="s">
        <v>136</v>
      </c>
      <c r="D169" s="3" t="s">
        <v>137</v>
      </c>
      <c r="E169" s="3" t="s">
        <v>138</v>
      </c>
      <c r="F169" s="3" t="s">
        <v>17</v>
      </c>
      <c r="G169" s="3" t="n">
        <v>19</v>
      </c>
      <c r="H169" s="3"/>
      <c r="I169" s="3" t="s">
        <v>15</v>
      </c>
    </row>
    <row r="170" customFormat="false" ht="15" hidden="false" customHeight="false" outlineLevel="0" collapsed="false">
      <c r="A170" s="2" t="s">
        <v>120</v>
      </c>
      <c r="B170" s="3" t="s">
        <v>135</v>
      </c>
      <c r="C170" s="3" t="s">
        <v>136</v>
      </c>
      <c r="D170" s="3" t="s">
        <v>137</v>
      </c>
      <c r="E170" s="3" t="s">
        <v>138</v>
      </c>
      <c r="F170" s="3" t="s">
        <v>14</v>
      </c>
      <c r="G170" s="3" t="n">
        <v>78</v>
      </c>
      <c r="H170" s="4" t="n">
        <v>18568</v>
      </c>
      <c r="I170" s="3" t="s">
        <v>15</v>
      </c>
    </row>
    <row r="171" customFormat="false" ht="15" hidden="false" customHeight="false" outlineLevel="0" collapsed="false">
      <c r="A171" s="2" t="s">
        <v>40</v>
      </c>
      <c r="B171" s="3" t="s">
        <v>135</v>
      </c>
      <c r="C171" s="3" t="s">
        <v>136</v>
      </c>
      <c r="D171" s="3" t="s">
        <v>137</v>
      </c>
      <c r="E171" s="3" t="s">
        <v>138</v>
      </c>
      <c r="F171" s="3" t="s">
        <v>17</v>
      </c>
      <c r="G171" s="3" t="n">
        <v>100</v>
      </c>
      <c r="H171" s="3"/>
      <c r="I171" s="3" t="s">
        <v>15</v>
      </c>
    </row>
    <row r="172" customFormat="false" ht="15" hidden="false" customHeight="false" outlineLevel="0" collapsed="false">
      <c r="A172" s="2" t="s">
        <v>148</v>
      </c>
      <c r="B172" s="3" t="s">
        <v>135</v>
      </c>
      <c r="C172" s="3" t="s">
        <v>136</v>
      </c>
      <c r="D172" s="3" t="s">
        <v>137</v>
      </c>
      <c r="E172" s="3" t="s">
        <v>138</v>
      </c>
      <c r="F172" s="3" t="s">
        <v>17</v>
      </c>
      <c r="G172" s="3" t="n">
        <v>60</v>
      </c>
      <c r="H172" s="3"/>
      <c r="I172" s="3" t="s">
        <v>15</v>
      </c>
    </row>
    <row r="173" customFormat="false" ht="15" hidden="false" customHeight="false" outlineLevel="0" collapsed="false">
      <c r="A173" s="2" t="s">
        <v>41</v>
      </c>
      <c r="B173" s="3" t="s">
        <v>135</v>
      </c>
      <c r="C173" s="3" t="s">
        <v>136</v>
      </c>
      <c r="D173" s="3" t="s">
        <v>137</v>
      </c>
      <c r="E173" s="3" t="s">
        <v>138</v>
      </c>
      <c r="F173" s="3" t="s">
        <v>17</v>
      </c>
      <c r="G173" s="3" t="n">
        <v>109</v>
      </c>
      <c r="H173" s="3"/>
      <c r="I173" s="3" t="s">
        <v>15</v>
      </c>
    </row>
    <row r="174" customFormat="false" ht="15" hidden="false" customHeight="false" outlineLevel="0" collapsed="false">
      <c r="A174" s="2" t="s">
        <v>123</v>
      </c>
      <c r="B174" s="3" t="s">
        <v>135</v>
      </c>
      <c r="C174" s="3" t="s">
        <v>136</v>
      </c>
      <c r="D174" s="3" t="s">
        <v>137</v>
      </c>
      <c r="E174" s="3" t="s">
        <v>138</v>
      </c>
      <c r="F174" s="3" t="s">
        <v>17</v>
      </c>
      <c r="G174" s="3" t="n">
        <v>76</v>
      </c>
      <c r="H174" s="3"/>
      <c r="I174" s="3" t="s">
        <v>15</v>
      </c>
    </row>
    <row r="175" customFormat="false" ht="15" hidden="false" customHeight="false" outlineLevel="0" collapsed="false">
      <c r="A175" s="2" t="s">
        <v>149</v>
      </c>
      <c r="B175" s="3" t="s">
        <v>135</v>
      </c>
      <c r="C175" s="3" t="s">
        <v>136</v>
      </c>
      <c r="D175" s="3" t="s">
        <v>137</v>
      </c>
      <c r="E175" s="3" t="s">
        <v>138</v>
      </c>
      <c r="F175" s="3" t="s">
        <v>14</v>
      </c>
      <c r="G175" s="3" t="n">
        <v>67</v>
      </c>
      <c r="H175" s="4" t="n">
        <v>16189</v>
      </c>
      <c r="I175" s="3" t="s">
        <v>15</v>
      </c>
    </row>
    <row r="176" customFormat="false" ht="15" hidden="false" customHeight="false" outlineLevel="0" collapsed="false">
      <c r="A176" s="2" t="s">
        <v>82</v>
      </c>
      <c r="B176" s="3" t="s">
        <v>135</v>
      </c>
      <c r="C176" s="3" t="s">
        <v>136</v>
      </c>
      <c r="D176" s="3" t="s">
        <v>137</v>
      </c>
      <c r="E176" s="3" t="s">
        <v>138</v>
      </c>
      <c r="F176" s="3" t="s">
        <v>17</v>
      </c>
      <c r="G176" s="3" t="n">
        <v>94</v>
      </c>
      <c r="H176" s="3"/>
      <c r="I176" s="3" t="s">
        <v>15</v>
      </c>
    </row>
    <row r="177" customFormat="false" ht="15" hidden="false" customHeight="false" outlineLevel="0" collapsed="false">
      <c r="A177" s="2" t="s">
        <v>124</v>
      </c>
      <c r="B177" s="3" t="s">
        <v>135</v>
      </c>
      <c r="C177" s="3" t="s">
        <v>136</v>
      </c>
      <c r="D177" s="3" t="s">
        <v>137</v>
      </c>
      <c r="E177" s="3" t="s">
        <v>138</v>
      </c>
      <c r="F177" s="3" t="s">
        <v>17</v>
      </c>
      <c r="G177" s="3" t="n">
        <v>99</v>
      </c>
      <c r="H177" s="3"/>
      <c r="I177" s="3" t="s">
        <v>15</v>
      </c>
    </row>
    <row r="178" customFormat="false" ht="15" hidden="false" customHeight="false" outlineLevel="0" collapsed="false">
      <c r="A178" s="2" t="s">
        <v>150</v>
      </c>
      <c r="B178" s="3" t="s">
        <v>135</v>
      </c>
      <c r="C178" s="3" t="s">
        <v>136</v>
      </c>
      <c r="D178" s="3" t="s">
        <v>137</v>
      </c>
      <c r="E178" s="3" t="s">
        <v>138</v>
      </c>
      <c r="F178" s="3" t="s">
        <v>14</v>
      </c>
      <c r="G178" s="3" t="n">
        <v>62</v>
      </c>
      <c r="H178" s="4" t="n">
        <v>19252</v>
      </c>
      <c r="I178" s="3" t="s">
        <v>15</v>
      </c>
    </row>
    <row r="179" customFormat="false" ht="15" hidden="false" customHeight="false" outlineLevel="0" collapsed="false">
      <c r="A179" s="2" t="s">
        <v>47</v>
      </c>
      <c r="B179" s="3" t="s">
        <v>135</v>
      </c>
      <c r="C179" s="3" t="s">
        <v>136</v>
      </c>
      <c r="D179" s="3" t="s">
        <v>137</v>
      </c>
      <c r="E179" s="3" t="s">
        <v>138</v>
      </c>
      <c r="F179" s="3" t="s">
        <v>14</v>
      </c>
      <c r="G179" s="3" t="n">
        <v>141</v>
      </c>
      <c r="H179" s="4" t="n">
        <v>20492</v>
      </c>
      <c r="I179" s="3" t="s">
        <v>15</v>
      </c>
    </row>
    <row r="180" customFormat="false" ht="15" hidden="false" customHeight="false" outlineLevel="0" collapsed="false">
      <c r="A180" s="2" t="s">
        <v>84</v>
      </c>
      <c r="B180" s="3" t="s">
        <v>135</v>
      </c>
      <c r="C180" s="3" t="s">
        <v>136</v>
      </c>
      <c r="D180" s="3" t="s">
        <v>137</v>
      </c>
      <c r="E180" s="3" t="s">
        <v>138</v>
      </c>
      <c r="F180" s="3" t="s">
        <v>14</v>
      </c>
      <c r="G180" s="3" t="n">
        <v>121</v>
      </c>
      <c r="H180" s="4" t="n">
        <v>20292</v>
      </c>
      <c r="I180" s="3" t="s">
        <v>15</v>
      </c>
    </row>
    <row r="181" customFormat="false" ht="15" hidden="false" customHeight="false" outlineLevel="0" collapsed="false">
      <c r="A181" s="2" t="s">
        <v>125</v>
      </c>
      <c r="B181" s="3" t="s">
        <v>135</v>
      </c>
      <c r="C181" s="3" t="s">
        <v>136</v>
      </c>
      <c r="D181" s="3" t="s">
        <v>137</v>
      </c>
      <c r="E181" s="3" t="s">
        <v>138</v>
      </c>
      <c r="F181" s="3" t="s">
        <v>14</v>
      </c>
      <c r="G181" s="3" t="n">
        <v>178</v>
      </c>
      <c r="H181" s="4" t="n">
        <v>17272</v>
      </c>
      <c r="I181" s="3" t="s">
        <v>15</v>
      </c>
    </row>
    <row r="182" customFormat="false" ht="15" hidden="false" customHeight="false" outlineLevel="0" collapsed="false">
      <c r="A182" s="2" t="s">
        <v>85</v>
      </c>
      <c r="B182" s="3" t="s">
        <v>135</v>
      </c>
      <c r="C182" s="3" t="s">
        <v>136</v>
      </c>
      <c r="D182" s="3" t="s">
        <v>137</v>
      </c>
      <c r="E182" s="3" t="s">
        <v>138</v>
      </c>
      <c r="F182" s="3" t="s">
        <v>17</v>
      </c>
      <c r="G182" s="3" t="n">
        <v>59</v>
      </c>
      <c r="H182" s="3"/>
      <c r="I182" s="3" t="s">
        <v>15</v>
      </c>
    </row>
    <row r="183" customFormat="false" ht="15" hidden="false" customHeight="false" outlineLevel="0" collapsed="false">
      <c r="A183" s="2" t="s">
        <v>86</v>
      </c>
      <c r="B183" s="3" t="s">
        <v>135</v>
      </c>
      <c r="C183" s="3" t="s">
        <v>136</v>
      </c>
      <c r="D183" s="3" t="s">
        <v>137</v>
      </c>
      <c r="E183" s="3" t="s">
        <v>138</v>
      </c>
      <c r="F183" s="3" t="s">
        <v>14</v>
      </c>
      <c r="G183" s="3" t="n">
        <v>92</v>
      </c>
      <c r="H183" s="4" t="n">
        <v>19630</v>
      </c>
      <c r="I183" s="3" t="s">
        <v>15</v>
      </c>
    </row>
    <row r="184" customFormat="false" ht="15" hidden="false" customHeight="false" outlineLevel="0" collapsed="false">
      <c r="A184" s="2" t="s">
        <v>128</v>
      </c>
      <c r="B184" s="3" t="s">
        <v>135</v>
      </c>
      <c r="C184" s="3" t="s">
        <v>136</v>
      </c>
      <c r="D184" s="3" t="s">
        <v>137</v>
      </c>
      <c r="E184" s="3" t="s">
        <v>138</v>
      </c>
      <c r="F184" s="3" t="s">
        <v>14</v>
      </c>
      <c r="G184" s="3" t="n">
        <v>154</v>
      </c>
      <c r="H184" s="4" t="n">
        <v>17397</v>
      </c>
      <c r="I184" s="3" t="s">
        <v>15</v>
      </c>
    </row>
    <row r="185" customFormat="false" ht="15" hidden="false" customHeight="false" outlineLevel="0" collapsed="false">
      <c r="A185" s="2" t="s">
        <v>151</v>
      </c>
      <c r="B185" s="3" t="s">
        <v>135</v>
      </c>
      <c r="C185" s="3" t="s">
        <v>136</v>
      </c>
      <c r="D185" s="3" t="s">
        <v>137</v>
      </c>
      <c r="E185" s="3" t="s">
        <v>138</v>
      </c>
      <c r="F185" s="3" t="s">
        <v>14</v>
      </c>
      <c r="G185" s="3" t="n">
        <v>111</v>
      </c>
      <c r="H185" s="4" t="n">
        <v>18664</v>
      </c>
      <c r="I185" s="3" t="s">
        <v>15</v>
      </c>
    </row>
    <row r="186" customFormat="false" ht="15" hidden="false" customHeight="false" outlineLevel="0" collapsed="false">
      <c r="A186" s="2" t="s">
        <v>129</v>
      </c>
      <c r="B186" s="3" t="s">
        <v>135</v>
      </c>
      <c r="C186" s="3" t="s">
        <v>136</v>
      </c>
      <c r="D186" s="3" t="s">
        <v>137</v>
      </c>
      <c r="E186" s="3" t="s">
        <v>138</v>
      </c>
      <c r="F186" s="3" t="s">
        <v>17</v>
      </c>
      <c r="G186" s="3" t="n">
        <v>79</v>
      </c>
      <c r="H186" s="3"/>
      <c r="I186" s="3" t="s">
        <v>15</v>
      </c>
    </row>
    <row r="187" customFormat="false" ht="15" hidden="false" customHeight="false" outlineLevel="0" collapsed="false">
      <c r="A187" s="2" t="s">
        <v>52</v>
      </c>
      <c r="B187" s="3" t="s">
        <v>135</v>
      </c>
      <c r="C187" s="3" t="s">
        <v>136</v>
      </c>
      <c r="D187" s="3" t="s">
        <v>137</v>
      </c>
      <c r="E187" s="3" t="s">
        <v>138</v>
      </c>
      <c r="F187" s="3" t="s">
        <v>17</v>
      </c>
      <c r="G187" s="3" t="n">
        <v>27</v>
      </c>
      <c r="H187" s="3"/>
      <c r="I187" s="3" t="s">
        <v>15</v>
      </c>
    </row>
    <row r="188" customFormat="false" ht="15" hidden="false" customHeight="false" outlineLevel="0" collapsed="false">
      <c r="A188" s="2" t="s">
        <v>54</v>
      </c>
      <c r="B188" s="3" t="s">
        <v>135</v>
      </c>
      <c r="C188" s="3" t="s">
        <v>136</v>
      </c>
      <c r="D188" s="3" t="s">
        <v>137</v>
      </c>
      <c r="E188" s="3" t="s">
        <v>138</v>
      </c>
      <c r="F188" s="3" t="s">
        <v>17</v>
      </c>
      <c r="G188" s="3" t="n">
        <v>85</v>
      </c>
      <c r="H188" s="3"/>
      <c r="I188" s="3" t="s">
        <v>15</v>
      </c>
    </row>
    <row r="189" customFormat="false" ht="15" hidden="false" customHeight="false" outlineLevel="0" collapsed="false">
      <c r="A189" s="2" t="s">
        <v>152</v>
      </c>
      <c r="B189" s="3" t="s">
        <v>135</v>
      </c>
      <c r="C189" s="3" t="s">
        <v>136</v>
      </c>
      <c r="D189" s="3" t="s">
        <v>137</v>
      </c>
      <c r="E189" s="3" t="s">
        <v>138</v>
      </c>
      <c r="F189" s="3" t="s">
        <v>17</v>
      </c>
      <c r="G189" s="3" t="n">
        <v>105</v>
      </c>
      <c r="H189" s="3"/>
      <c r="I189" s="3" t="s">
        <v>15</v>
      </c>
    </row>
    <row r="190" customFormat="false" ht="15" hidden="false" customHeight="false" outlineLevel="0" collapsed="false">
      <c r="A190" s="2" t="s">
        <v>153</v>
      </c>
      <c r="B190" s="3" t="s">
        <v>135</v>
      </c>
      <c r="C190" s="3" t="s">
        <v>136</v>
      </c>
      <c r="D190" s="3" t="s">
        <v>137</v>
      </c>
      <c r="E190" s="3" t="s">
        <v>138</v>
      </c>
      <c r="F190" s="3" t="s">
        <v>17</v>
      </c>
      <c r="G190" s="3" t="n">
        <v>65</v>
      </c>
      <c r="H190" s="3"/>
      <c r="I190" s="3" t="s">
        <v>15</v>
      </c>
    </row>
    <row r="191" customFormat="false" ht="15" hidden="false" customHeight="false" outlineLevel="0" collapsed="false">
      <c r="A191" s="2" t="s">
        <v>154</v>
      </c>
      <c r="B191" s="3" t="s">
        <v>155</v>
      </c>
      <c r="C191" s="3" t="s">
        <v>156</v>
      </c>
      <c r="D191" s="3" t="s">
        <v>157</v>
      </c>
      <c r="E191" s="3" t="s">
        <v>138</v>
      </c>
      <c r="F191" s="3" t="s">
        <v>14</v>
      </c>
      <c r="G191" s="3" t="n">
        <v>60</v>
      </c>
      <c r="H191" s="4" t="n">
        <v>10711</v>
      </c>
      <c r="I191" s="3" t="s">
        <v>15</v>
      </c>
    </row>
    <row r="192" customFormat="false" ht="15" hidden="false" customHeight="false" outlineLevel="0" collapsed="false">
      <c r="A192" s="2" t="s">
        <v>134</v>
      </c>
      <c r="B192" s="3" t="s">
        <v>155</v>
      </c>
      <c r="C192" s="3" t="s">
        <v>156</v>
      </c>
      <c r="D192" s="3" t="s">
        <v>157</v>
      </c>
      <c r="E192" s="3" t="s">
        <v>138</v>
      </c>
      <c r="F192" s="3" t="s">
        <v>17</v>
      </c>
      <c r="G192" s="3" t="n">
        <v>32</v>
      </c>
      <c r="H192" s="3"/>
      <c r="I192" s="3" t="s">
        <v>15</v>
      </c>
    </row>
    <row r="193" customFormat="false" ht="15" hidden="false" customHeight="false" outlineLevel="0" collapsed="false">
      <c r="A193" s="2" t="s">
        <v>105</v>
      </c>
      <c r="B193" s="3" t="s">
        <v>155</v>
      </c>
      <c r="C193" s="3" t="s">
        <v>156</v>
      </c>
      <c r="D193" s="3" t="s">
        <v>157</v>
      </c>
      <c r="E193" s="3" t="s">
        <v>138</v>
      </c>
      <c r="F193" s="3" t="s">
        <v>14</v>
      </c>
      <c r="G193" s="3" t="n">
        <v>121</v>
      </c>
      <c r="H193" s="4" t="n">
        <v>13321</v>
      </c>
      <c r="I193" s="3" t="s">
        <v>15</v>
      </c>
    </row>
    <row r="194" customFormat="false" ht="15" hidden="false" customHeight="false" outlineLevel="0" collapsed="false">
      <c r="A194" s="2" t="s">
        <v>65</v>
      </c>
      <c r="B194" s="3" t="s">
        <v>155</v>
      </c>
      <c r="C194" s="3" t="s">
        <v>156</v>
      </c>
      <c r="D194" s="3" t="s">
        <v>157</v>
      </c>
      <c r="E194" s="3" t="s">
        <v>138</v>
      </c>
      <c r="F194" s="3" t="s">
        <v>14</v>
      </c>
      <c r="G194" s="3" t="n">
        <v>23</v>
      </c>
      <c r="H194" s="4" t="n">
        <v>10562</v>
      </c>
      <c r="I194" s="3" t="s">
        <v>15</v>
      </c>
    </row>
    <row r="195" customFormat="false" ht="15" hidden="false" customHeight="false" outlineLevel="0" collapsed="false">
      <c r="A195" s="2" t="s">
        <v>141</v>
      </c>
      <c r="B195" s="3" t="s">
        <v>155</v>
      </c>
      <c r="C195" s="3" t="s">
        <v>156</v>
      </c>
      <c r="D195" s="3" t="s">
        <v>157</v>
      </c>
      <c r="E195" s="3" t="s">
        <v>138</v>
      </c>
      <c r="F195" s="3" t="s">
        <v>17</v>
      </c>
      <c r="G195" s="3" t="n">
        <v>102</v>
      </c>
      <c r="H195" s="3"/>
      <c r="I195" s="3" t="s">
        <v>15</v>
      </c>
    </row>
    <row r="196" customFormat="false" ht="15" hidden="false" customHeight="false" outlineLevel="0" collapsed="false">
      <c r="A196" s="2" t="s">
        <v>108</v>
      </c>
      <c r="B196" s="3" t="s">
        <v>155</v>
      </c>
      <c r="C196" s="3" t="s">
        <v>156</v>
      </c>
      <c r="D196" s="3" t="s">
        <v>157</v>
      </c>
      <c r="E196" s="3" t="s">
        <v>138</v>
      </c>
      <c r="F196" s="3" t="s">
        <v>17</v>
      </c>
      <c r="G196" s="3" t="n">
        <v>32</v>
      </c>
      <c r="H196" s="3"/>
      <c r="I196" s="3" t="s">
        <v>15</v>
      </c>
    </row>
    <row r="197" customFormat="false" ht="15" hidden="false" customHeight="false" outlineLevel="0" collapsed="false">
      <c r="A197" s="2" t="s">
        <v>158</v>
      </c>
      <c r="B197" s="3" t="s">
        <v>155</v>
      </c>
      <c r="C197" s="3" t="s">
        <v>156</v>
      </c>
      <c r="D197" s="3" t="s">
        <v>157</v>
      </c>
      <c r="E197" s="3" t="s">
        <v>138</v>
      </c>
      <c r="F197" s="3" t="s">
        <v>17</v>
      </c>
      <c r="G197" s="3" t="n">
        <v>18</v>
      </c>
      <c r="H197" s="3"/>
      <c r="I197" s="3" t="s">
        <v>15</v>
      </c>
    </row>
    <row r="198" customFormat="false" ht="15" hidden="false" customHeight="false" outlineLevel="0" collapsed="false">
      <c r="A198" s="2" t="s">
        <v>159</v>
      </c>
      <c r="B198" s="3" t="s">
        <v>155</v>
      </c>
      <c r="C198" s="3" t="s">
        <v>156</v>
      </c>
      <c r="D198" s="3" t="s">
        <v>157</v>
      </c>
      <c r="E198" s="3" t="s">
        <v>138</v>
      </c>
      <c r="F198" s="3" t="s">
        <v>14</v>
      </c>
      <c r="G198" s="3" t="n">
        <v>175</v>
      </c>
      <c r="H198" s="4" t="n">
        <v>11593</v>
      </c>
      <c r="I198" s="3" t="s">
        <v>15</v>
      </c>
    </row>
    <row r="199" customFormat="false" ht="15" hidden="false" customHeight="false" outlineLevel="0" collapsed="false">
      <c r="A199" s="2" t="s">
        <v>70</v>
      </c>
      <c r="B199" s="3" t="s">
        <v>155</v>
      </c>
      <c r="C199" s="3" t="s">
        <v>156</v>
      </c>
      <c r="D199" s="3" t="s">
        <v>157</v>
      </c>
      <c r="E199" s="3" t="s">
        <v>138</v>
      </c>
      <c r="F199" s="3" t="s">
        <v>17</v>
      </c>
      <c r="G199" s="3" t="n">
        <v>83</v>
      </c>
      <c r="H199" s="3"/>
      <c r="I199" s="3" t="s">
        <v>15</v>
      </c>
    </row>
    <row r="200" customFormat="false" ht="15" hidden="false" customHeight="false" outlineLevel="0" collapsed="false">
      <c r="A200" s="2" t="s">
        <v>23</v>
      </c>
      <c r="B200" s="3" t="s">
        <v>155</v>
      </c>
      <c r="C200" s="3" t="s">
        <v>156</v>
      </c>
      <c r="D200" s="3" t="s">
        <v>157</v>
      </c>
      <c r="E200" s="3" t="s">
        <v>138</v>
      </c>
      <c r="F200" s="3" t="s">
        <v>14</v>
      </c>
      <c r="G200" s="3" t="n">
        <v>124</v>
      </c>
      <c r="H200" s="4" t="n">
        <v>14147</v>
      </c>
      <c r="I200" s="3" t="s">
        <v>15</v>
      </c>
    </row>
    <row r="201" customFormat="false" ht="15" hidden="false" customHeight="false" outlineLevel="0" collapsed="false">
      <c r="A201" s="2" t="s">
        <v>71</v>
      </c>
      <c r="B201" s="3" t="s">
        <v>155</v>
      </c>
      <c r="C201" s="3" t="s">
        <v>156</v>
      </c>
      <c r="D201" s="3" t="s">
        <v>157</v>
      </c>
      <c r="E201" s="3" t="s">
        <v>138</v>
      </c>
      <c r="F201" s="3" t="s">
        <v>17</v>
      </c>
      <c r="G201" s="3" t="n">
        <v>74</v>
      </c>
      <c r="H201" s="3"/>
      <c r="I201" s="3" t="s">
        <v>15</v>
      </c>
    </row>
    <row r="202" customFormat="false" ht="15" hidden="false" customHeight="false" outlineLevel="0" collapsed="false">
      <c r="A202" s="2" t="s">
        <v>24</v>
      </c>
      <c r="B202" s="3" t="s">
        <v>155</v>
      </c>
      <c r="C202" s="3" t="s">
        <v>156</v>
      </c>
      <c r="D202" s="3" t="s">
        <v>157</v>
      </c>
      <c r="E202" s="3" t="s">
        <v>138</v>
      </c>
      <c r="F202" s="3" t="s">
        <v>14</v>
      </c>
      <c r="G202" s="3" t="n">
        <v>49</v>
      </c>
      <c r="H202" s="4" t="n">
        <v>14204</v>
      </c>
      <c r="I202" s="3" t="s">
        <v>15</v>
      </c>
    </row>
    <row r="203" customFormat="false" ht="15" hidden="false" customHeight="false" outlineLevel="0" collapsed="false">
      <c r="A203" s="2" t="s">
        <v>160</v>
      </c>
      <c r="B203" s="3" t="s">
        <v>155</v>
      </c>
      <c r="C203" s="3" t="s">
        <v>156</v>
      </c>
      <c r="D203" s="3" t="s">
        <v>157</v>
      </c>
      <c r="E203" s="3" t="s">
        <v>138</v>
      </c>
      <c r="F203" s="3" t="s">
        <v>17</v>
      </c>
      <c r="G203" s="3" t="n">
        <v>114</v>
      </c>
      <c r="H203" s="3"/>
      <c r="I203" s="3" t="s">
        <v>15</v>
      </c>
    </row>
    <row r="204" customFormat="false" ht="15" hidden="false" customHeight="false" outlineLevel="0" collapsed="false">
      <c r="A204" s="2" t="s">
        <v>27</v>
      </c>
      <c r="B204" s="3" t="s">
        <v>155</v>
      </c>
      <c r="C204" s="3" t="s">
        <v>156</v>
      </c>
      <c r="D204" s="3" t="s">
        <v>157</v>
      </c>
      <c r="E204" s="3" t="s">
        <v>138</v>
      </c>
      <c r="F204" s="3" t="s">
        <v>14</v>
      </c>
      <c r="G204" s="3" t="n">
        <v>133</v>
      </c>
      <c r="H204" s="4" t="n">
        <v>13089</v>
      </c>
      <c r="I204" s="3" t="s">
        <v>15</v>
      </c>
    </row>
    <row r="205" customFormat="false" ht="15" hidden="false" customHeight="false" outlineLevel="0" collapsed="false">
      <c r="A205" s="2" t="s">
        <v>161</v>
      </c>
      <c r="B205" s="3" t="s">
        <v>155</v>
      </c>
      <c r="C205" s="3" t="s">
        <v>156</v>
      </c>
      <c r="D205" s="3" t="s">
        <v>157</v>
      </c>
      <c r="E205" s="3" t="s">
        <v>138</v>
      </c>
      <c r="F205" s="3" t="s">
        <v>17</v>
      </c>
      <c r="G205" s="3" t="n">
        <v>41</v>
      </c>
      <c r="H205" s="3"/>
      <c r="I205" s="3" t="s">
        <v>15</v>
      </c>
    </row>
    <row r="206" customFormat="false" ht="15" hidden="false" customHeight="false" outlineLevel="0" collapsed="false">
      <c r="A206" s="2" t="s">
        <v>75</v>
      </c>
      <c r="B206" s="3" t="s">
        <v>155</v>
      </c>
      <c r="C206" s="3" t="s">
        <v>156</v>
      </c>
      <c r="D206" s="3" t="s">
        <v>157</v>
      </c>
      <c r="E206" s="3" t="s">
        <v>138</v>
      </c>
      <c r="F206" s="3" t="s">
        <v>17</v>
      </c>
      <c r="G206" s="3" t="n">
        <v>68</v>
      </c>
      <c r="H206" s="3"/>
      <c r="I206" s="3" t="s">
        <v>15</v>
      </c>
    </row>
    <row r="207" customFormat="false" ht="15" hidden="false" customHeight="false" outlineLevel="0" collapsed="false">
      <c r="A207" s="2" t="s">
        <v>30</v>
      </c>
      <c r="B207" s="3" t="s">
        <v>155</v>
      </c>
      <c r="C207" s="3" t="s">
        <v>156</v>
      </c>
      <c r="D207" s="3" t="s">
        <v>157</v>
      </c>
      <c r="E207" s="3" t="s">
        <v>138</v>
      </c>
      <c r="F207" s="3" t="s">
        <v>17</v>
      </c>
      <c r="G207" s="3" t="n">
        <v>85</v>
      </c>
      <c r="H207" s="3"/>
      <c r="I207" s="3" t="s">
        <v>15</v>
      </c>
    </row>
    <row r="208" customFormat="false" ht="15" hidden="false" customHeight="false" outlineLevel="0" collapsed="false">
      <c r="A208" s="2" t="s">
        <v>162</v>
      </c>
      <c r="B208" s="3" t="s">
        <v>155</v>
      </c>
      <c r="C208" s="3" t="s">
        <v>156</v>
      </c>
      <c r="D208" s="3" t="s">
        <v>157</v>
      </c>
      <c r="E208" s="3" t="s">
        <v>138</v>
      </c>
      <c r="F208" s="3" t="s">
        <v>17</v>
      </c>
      <c r="G208" s="3" t="n">
        <v>18</v>
      </c>
      <c r="H208" s="3"/>
      <c r="I208" s="3" t="s">
        <v>15</v>
      </c>
    </row>
    <row r="209" customFormat="false" ht="15" hidden="false" customHeight="false" outlineLevel="0" collapsed="false">
      <c r="A209" s="2" t="s">
        <v>163</v>
      </c>
      <c r="B209" s="3" t="s">
        <v>155</v>
      </c>
      <c r="C209" s="3" t="s">
        <v>156</v>
      </c>
      <c r="D209" s="3" t="s">
        <v>157</v>
      </c>
      <c r="E209" s="3" t="s">
        <v>138</v>
      </c>
      <c r="F209" s="3" t="s">
        <v>14</v>
      </c>
      <c r="G209" s="3" t="n">
        <v>117</v>
      </c>
      <c r="H209" s="4" t="n">
        <v>11805</v>
      </c>
      <c r="I209" s="3" t="s">
        <v>15</v>
      </c>
    </row>
    <row r="210" customFormat="false" ht="15" hidden="false" customHeight="false" outlineLevel="0" collapsed="false">
      <c r="A210" s="2" t="s">
        <v>114</v>
      </c>
      <c r="B210" s="3" t="s">
        <v>155</v>
      </c>
      <c r="C210" s="3" t="s">
        <v>156</v>
      </c>
      <c r="D210" s="3" t="s">
        <v>157</v>
      </c>
      <c r="E210" s="3" t="s">
        <v>138</v>
      </c>
      <c r="F210" s="3" t="s">
        <v>17</v>
      </c>
      <c r="G210" s="3" t="n">
        <v>112</v>
      </c>
      <c r="H210" s="3"/>
      <c r="I210" s="3" t="s">
        <v>15</v>
      </c>
    </row>
    <row r="211" customFormat="false" ht="15" hidden="false" customHeight="false" outlineLevel="0" collapsed="false">
      <c r="A211" s="2" t="s">
        <v>116</v>
      </c>
      <c r="B211" s="3" t="s">
        <v>155</v>
      </c>
      <c r="C211" s="3" t="s">
        <v>156</v>
      </c>
      <c r="D211" s="3" t="s">
        <v>157</v>
      </c>
      <c r="E211" s="3" t="s">
        <v>138</v>
      </c>
      <c r="F211" s="3" t="s">
        <v>14</v>
      </c>
      <c r="G211" s="3" t="n">
        <v>125</v>
      </c>
      <c r="H211" s="4" t="n">
        <v>12892</v>
      </c>
      <c r="I211" s="3" t="s">
        <v>15</v>
      </c>
    </row>
    <row r="212" customFormat="false" ht="15" hidden="false" customHeight="false" outlineLevel="0" collapsed="false">
      <c r="A212" s="2" t="s">
        <v>117</v>
      </c>
      <c r="B212" s="3" t="s">
        <v>155</v>
      </c>
      <c r="C212" s="3" t="s">
        <v>156</v>
      </c>
      <c r="D212" s="3" t="s">
        <v>157</v>
      </c>
      <c r="E212" s="3" t="s">
        <v>138</v>
      </c>
      <c r="F212" s="3" t="s">
        <v>17</v>
      </c>
      <c r="G212" s="3" t="n">
        <v>99</v>
      </c>
      <c r="H212" s="3"/>
      <c r="I212" s="3" t="s">
        <v>15</v>
      </c>
    </row>
    <row r="213" customFormat="false" ht="15" hidden="false" customHeight="false" outlineLevel="0" collapsed="false">
      <c r="A213" s="2" t="s">
        <v>146</v>
      </c>
      <c r="B213" s="3" t="s">
        <v>155</v>
      </c>
      <c r="C213" s="3" t="s">
        <v>156</v>
      </c>
      <c r="D213" s="3" t="s">
        <v>157</v>
      </c>
      <c r="E213" s="3" t="s">
        <v>138</v>
      </c>
      <c r="F213" s="3" t="s">
        <v>14</v>
      </c>
      <c r="G213" s="3" t="n">
        <v>43</v>
      </c>
      <c r="H213" s="4" t="n">
        <v>13268</v>
      </c>
      <c r="I213" s="3" t="s">
        <v>15</v>
      </c>
    </row>
    <row r="214" customFormat="false" ht="15" hidden="false" customHeight="false" outlineLevel="0" collapsed="false">
      <c r="A214" s="2" t="s">
        <v>119</v>
      </c>
      <c r="B214" s="3" t="s">
        <v>155</v>
      </c>
      <c r="C214" s="3" t="s">
        <v>156</v>
      </c>
      <c r="D214" s="3" t="s">
        <v>157</v>
      </c>
      <c r="E214" s="3" t="s">
        <v>138</v>
      </c>
      <c r="F214" s="3" t="s">
        <v>17</v>
      </c>
      <c r="G214" s="3" t="n">
        <v>53</v>
      </c>
      <c r="H214" s="3"/>
      <c r="I214" s="3" t="s">
        <v>15</v>
      </c>
    </row>
    <row r="215" customFormat="false" ht="15" hidden="false" customHeight="false" outlineLevel="0" collapsed="false">
      <c r="A215" s="2" t="s">
        <v>164</v>
      </c>
      <c r="B215" s="3" t="s">
        <v>155</v>
      </c>
      <c r="C215" s="3" t="s">
        <v>156</v>
      </c>
      <c r="D215" s="3" t="s">
        <v>157</v>
      </c>
      <c r="E215" s="3" t="s">
        <v>138</v>
      </c>
      <c r="F215" s="3" t="s">
        <v>17</v>
      </c>
      <c r="G215" s="3" t="n">
        <v>15</v>
      </c>
      <c r="H215" s="3"/>
      <c r="I215" s="3" t="s">
        <v>15</v>
      </c>
    </row>
    <row r="216" customFormat="false" ht="15" hidden="false" customHeight="false" outlineLevel="0" collapsed="false">
      <c r="A216" s="2" t="s">
        <v>120</v>
      </c>
      <c r="B216" s="3" t="s">
        <v>155</v>
      </c>
      <c r="C216" s="3" t="s">
        <v>156</v>
      </c>
      <c r="D216" s="3" t="s">
        <v>157</v>
      </c>
      <c r="E216" s="3" t="s">
        <v>138</v>
      </c>
      <c r="F216" s="3" t="s">
        <v>14</v>
      </c>
      <c r="G216" s="3" t="n">
        <v>100</v>
      </c>
      <c r="H216" s="4" t="n">
        <v>12896</v>
      </c>
      <c r="I216" s="3" t="s">
        <v>15</v>
      </c>
    </row>
    <row r="217" customFormat="false" ht="15" hidden="false" customHeight="false" outlineLevel="0" collapsed="false">
      <c r="A217" s="2" t="s">
        <v>39</v>
      </c>
      <c r="B217" s="3" t="s">
        <v>155</v>
      </c>
      <c r="C217" s="3" t="s">
        <v>156</v>
      </c>
      <c r="D217" s="3" t="s">
        <v>157</v>
      </c>
      <c r="E217" s="3" t="s">
        <v>138</v>
      </c>
      <c r="F217" s="3" t="s">
        <v>17</v>
      </c>
      <c r="G217" s="3" t="n">
        <v>44</v>
      </c>
      <c r="H217" s="3"/>
      <c r="I217" s="3" t="s">
        <v>15</v>
      </c>
    </row>
    <row r="218" customFormat="false" ht="15" hidden="false" customHeight="false" outlineLevel="0" collapsed="false">
      <c r="A218" s="2" t="s">
        <v>121</v>
      </c>
      <c r="B218" s="3" t="s">
        <v>155</v>
      </c>
      <c r="C218" s="3" t="s">
        <v>156</v>
      </c>
      <c r="D218" s="3" t="s">
        <v>157</v>
      </c>
      <c r="E218" s="3" t="s">
        <v>138</v>
      </c>
      <c r="F218" s="3" t="s">
        <v>17</v>
      </c>
      <c r="G218" s="3" t="n">
        <v>34</v>
      </c>
      <c r="H218" s="3"/>
      <c r="I218" s="3" t="s">
        <v>15</v>
      </c>
    </row>
    <row r="219" customFormat="false" ht="15" hidden="false" customHeight="false" outlineLevel="0" collapsed="false">
      <c r="A219" s="2" t="s">
        <v>122</v>
      </c>
      <c r="B219" s="3" t="s">
        <v>155</v>
      </c>
      <c r="C219" s="3" t="s">
        <v>156</v>
      </c>
      <c r="D219" s="3" t="s">
        <v>157</v>
      </c>
      <c r="E219" s="3" t="s">
        <v>138</v>
      </c>
      <c r="F219" s="3" t="s">
        <v>17</v>
      </c>
      <c r="G219" s="3" t="n">
        <v>25</v>
      </c>
      <c r="H219" s="3"/>
      <c r="I219" s="3" t="s">
        <v>15</v>
      </c>
    </row>
    <row r="220" customFormat="false" ht="15" hidden="false" customHeight="false" outlineLevel="0" collapsed="false">
      <c r="A220" s="2" t="s">
        <v>165</v>
      </c>
      <c r="B220" s="3" t="s">
        <v>155</v>
      </c>
      <c r="C220" s="3" t="s">
        <v>156</v>
      </c>
      <c r="D220" s="3" t="s">
        <v>157</v>
      </c>
      <c r="E220" s="3" t="s">
        <v>138</v>
      </c>
      <c r="F220" s="3" t="s">
        <v>14</v>
      </c>
      <c r="G220" s="3" t="n">
        <v>81</v>
      </c>
      <c r="H220" s="4" t="n">
        <v>12174</v>
      </c>
      <c r="I220" s="3" t="s">
        <v>15</v>
      </c>
    </row>
    <row r="221" customFormat="false" ht="15" hidden="false" customHeight="false" outlineLevel="0" collapsed="false">
      <c r="A221" s="2" t="s">
        <v>149</v>
      </c>
      <c r="B221" s="3" t="s">
        <v>155</v>
      </c>
      <c r="C221" s="3" t="s">
        <v>156</v>
      </c>
      <c r="D221" s="3" t="s">
        <v>157</v>
      </c>
      <c r="E221" s="3" t="s">
        <v>138</v>
      </c>
      <c r="F221" s="3" t="s">
        <v>14</v>
      </c>
      <c r="G221" s="3" t="n">
        <v>83</v>
      </c>
      <c r="H221" s="4" t="n">
        <v>12916</v>
      </c>
      <c r="I221" s="3" t="s">
        <v>15</v>
      </c>
    </row>
    <row r="222" customFormat="false" ht="15" hidden="false" customHeight="false" outlineLevel="0" collapsed="false">
      <c r="A222" s="2" t="s">
        <v>82</v>
      </c>
      <c r="B222" s="3" t="s">
        <v>155</v>
      </c>
      <c r="C222" s="3" t="s">
        <v>156</v>
      </c>
      <c r="D222" s="3" t="s">
        <v>157</v>
      </c>
      <c r="E222" s="3" t="s">
        <v>138</v>
      </c>
      <c r="F222" s="3" t="s">
        <v>17</v>
      </c>
      <c r="G222" s="3" t="n">
        <v>25</v>
      </c>
      <c r="H222" s="3"/>
      <c r="I222" s="3" t="s">
        <v>15</v>
      </c>
    </row>
    <row r="223" customFormat="false" ht="15" hidden="false" customHeight="false" outlineLevel="0" collapsed="false">
      <c r="A223" s="2" t="s">
        <v>166</v>
      </c>
      <c r="B223" s="3" t="s">
        <v>155</v>
      </c>
      <c r="C223" s="3" t="s">
        <v>156</v>
      </c>
      <c r="D223" s="3" t="s">
        <v>157</v>
      </c>
      <c r="E223" s="3" t="s">
        <v>138</v>
      </c>
      <c r="F223" s="3" t="s">
        <v>17</v>
      </c>
      <c r="G223" s="3" t="n">
        <v>94</v>
      </c>
      <c r="H223" s="3"/>
      <c r="I223" s="3" t="s">
        <v>15</v>
      </c>
    </row>
    <row r="224" customFormat="false" ht="15" hidden="false" customHeight="false" outlineLevel="0" collapsed="false">
      <c r="A224" s="2" t="s">
        <v>45</v>
      </c>
      <c r="B224" s="3" t="s">
        <v>155</v>
      </c>
      <c r="C224" s="3" t="s">
        <v>156</v>
      </c>
      <c r="D224" s="3" t="s">
        <v>157</v>
      </c>
      <c r="E224" s="3" t="s">
        <v>138</v>
      </c>
      <c r="F224" s="3" t="s">
        <v>17</v>
      </c>
      <c r="G224" s="3" t="n">
        <v>58</v>
      </c>
      <c r="H224" s="3"/>
      <c r="I224" s="3" t="s">
        <v>15</v>
      </c>
    </row>
    <row r="225" customFormat="false" ht="15" hidden="false" customHeight="false" outlineLevel="0" collapsed="false">
      <c r="A225" s="2" t="s">
        <v>47</v>
      </c>
      <c r="B225" s="3" t="s">
        <v>155</v>
      </c>
      <c r="C225" s="3" t="s">
        <v>156</v>
      </c>
      <c r="D225" s="3" t="s">
        <v>157</v>
      </c>
      <c r="E225" s="3" t="s">
        <v>138</v>
      </c>
      <c r="F225" s="3" t="s">
        <v>14</v>
      </c>
      <c r="G225" s="3" t="n">
        <v>30</v>
      </c>
      <c r="H225" s="4" t="n">
        <v>13950</v>
      </c>
      <c r="I225" s="3" t="s">
        <v>15</v>
      </c>
    </row>
    <row r="226" customFormat="false" ht="15" hidden="false" customHeight="false" outlineLevel="0" collapsed="false">
      <c r="A226" s="2" t="s">
        <v>85</v>
      </c>
      <c r="B226" s="3" t="s">
        <v>155</v>
      </c>
      <c r="C226" s="3" t="s">
        <v>156</v>
      </c>
      <c r="D226" s="3" t="s">
        <v>157</v>
      </c>
      <c r="E226" s="3" t="s">
        <v>138</v>
      </c>
      <c r="F226" s="3" t="s">
        <v>17</v>
      </c>
      <c r="G226" s="3" t="n">
        <v>25</v>
      </c>
      <c r="H226" s="3"/>
      <c r="I226" s="3" t="s">
        <v>15</v>
      </c>
    </row>
    <row r="227" customFormat="false" ht="15" hidden="false" customHeight="false" outlineLevel="0" collapsed="false">
      <c r="A227" s="2" t="s">
        <v>127</v>
      </c>
      <c r="B227" s="3" t="s">
        <v>155</v>
      </c>
      <c r="C227" s="3" t="s">
        <v>156</v>
      </c>
      <c r="D227" s="3" t="s">
        <v>157</v>
      </c>
      <c r="E227" s="3" t="s">
        <v>138</v>
      </c>
      <c r="F227" s="3" t="s">
        <v>14</v>
      </c>
      <c r="G227" s="3" t="n">
        <v>90</v>
      </c>
      <c r="H227" s="4" t="n">
        <v>14020</v>
      </c>
      <c r="I227" s="3" t="s">
        <v>15</v>
      </c>
    </row>
    <row r="228" customFormat="false" ht="15" hidden="false" customHeight="false" outlineLevel="0" collapsed="false">
      <c r="A228" s="2" t="s">
        <v>167</v>
      </c>
      <c r="B228" s="3" t="s">
        <v>155</v>
      </c>
      <c r="C228" s="3" t="s">
        <v>156</v>
      </c>
      <c r="D228" s="3" t="s">
        <v>157</v>
      </c>
      <c r="E228" s="3" t="s">
        <v>138</v>
      </c>
      <c r="F228" s="3" t="s">
        <v>17</v>
      </c>
      <c r="G228" s="3" t="n">
        <v>75</v>
      </c>
      <c r="H228" s="3"/>
      <c r="I228" s="3" t="s">
        <v>15</v>
      </c>
    </row>
    <row r="229" customFormat="false" ht="15" hidden="false" customHeight="false" outlineLevel="0" collapsed="false">
      <c r="A229" s="2" t="s">
        <v>151</v>
      </c>
      <c r="B229" s="3" t="s">
        <v>155</v>
      </c>
      <c r="C229" s="3" t="s">
        <v>156</v>
      </c>
      <c r="D229" s="3" t="s">
        <v>157</v>
      </c>
      <c r="E229" s="3" t="s">
        <v>138</v>
      </c>
      <c r="F229" s="3" t="s">
        <v>14</v>
      </c>
      <c r="G229" s="3" t="n">
        <v>121</v>
      </c>
      <c r="H229" s="4" t="n">
        <v>11819</v>
      </c>
      <c r="I229" s="3" t="s">
        <v>15</v>
      </c>
    </row>
    <row r="230" customFormat="false" ht="15" hidden="false" customHeight="false" outlineLevel="0" collapsed="false">
      <c r="A230" s="2" t="s">
        <v>168</v>
      </c>
      <c r="B230" s="3" t="s">
        <v>155</v>
      </c>
      <c r="C230" s="3" t="s">
        <v>156</v>
      </c>
      <c r="D230" s="3" t="s">
        <v>157</v>
      </c>
      <c r="E230" s="3" t="s">
        <v>138</v>
      </c>
      <c r="F230" s="3" t="s">
        <v>14</v>
      </c>
      <c r="G230" s="3" t="n">
        <v>154</v>
      </c>
      <c r="H230" s="4" t="n">
        <v>13466</v>
      </c>
      <c r="I230" s="3" t="s">
        <v>15</v>
      </c>
    </row>
    <row r="231" customFormat="false" ht="15" hidden="false" customHeight="false" outlineLevel="0" collapsed="false">
      <c r="A231" s="2" t="s">
        <v>89</v>
      </c>
      <c r="B231" s="3" t="s">
        <v>155</v>
      </c>
      <c r="C231" s="3" t="s">
        <v>156</v>
      </c>
      <c r="D231" s="3" t="s">
        <v>157</v>
      </c>
      <c r="E231" s="3" t="s">
        <v>138</v>
      </c>
      <c r="F231" s="3" t="s">
        <v>17</v>
      </c>
      <c r="G231" s="3" t="n">
        <v>14</v>
      </c>
      <c r="H231" s="3"/>
      <c r="I231" s="3" t="s">
        <v>15</v>
      </c>
    </row>
    <row r="232" customFormat="false" ht="15" hidden="false" customHeight="false" outlineLevel="0" collapsed="false">
      <c r="A232" s="2" t="s">
        <v>90</v>
      </c>
      <c r="B232" s="3" t="s">
        <v>155</v>
      </c>
      <c r="C232" s="3" t="s">
        <v>156</v>
      </c>
      <c r="D232" s="3" t="s">
        <v>157</v>
      </c>
      <c r="E232" s="3" t="s">
        <v>138</v>
      </c>
      <c r="F232" s="3" t="s">
        <v>14</v>
      </c>
      <c r="G232" s="3" t="n">
        <v>195</v>
      </c>
      <c r="H232" s="4" t="n">
        <v>11431</v>
      </c>
      <c r="I232" s="3" t="s">
        <v>15</v>
      </c>
    </row>
    <row r="233" customFormat="false" ht="15" hidden="false" customHeight="false" outlineLevel="0" collapsed="false">
      <c r="A233" s="2" t="s">
        <v>152</v>
      </c>
      <c r="B233" s="3" t="s">
        <v>155</v>
      </c>
      <c r="C233" s="3" t="s">
        <v>156</v>
      </c>
      <c r="D233" s="3" t="s">
        <v>157</v>
      </c>
      <c r="E233" s="3" t="s">
        <v>138</v>
      </c>
      <c r="F233" s="3" t="s">
        <v>17</v>
      </c>
      <c r="G233" s="3" t="n">
        <v>99</v>
      </c>
      <c r="H233" s="3"/>
      <c r="I233" s="3" t="s">
        <v>15</v>
      </c>
    </row>
    <row r="234" customFormat="false" ht="15" hidden="false" customHeight="false" outlineLevel="0" collapsed="false">
      <c r="A234" s="2" t="s">
        <v>169</v>
      </c>
      <c r="B234" s="3" t="s">
        <v>155</v>
      </c>
      <c r="C234" s="3" t="s">
        <v>156</v>
      </c>
      <c r="D234" s="3" t="s">
        <v>157</v>
      </c>
      <c r="E234" s="3" t="s">
        <v>138</v>
      </c>
      <c r="F234" s="3" t="s">
        <v>17</v>
      </c>
      <c r="G234" s="3" t="n">
        <v>98</v>
      </c>
      <c r="H234" s="3"/>
      <c r="I234" s="3" t="s">
        <v>15</v>
      </c>
    </row>
    <row r="235" customFormat="false" ht="15" hidden="false" customHeight="false" outlineLevel="0" collapsed="false">
      <c r="A235" s="2" t="s">
        <v>153</v>
      </c>
      <c r="B235" s="3" t="s">
        <v>155</v>
      </c>
      <c r="C235" s="3" t="s">
        <v>156</v>
      </c>
      <c r="D235" s="3" t="s">
        <v>157</v>
      </c>
      <c r="E235" s="3" t="s">
        <v>138</v>
      </c>
      <c r="F235" s="3" t="s">
        <v>14</v>
      </c>
      <c r="G235" s="3" t="n">
        <v>73</v>
      </c>
      <c r="H235" s="4" t="n">
        <v>13108</v>
      </c>
      <c r="I235" s="3" t="s">
        <v>15</v>
      </c>
    </row>
    <row r="236" customFormat="false" ht="15" hidden="false" customHeight="false" outlineLevel="0" collapsed="false">
      <c r="A236" s="2" t="s">
        <v>170</v>
      </c>
      <c r="B236" s="3" t="s">
        <v>155</v>
      </c>
      <c r="C236" s="3" t="s">
        <v>156</v>
      </c>
      <c r="D236" s="3" t="s">
        <v>157</v>
      </c>
      <c r="E236" s="3" t="s">
        <v>138</v>
      </c>
      <c r="F236" s="3" t="s">
        <v>14</v>
      </c>
      <c r="G236" s="3" t="n">
        <v>112</v>
      </c>
      <c r="H236" s="4" t="n">
        <v>12127</v>
      </c>
      <c r="I236" s="3" t="s">
        <v>15</v>
      </c>
    </row>
    <row r="237" customFormat="false" ht="15" hidden="false" customHeight="false" outlineLevel="0" collapsed="false">
      <c r="A237" s="2" t="s">
        <v>171</v>
      </c>
      <c r="B237" s="3" t="s">
        <v>155</v>
      </c>
      <c r="C237" s="3" t="s">
        <v>156</v>
      </c>
      <c r="D237" s="3" t="s">
        <v>157</v>
      </c>
      <c r="E237" s="3" t="s">
        <v>138</v>
      </c>
      <c r="F237" s="3" t="s">
        <v>17</v>
      </c>
      <c r="G237" s="3" t="n">
        <v>40</v>
      </c>
      <c r="H237" s="3"/>
      <c r="I237" s="3" t="s">
        <v>15</v>
      </c>
    </row>
    <row r="238" customFormat="false" ht="15" hidden="false" customHeight="false" outlineLevel="0" collapsed="false">
      <c r="A238" s="2" t="s">
        <v>94</v>
      </c>
      <c r="B238" s="3" t="s">
        <v>155</v>
      </c>
      <c r="C238" s="3" t="s">
        <v>156</v>
      </c>
      <c r="D238" s="3" t="s">
        <v>157</v>
      </c>
      <c r="E238" s="3" t="s">
        <v>138</v>
      </c>
      <c r="F238" s="3" t="s">
        <v>17</v>
      </c>
      <c r="G238" s="3" t="n">
        <v>88</v>
      </c>
      <c r="H238" s="3"/>
      <c r="I238" s="3" t="s">
        <v>15</v>
      </c>
    </row>
    <row r="239" customFormat="false" ht="15" hidden="false" customHeight="false" outlineLevel="0" collapsed="false">
      <c r="A239" s="2" t="s">
        <v>95</v>
      </c>
      <c r="B239" s="3" t="s">
        <v>155</v>
      </c>
      <c r="C239" s="3" t="s">
        <v>156</v>
      </c>
      <c r="D239" s="3" t="s">
        <v>157</v>
      </c>
      <c r="E239" s="3" t="s">
        <v>138</v>
      </c>
      <c r="F239" s="3" t="s">
        <v>14</v>
      </c>
      <c r="G239" s="3" t="n">
        <v>147</v>
      </c>
      <c r="H239" s="4" t="n">
        <v>13472</v>
      </c>
      <c r="I239" s="3" t="s">
        <v>15</v>
      </c>
    </row>
    <row r="240" customFormat="false" ht="15" hidden="false" customHeight="false" outlineLevel="0" collapsed="false">
      <c r="A240" s="2" t="s">
        <v>172</v>
      </c>
      <c r="B240" s="3" t="s">
        <v>155</v>
      </c>
      <c r="C240" s="3" t="s">
        <v>156</v>
      </c>
      <c r="D240" s="3" t="s">
        <v>157</v>
      </c>
      <c r="E240" s="3" t="s">
        <v>138</v>
      </c>
      <c r="F240" s="3" t="s">
        <v>14</v>
      </c>
      <c r="G240" s="3" t="n">
        <v>115</v>
      </c>
      <c r="H240" s="4" t="n">
        <v>12990</v>
      </c>
      <c r="I240" s="3" t="s">
        <v>15</v>
      </c>
    </row>
  </sheetData>
  <autoFilter ref="A1:I2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14"/>
    <col collapsed="false" customWidth="true" hidden="false" outlineLevel="0" max="11" min="10" style="0" width="38"/>
    <col collapsed="false" customWidth="true" hidden="false" outlineLevel="0" max="12" min="12" style="0" width="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173</v>
      </c>
      <c r="K1" s="1" t="s">
        <v>174</v>
      </c>
      <c r="L1" s="1" t="s">
        <v>175</v>
      </c>
      <c r="N1" s="5" t="s">
        <v>176</v>
      </c>
      <c r="O1" s="6" t="s">
        <v>177</v>
      </c>
    </row>
    <row r="2" customFormat="false" ht="15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n">
        <v>193</v>
      </c>
      <c r="H2" s="3" t="n">
        <v>18716</v>
      </c>
      <c r="I2" s="3" t="s">
        <v>15</v>
      </c>
      <c r="J2" s="7" t="n">
        <f aca="false">SUMIFS($G$2:G2,$B$2:B2,B2,$F$2:F2,"Masuk")-SUMIFS($G$2:G2,$B$2:B2,B2,$F$2:F2,"Keluar")</f>
        <v>193</v>
      </c>
      <c r="K2" s="7" t="n">
        <f aca="false">IF(F2="Masuk",MAX(0,MIN(G2,SUMIFS($G$2:G2,$B$2:B2,B2,$F$2:F2,"Masuk")-SUMIFS($G$2:G2,$B$2:B2,B2,$F$2:F2,"Keluar"))),"")</f>
        <v>193</v>
      </c>
      <c r="L2" s="7" t="n">
        <f aca="false">IF(F2="Masuk",K2*H2,"")</f>
        <v>3612188</v>
      </c>
    </row>
    <row r="3" customFormat="false" ht="15" hidden="false" customHeight="false" outlineLevel="0" collapsed="false">
      <c r="A3" s="2" t="s">
        <v>16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17</v>
      </c>
      <c r="G3" s="3" t="n">
        <v>55</v>
      </c>
      <c r="H3" s="3"/>
      <c r="I3" s="3" t="s">
        <v>15</v>
      </c>
      <c r="J3" s="7"/>
      <c r="K3" s="7"/>
      <c r="L3" s="7"/>
    </row>
    <row r="4" customFormat="false" ht="15" hidden="false" customHeight="false" outlineLevel="0" collapsed="false">
      <c r="A4" s="2" t="s">
        <v>18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17</v>
      </c>
      <c r="G4" s="3" t="n">
        <v>23</v>
      </c>
      <c r="H4" s="3"/>
      <c r="I4" s="3" t="s">
        <v>15</v>
      </c>
      <c r="J4" s="7"/>
      <c r="K4" s="7"/>
      <c r="L4" s="7"/>
    </row>
    <row r="5" customFormat="false" ht="15" hidden="false" customHeight="false" outlineLevel="0" collapsed="false">
      <c r="A5" s="2" t="s">
        <v>19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17</v>
      </c>
      <c r="G5" s="3" t="n">
        <v>20</v>
      </c>
      <c r="H5" s="3"/>
      <c r="I5" s="3" t="s">
        <v>15</v>
      </c>
      <c r="J5" s="7"/>
      <c r="K5" s="7"/>
      <c r="L5" s="7"/>
    </row>
    <row r="6" customFormat="false" ht="15" hidden="false" customHeight="false" outlineLevel="0" collapsed="false">
      <c r="A6" s="2" t="s">
        <v>20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17</v>
      </c>
      <c r="G6" s="3" t="n">
        <v>27</v>
      </c>
      <c r="H6" s="3"/>
      <c r="I6" s="3" t="s">
        <v>15</v>
      </c>
      <c r="J6" s="7"/>
      <c r="K6" s="7"/>
      <c r="L6" s="7"/>
    </row>
    <row r="7" customFormat="false" ht="15" hidden="false" customHeight="false" outlineLevel="0" collapsed="false">
      <c r="A7" s="2" t="s">
        <v>21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n">
        <v>180</v>
      </c>
      <c r="H7" s="3" t="n">
        <v>16626</v>
      </c>
      <c r="I7" s="3" t="s">
        <v>15</v>
      </c>
      <c r="J7" s="7"/>
      <c r="K7" s="7"/>
      <c r="L7" s="7"/>
    </row>
    <row r="8" customFormat="false" ht="15" hidden="false" customHeight="false" outlineLevel="0" collapsed="false">
      <c r="A8" s="2" t="s">
        <v>22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n">
        <v>24</v>
      </c>
      <c r="H8" s="3" t="n">
        <v>20154</v>
      </c>
      <c r="I8" s="3" t="s">
        <v>15</v>
      </c>
      <c r="J8" s="7"/>
      <c r="K8" s="7"/>
      <c r="L8" s="7"/>
    </row>
    <row r="9" customFormat="false" ht="15" hidden="false" customHeight="false" outlineLevel="0" collapsed="false">
      <c r="A9" s="2" t="s">
        <v>23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  <c r="G9" s="3" t="n">
        <v>168</v>
      </c>
      <c r="H9" s="3" t="n">
        <v>20742</v>
      </c>
      <c r="I9" s="3" t="s">
        <v>15</v>
      </c>
      <c r="J9" s="7"/>
      <c r="K9" s="7"/>
      <c r="L9" s="7"/>
    </row>
    <row r="10" customFormat="false" ht="15" hidden="false" customHeight="false" outlineLevel="0" collapsed="false">
      <c r="A10" s="2" t="s">
        <v>24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17</v>
      </c>
      <c r="G10" s="3" t="n">
        <v>37</v>
      </c>
      <c r="H10" s="3"/>
      <c r="I10" s="3" t="s">
        <v>15</v>
      </c>
      <c r="J10" s="7"/>
      <c r="K10" s="7"/>
      <c r="L10" s="7"/>
    </row>
    <row r="11" customFormat="false" ht="15" hidden="false" customHeight="false" outlineLevel="0" collapsed="false">
      <c r="A11" s="2" t="s">
        <v>25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17</v>
      </c>
      <c r="G11" s="3" t="n">
        <v>79</v>
      </c>
      <c r="H11" s="3"/>
      <c r="I11" s="3" t="s">
        <v>15</v>
      </c>
      <c r="J11" s="7"/>
      <c r="K11" s="7"/>
      <c r="L11" s="7"/>
    </row>
    <row r="12" customFormat="false" ht="15" hidden="false" customHeight="false" outlineLevel="0" collapsed="false">
      <c r="A12" s="2" t="s">
        <v>26</v>
      </c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17</v>
      </c>
      <c r="G12" s="3" t="n">
        <v>109</v>
      </c>
      <c r="H12" s="3"/>
      <c r="I12" s="3" t="s">
        <v>15</v>
      </c>
      <c r="J12" s="7"/>
      <c r="K12" s="7"/>
      <c r="L12" s="7"/>
    </row>
    <row r="13" customFormat="false" ht="15" hidden="false" customHeight="false" outlineLevel="0" collapsed="false">
      <c r="A13" s="2" t="s">
        <v>27</v>
      </c>
      <c r="B13" s="3" t="s">
        <v>10</v>
      </c>
      <c r="C13" s="3" t="s">
        <v>11</v>
      </c>
      <c r="D13" s="3" t="s">
        <v>12</v>
      </c>
      <c r="E13" s="3" t="s">
        <v>13</v>
      </c>
      <c r="F13" s="3" t="s">
        <v>14</v>
      </c>
      <c r="G13" s="3" t="n">
        <v>77</v>
      </c>
      <c r="H13" s="3" t="n">
        <v>20830</v>
      </c>
      <c r="I13" s="3" t="s">
        <v>15</v>
      </c>
      <c r="J13" s="7"/>
      <c r="K13" s="7"/>
      <c r="L13" s="7"/>
    </row>
    <row r="14" customFormat="false" ht="15" hidden="false" customHeight="false" outlineLevel="0" collapsed="false">
      <c r="A14" s="2" t="s">
        <v>28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17</v>
      </c>
      <c r="G14" s="3" t="n">
        <v>27</v>
      </c>
      <c r="H14" s="3"/>
      <c r="I14" s="3" t="s">
        <v>15</v>
      </c>
      <c r="J14" s="7"/>
      <c r="K14" s="7"/>
      <c r="L14" s="7"/>
    </row>
    <row r="15" customFormat="false" ht="15" hidden="false" customHeight="false" outlineLevel="0" collapsed="false">
      <c r="A15" s="2" t="s">
        <v>29</v>
      </c>
      <c r="B15" s="3" t="s">
        <v>10</v>
      </c>
      <c r="C15" s="3" t="s">
        <v>11</v>
      </c>
      <c r="D15" s="3" t="s">
        <v>12</v>
      </c>
      <c r="E15" s="3" t="s">
        <v>13</v>
      </c>
      <c r="F15" s="3" t="s">
        <v>17</v>
      </c>
      <c r="G15" s="3" t="n">
        <v>21</v>
      </c>
      <c r="H15" s="3"/>
      <c r="I15" s="3" t="s">
        <v>15</v>
      </c>
      <c r="J15" s="7"/>
      <c r="K15" s="7"/>
      <c r="L15" s="7"/>
    </row>
    <row r="16" customFormat="false" ht="15" hidden="false" customHeight="false" outlineLevel="0" collapsed="false">
      <c r="A16" s="2" t="s">
        <v>30</v>
      </c>
      <c r="B16" s="3" t="s">
        <v>10</v>
      </c>
      <c r="C16" s="3" t="s">
        <v>11</v>
      </c>
      <c r="D16" s="3" t="s">
        <v>12</v>
      </c>
      <c r="E16" s="3" t="s">
        <v>13</v>
      </c>
      <c r="F16" s="3" t="s">
        <v>14</v>
      </c>
      <c r="G16" s="3" t="n">
        <v>22</v>
      </c>
      <c r="H16" s="3" t="n">
        <v>17956</v>
      </c>
      <c r="I16" s="3" t="s">
        <v>15</v>
      </c>
      <c r="J16" s="7"/>
      <c r="K16" s="7"/>
      <c r="L16" s="7"/>
    </row>
    <row r="17" customFormat="false" ht="15" hidden="false" customHeight="false" outlineLevel="0" collapsed="false">
      <c r="A17" s="2" t="s">
        <v>31</v>
      </c>
      <c r="B17" s="3" t="s">
        <v>10</v>
      </c>
      <c r="C17" s="3" t="s">
        <v>11</v>
      </c>
      <c r="D17" s="3" t="s">
        <v>12</v>
      </c>
      <c r="E17" s="3" t="s">
        <v>13</v>
      </c>
      <c r="F17" s="3" t="s">
        <v>17</v>
      </c>
      <c r="G17" s="3" t="n">
        <v>106</v>
      </c>
      <c r="H17" s="3"/>
      <c r="I17" s="3" t="s">
        <v>15</v>
      </c>
      <c r="J17" s="7"/>
      <c r="K17" s="7"/>
      <c r="L17" s="7"/>
    </row>
    <row r="18" customFormat="false" ht="15" hidden="false" customHeight="false" outlineLevel="0" collapsed="false">
      <c r="A18" s="2" t="s">
        <v>32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14</v>
      </c>
      <c r="G18" s="3" t="n">
        <v>60</v>
      </c>
      <c r="H18" s="3" t="n">
        <v>17467</v>
      </c>
      <c r="I18" s="3" t="s">
        <v>15</v>
      </c>
      <c r="J18" s="7"/>
      <c r="K18" s="7"/>
      <c r="L18" s="7"/>
    </row>
    <row r="19" customFormat="false" ht="15" hidden="false" customHeight="false" outlineLevel="0" collapsed="false">
      <c r="A19" s="2" t="s">
        <v>33</v>
      </c>
      <c r="B19" s="3" t="s">
        <v>10</v>
      </c>
      <c r="C19" s="3" t="s">
        <v>11</v>
      </c>
      <c r="D19" s="3" t="s">
        <v>12</v>
      </c>
      <c r="E19" s="3" t="s">
        <v>13</v>
      </c>
      <c r="F19" s="3" t="s">
        <v>17</v>
      </c>
      <c r="G19" s="3" t="n">
        <v>94</v>
      </c>
      <c r="H19" s="3"/>
      <c r="I19" s="3" t="s">
        <v>15</v>
      </c>
      <c r="J19" s="7"/>
      <c r="K19" s="7"/>
      <c r="L19" s="7"/>
    </row>
    <row r="20" customFormat="false" ht="15" hidden="false" customHeight="false" outlineLevel="0" collapsed="false">
      <c r="A20" s="2" t="s">
        <v>34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17</v>
      </c>
      <c r="G20" s="3" t="n">
        <v>71</v>
      </c>
      <c r="H20" s="3"/>
      <c r="I20" s="3" t="s">
        <v>15</v>
      </c>
      <c r="J20" s="7"/>
      <c r="K20" s="7"/>
      <c r="L20" s="7"/>
    </row>
    <row r="21" customFormat="false" ht="15" hidden="false" customHeight="false" outlineLevel="0" collapsed="false">
      <c r="A21" s="2" t="s">
        <v>35</v>
      </c>
      <c r="B21" s="3" t="s">
        <v>10</v>
      </c>
      <c r="C21" s="3" t="s">
        <v>11</v>
      </c>
      <c r="D21" s="3" t="s">
        <v>12</v>
      </c>
      <c r="E21" s="3" t="s">
        <v>13</v>
      </c>
      <c r="F21" s="3" t="s">
        <v>14</v>
      </c>
      <c r="G21" s="3" t="n">
        <v>144</v>
      </c>
      <c r="H21" s="3" t="n">
        <v>17898</v>
      </c>
      <c r="I21" s="3" t="s">
        <v>15</v>
      </c>
      <c r="J21" s="7"/>
      <c r="K21" s="7"/>
      <c r="L21" s="7"/>
    </row>
    <row r="22" customFormat="false" ht="15" hidden="false" customHeight="false" outlineLevel="0" collapsed="false">
      <c r="A22" s="2" t="s">
        <v>36</v>
      </c>
      <c r="B22" s="3" t="s">
        <v>10</v>
      </c>
      <c r="C22" s="3" t="s">
        <v>11</v>
      </c>
      <c r="D22" s="3" t="s">
        <v>12</v>
      </c>
      <c r="E22" s="3" t="s">
        <v>13</v>
      </c>
      <c r="F22" s="3" t="s">
        <v>14</v>
      </c>
      <c r="G22" s="3" t="n">
        <v>79</v>
      </c>
      <c r="H22" s="3" t="n">
        <v>16350</v>
      </c>
      <c r="I22" s="3" t="s">
        <v>15</v>
      </c>
      <c r="J22" s="7"/>
      <c r="K22" s="7"/>
      <c r="L22" s="7"/>
    </row>
    <row r="23" customFormat="false" ht="15" hidden="false" customHeight="false" outlineLevel="0" collapsed="false">
      <c r="A23" s="2" t="s">
        <v>37</v>
      </c>
      <c r="B23" s="3" t="s">
        <v>10</v>
      </c>
      <c r="C23" s="3" t="s">
        <v>11</v>
      </c>
      <c r="D23" s="3" t="s">
        <v>12</v>
      </c>
      <c r="E23" s="3" t="s">
        <v>13</v>
      </c>
      <c r="F23" s="3" t="s">
        <v>14</v>
      </c>
      <c r="G23" s="3" t="n">
        <v>112</v>
      </c>
      <c r="H23" s="3" t="n">
        <v>19179</v>
      </c>
      <c r="I23" s="3" t="s">
        <v>15</v>
      </c>
      <c r="J23" s="7"/>
      <c r="K23" s="7"/>
      <c r="L23" s="7"/>
    </row>
    <row r="24" customFormat="false" ht="15" hidden="false" customHeight="false" outlineLevel="0" collapsed="false">
      <c r="A24" s="2" t="s">
        <v>38</v>
      </c>
      <c r="B24" s="3" t="s">
        <v>10</v>
      </c>
      <c r="C24" s="3" t="s">
        <v>11</v>
      </c>
      <c r="D24" s="3" t="s">
        <v>12</v>
      </c>
      <c r="E24" s="3" t="s">
        <v>13</v>
      </c>
      <c r="F24" s="3" t="s">
        <v>17</v>
      </c>
      <c r="G24" s="3" t="n">
        <v>15</v>
      </c>
      <c r="H24" s="3"/>
      <c r="I24" s="3" t="s">
        <v>15</v>
      </c>
      <c r="J24" s="7"/>
      <c r="K24" s="7"/>
      <c r="L24" s="7"/>
    </row>
    <row r="25" customFormat="false" ht="15" hidden="false" customHeight="false" outlineLevel="0" collapsed="false">
      <c r="A25" s="2" t="s">
        <v>39</v>
      </c>
      <c r="B25" s="3" t="s">
        <v>10</v>
      </c>
      <c r="C25" s="3" t="s">
        <v>11</v>
      </c>
      <c r="D25" s="3" t="s">
        <v>12</v>
      </c>
      <c r="E25" s="3" t="s">
        <v>13</v>
      </c>
      <c r="F25" s="3" t="s">
        <v>17</v>
      </c>
      <c r="G25" s="3" t="n">
        <v>51</v>
      </c>
      <c r="H25" s="3"/>
      <c r="I25" s="3" t="s">
        <v>15</v>
      </c>
      <c r="J25" s="7"/>
      <c r="K25" s="7"/>
      <c r="L25" s="7"/>
    </row>
    <row r="26" customFormat="false" ht="15" hidden="false" customHeight="false" outlineLevel="0" collapsed="false">
      <c r="A26" s="2" t="s">
        <v>40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17</v>
      </c>
      <c r="G26" s="3" t="n">
        <v>76</v>
      </c>
      <c r="H26" s="3"/>
      <c r="I26" s="3" t="s">
        <v>15</v>
      </c>
      <c r="J26" s="7"/>
      <c r="K26" s="7"/>
      <c r="L26" s="7"/>
    </row>
    <row r="27" customFormat="false" ht="15" hidden="false" customHeight="false" outlineLevel="0" collapsed="false">
      <c r="A27" s="2" t="s">
        <v>41</v>
      </c>
      <c r="B27" s="3" t="s">
        <v>10</v>
      </c>
      <c r="C27" s="3" t="s">
        <v>11</v>
      </c>
      <c r="D27" s="3" t="s">
        <v>12</v>
      </c>
      <c r="E27" s="3" t="s">
        <v>13</v>
      </c>
      <c r="F27" s="3" t="s">
        <v>17</v>
      </c>
      <c r="G27" s="3" t="n">
        <v>116</v>
      </c>
      <c r="H27" s="3"/>
      <c r="I27" s="3" t="s">
        <v>15</v>
      </c>
      <c r="J27" s="7"/>
      <c r="K27" s="7"/>
      <c r="L27" s="7"/>
    </row>
    <row r="28" customFormat="false" ht="15" hidden="false" customHeight="false" outlineLevel="0" collapsed="false">
      <c r="A28" s="2" t="s">
        <v>42</v>
      </c>
      <c r="B28" s="3" t="s">
        <v>10</v>
      </c>
      <c r="C28" s="3" t="s">
        <v>11</v>
      </c>
      <c r="D28" s="3" t="s">
        <v>12</v>
      </c>
      <c r="E28" s="3" t="s">
        <v>13</v>
      </c>
      <c r="F28" s="3" t="s">
        <v>14</v>
      </c>
      <c r="G28" s="3" t="n">
        <v>159</v>
      </c>
      <c r="H28" s="3" t="n">
        <v>20670</v>
      </c>
      <c r="I28" s="3" t="s">
        <v>15</v>
      </c>
      <c r="J28" s="7"/>
      <c r="K28" s="7"/>
      <c r="L28" s="7"/>
    </row>
    <row r="29" customFormat="false" ht="15" hidden="false" customHeight="false" outlineLevel="0" collapsed="false">
      <c r="A29" s="2" t="s">
        <v>43</v>
      </c>
      <c r="B29" s="3" t="s">
        <v>10</v>
      </c>
      <c r="C29" s="3" t="s">
        <v>11</v>
      </c>
      <c r="D29" s="3" t="s">
        <v>12</v>
      </c>
      <c r="E29" s="3" t="s">
        <v>13</v>
      </c>
      <c r="F29" s="3" t="s">
        <v>14</v>
      </c>
      <c r="G29" s="3" t="n">
        <v>116</v>
      </c>
      <c r="H29" s="3" t="n">
        <v>18992</v>
      </c>
      <c r="I29" s="3" t="s">
        <v>15</v>
      </c>
      <c r="J29" s="7"/>
      <c r="K29" s="7"/>
      <c r="L29" s="7"/>
    </row>
    <row r="30" customFormat="false" ht="15" hidden="false" customHeight="false" outlineLevel="0" collapsed="false">
      <c r="A30" s="2" t="s">
        <v>44</v>
      </c>
      <c r="B30" s="3" t="s">
        <v>10</v>
      </c>
      <c r="C30" s="3" t="s">
        <v>11</v>
      </c>
      <c r="D30" s="3" t="s">
        <v>12</v>
      </c>
      <c r="E30" s="3" t="s">
        <v>13</v>
      </c>
      <c r="F30" s="3" t="s">
        <v>17</v>
      </c>
      <c r="G30" s="3" t="n">
        <v>116</v>
      </c>
      <c r="H30" s="3"/>
      <c r="I30" s="3" t="s">
        <v>15</v>
      </c>
      <c r="J30" s="7"/>
      <c r="K30" s="7"/>
      <c r="L30" s="7"/>
    </row>
    <row r="31" customFormat="false" ht="15" hidden="false" customHeight="false" outlineLevel="0" collapsed="false">
      <c r="A31" s="2" t="s">
        <v>45</v>
      </c>
      <c r="B31" s="3" t="s">
        <v>10</v>
      </c>
      <c r="C31" s="3" t="s">
        <v>11</v>
      </c>
      <c r="D31" s="3" t="s">
        <v>12</v>
      </c>
      <c r="E31" s="3" t="s">
        <v>13</v>
      </c>
      <c r="F31" s="3" t="s">
        <v>17</v>
      </c>
      <c r="G31" s="3" t="n">
        <v>58</v>
      </c>
      <c r="H31" s="3"/>
      <c r="I31" s="3" t="s">
        <v>15</v>
      </c>
      <c r="J31" s="7"/>
      <c r="K31" s="7"/>
      <c r="L31" s="7"/>
    </row>
    <row r="32" customFormat="false" ht="15" hidden="false" customHeight="false" outlineLevel="0" collapsed="false">
      <c r="A32" s="2" t="s">
        <v>46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17</v>
      </c>
      <c r="G32" s="3" t="n">
        <v>55</v>
      </c>
      <c r="H32" s="3"/>
      <c r="I32" s="3" t="s">
        <v>15</v>
      </c>
      <c r="J32" s="7"/>
      <c r="K32" s="7"/>
      <c r="L32" s="7"/>
    </row>
    <row r="33" customFormat="false" ht="15" hidden="false" customHeight="false" outlineLevel="0" collapsed="false">
      <c r="A33" s="2" t="s">
        <v>47</v>
      </c>
      <c r="B33" s="3" t="s">
        <v>10</v>
      </c>
      <c r="C33" s="3" t="s">
        <v>11</v>
      </c>
      <c r="D33" s="3" t="s">
        <v>12</v>
      </c>
      <c r="E33" s="3" t="s">
        <v>13</v>
      </c>
      <c r="F33" s="3" t="s">
        <v>17</v>
      </c>
      <c r="G33" s="3" t="n">
        <v>71</v>
      </c>
      <c r="H33" s="3"/>
      <c r="I33" s="3" t="s">
        <v>15</v>
      </c>
      <c r="J33" s="7"/>
      <c r="K33" s="7"/>
      <c r="L33" s="7"/>
    </row>
    <row r="34" customFormat="false" ht="15" hidden="false" customHeight="false" outlineLevel="0" collapsed="false">
      <c r="A34" s="2" t="s">
        <v>48</v>
      </c>
      <c r="B34" s="3" t="s">
        <v>10</v>
      </c>
      <c r="C34" s="3" t="s">
        <v>11</v>
      </c>
      <c r="D34" s="3" t="s">
        <v>12</v>
      </c>
      <c r="E34" s="3" t="s">
        <v>13</v>
      </c>
      <c r="F34" s="3" t="s">
        <v>14</v>
      </c>
      <c r="G34" s="3" t="n">
        <v>55</v>
      </c>
      <c r="H34" s="3" t="n">
        <v>19603</v>
      </c>
      <c r="I34" s="3" t="s">
        <v>15</v>
      </c>
      <c r="J34" s="7"/>
      <c r="K34" s="7"/>
      <c r="L34" s="7"/>
    </row>
    <row r="35" customFormat="false" ht="15" hidden="false" customHeight="false" outlineLevel="0" collapsed="false">
      <c r="A35" s="2" t="s">
        <v>49</v>
      </c>
      <c r="B35" s="3" t="s">
        <v>10</v>
      </c>
      <c r="C35" s="3" t="s">
        <v>11</v>
      </c>
      <c r="D35" s="3" t="s">
        <v>12</v>
      </c>
      <c r="E35" s="3" t="s">
        <v>13</v>
      </c>
      <c r="F35" s="3" t="s">
        <v>14</v>
      </c>
      <c r="G35" s="3" t="n">
        <v>151</v>
      </c>
      <c r="H35" s="3" t="n">
        <v>18300</v>
      </c>
      <c r="I35" s="3" t="s">
        <v>15</v>
      </c>
      <c r="J35" s="7"/>
      <c r="K35" s="7"/>
      <c r="L35" s="7"/>
    </row>
    <row r="36" customFormat="false" ht="15" hidden="false" customHeight="false" outlineLevel="0" collapsed="false">
      <c r="A36" s="2" t="s">
        <v>50</v>
      </c>
      <c r="B36" s="3" t="s">
        <v>10</v>
      </c>
      <c r="C36" s="3" t="s">
        <v>11</v>
      </c>
      <c r="D36" s="3" t="s">
        <v>12</v>
      </c>
      <c r="E36" s="3" t="s">
        <v>13</v>
      </c>
      <c r="F36" s="3" t="s">
        <v>14</v>
      </c>
      <c r="G36" s="3" t="n">
        <v>60</v>
      </c>
      <c r="H36" s="3" t="n">
        <v>18967</v>
      </c>
      <c r="I36" s="3" t="s">
        <v>15</v>
      </c>
      <c r="J36" s="7"/>
      <c r="K36" s="7"/>
      <c r="L36" s="7"/>
    </row>
    <row r="37" customFormat="false" ht="15" hidden="false" customHeight="false" outlineLevel="0" collapsed="false">
      <c r="A37" s="2" t="s">
        <v>51</v>
      </c>
      <c r="B37" s="3" t="s">
        <v>10</v>
      </c>
      <c r="C37" s="3" t="s">
        <v>11</v>
      </c>
      <c r="D37" s="3" t="s">
        <v>12</v>
      </c>
      <c r="E37" s="3" t="s">
        <v>13</v>
      </c>
      <c r="F37" s="3" t="s">
        <v>17</v>
      </c>
      <c r="G37" s="3" t="n">
        <v>25</v>
      </c>
      <c r="H37" s="3"/>
      <c r="I37" s="3" t="s">
        <v>15</v>
      </c>
      <c r="J37" s="7"/>
      <c r="K37" s="7"/>
      <c r="L37" s="7"/>
    </row>
    <row r="38" customFormat="false" ht="15" hidden="false" customHeight="false" outlineLevel="0" collapsed="false">
      <c r="A38" s="2" t="s">
        <v>52</v>
      </c>
      <c r="B38" s="3" t="s">
        <v>10</v>
      </c>
      <c r="C38" s="3" t="s">
        <v>11</v>
      </c>
      <c r="D38" s="3" t="s">
        <v>12</v>
      </c>
      <c r="E38" s="3" t="s">
        <v>13</v>
      </c>
      <c r="F38" s="3" t="s">
        <v>14</v>
      </c>
      <c r="G38" s="3" t="n">
        <v>104</v>
      </c>
      <c r="H38" s="3" t="n">
        <v>16928</v>
      </c>
      <c r="I38" s="3" t="s">
        <v>15</v>
      </c>
      <c r="J38" s="7"/>
      <c r="K38" s="7"/>
      <c r="L38" s="7"/>
    </row>
    <row r="39" customFormat="false" ht="15" hidden="false" customHeight="false" outlineLevel="0" collapsed="false">
      <c r="A39" s="2" t="s">
        <v>53</v>
      </c>
      <c r="B39" s="3" t="s">
        <v>10</v>
      </c>
      <c r="C39" s="3" t="s">
        <v>11</v>
      </c>
      <c r="D39" s="3" t="s">
        <v>12</v>
      </c>
      <c r="E39" s="3" t="s">
        <v>13</v>
      </c>
      <c r="F39" s="3" t="s">
        <v>17</v>
      </c>
      <c r="G39" s="3" t="n">
        <v>71</v>
      </c>
      <c r="H39" s="3"/>
      <c r="I39" s="3" t="s">
        <v>15</v>
      </c>
      <c r="J39" s="7"/>
      <c r="K39" s="7"/>
      <c r="L39" s="7"/>
    </row>
    <row r="40" customFormat="false" ht="15" hidden="false" customHeight="false" outlineLevel="0" collapsed="false">
      <c r="A40" s="2" t="s">
        <v>54</v>
      </c>
      <c r="B40" s="3" t="s">
        <v>10</v>
      </c>
      <c r="C40" s="3" t="s">
        <v>11</v>
      </c>
      <c r="D40" s="3" t="s">
        <v>12</v>
      </c>
      <c r="E40" s="3" t="s">
        <v>13</v>
      </c>
      <c r="F40" s="3" t="s">
        <v>17</v>
      </c>
      <c r="G40" s="3" t="n">
        <v>92</v>
      </c>
      <c r="H40" s="3"/>
      <c r="I40" s="3" t="s">
        <v>15</v>
      </c>
      <c r="J40" s="7"/>
      <c r="K40" s="7"/>
      <c r="L40" s="7"/>
    </row>
    <row r="41" customFormat="false" ht="15" hidden="false" customHeight="false" outlineLevel="0" collapsed="false">
      <c r="A41" s="2" t="s">
        <v>55</v>
      </c>
      <c r="B41" s="3" t="s">
        <v>10</v>
      </c>
      <c r="C41" s="3" t="s">
        <v>11</v>
      </c>
      <c r="D41" s="3" t="s">
        <v>12</v>
      </c>
      <c r="E41" s="3" t="s">
        <v>13</v>
      </c>
      <c r="F41" s="3" t="s">
        <v>14</v>
      </c>
      <c r="G41" s="3" t="n">
        <v>31</v>
      </c>
      <c r="H41" s="3" t="n">
        <v>17047</v>
      </c>
      <c r="I41" s="3" t="s">
        <v>15</v>
      </c>
      <c r="J41" s="7"/>
      <c r="K41" s="7"/>
      <c r="L41" s="7"/>
    </row>
    <row r="42" customFormat="false" ht="15" hidden="false" customHeight="false" outlineLevel="0" collapsed="false">
      <c r="A42" s="2" t="s">
        <v>56</v>
      </c>
      <c r="B42" s="3" t="s">
        <v>10</v>
      </c>
      <c r="C42" s="3" t="s">
        <v>11</v>
      </c>
      <c r="D42" s="3" t="s">
        <v>12</v>
      </c>
      <c r="E42" s="3" t="s">
        <v>13</v>
      </c>
      <c r="F42" s="3" t="s">
        <v>17</v>
      </c>
      <c r="G42" s="3" t="n">
        <v>27</v>
      </c>
      <c r="H42" s="3"/>
      <c r="I42" s="3" t="s">
        <v>15</v>
      </c>
      <c r="J42" s="7"/>
      <c r="K42" s="7"/>
      <c r="L42" s="7"/>
    </row>
    <row r="43" customFormat="false" ht="15" hidden="false" customHeight="false" outlineLevel="0" collapsed="false">
      <c r="A43" s="2" t="s">
        <v>57</v>
      </c>
      <c r="B43" s="3" t="s">
        <v>10</v>
      </c>
      <c r="C43" s="3" t="s">
        <v>11</v>
      </c>
      <c r="D43" s="3" t="s">
        <v>12</v>
      </c>
      <c r="E43" s="3" t="s">
        <v>13</v>
      </c>
      <c r="F43" s="3" t="s">
        <v>17</v>
      </c>
      <c r="G43" s="3" t="n">
        <v>83</v>
      </c>
      <c r="H43" s="3"/>
      <c r="I43" s="3" t="s">
        <v>15</v>
      </c>
      <c r="J43" s="7"/>
      <c r="K43" s="7"/>
      <c r="L43" s="7"/>
    </row>
    <row r="44" customFormat="false" ht="15" hidden="false" customHeight="false" outlineLevel="0" collapsed="false">
      <c r="A44" s="2" t="s">
        <v>58</v>
      </c>
      <c r="B44" s="3" t="s">
        <v>10</v>
      </c>
      <c r="C44" s="3" t="s">
        <v>11</v>
      </c>
      <c r="D44" s="3" t="s">
        <v>12</v>
      </c>
      <c r="E44" s="3" t="s">
        <v>13</v>
      </c>
      <c r="F44" s="3" t="s">
        <v>14</v>
      </c>
      <c r="G44" s="3" t="n">
        <v>86</v>
      </c>
      <c r="H44" s="3" t="n">
        <v>17474</v>
      </c>
      <c r="I44" s="3" t="s">
        <v>15</v>
      </c>
      <c r="J44" s="7"/>
      <c r="K44" s="7"/>
      <c r="L44" s="7"/>
    </row>
    <row r="45" customFormat="false" ht="15" hidden="false" customHeight="false" outlineLevel="0" collapsed="false">
      <c r="A45" s="2" t="s">
        <v>59</v>
      </c>
      <c r="B45" s="3" t="s">
        <v>10</v>
      </c>
      <c r="C45" s="3" t="s">
        <v>11</v>
      </c>
      <c r="D45" s="3" t="s">
        <v>12</v>
      </c>
      <c r="E45" s="3" t="s">
        <v>13</v>
      </c>
      <c r="F45" s="3" t="s">
        <v>17</v>
      </c>
      <c r="G45" s="3" t="n">
        <v>86</v>
      </c>
      <c r="H45" s="3"/>
      <c r="I45" s="3" t="s">
        <v>15</v>
      </c>
      <c r="J45" s="7"/>
      <c r="K45" s="7"/>
      <c r="L45" s="7"/>
    </row>
    <row r="46" customFormat="false" ht="15" hidden="false" customHeight="false" outlineLevel="0" collapsed="false">
      <c r="A46" s="2" t="s">
        <v>60</v>
      </c>
      <c r="B46" s="3" t="s">
        <v>10</v>
      </c>
      <c r="C46" s="3" t="s">
        <v>11</v>
      </c>
      <c r="D46" s="3" t="s">
        <v>12</v>
      </c>
      <c r="E46" s="3" t="s">
        <v>13</v>
      </c>
      <c r="F46" s="3" t="s">
        <v>17</v>
      </c>
      <c r="G46" s="3" t="n">
        <v>102</v>
      </c>
      <c r="H46" s="3"/>
      <c r="I46" s="3" t="s">
        <v>15</v>
      </c>
      <c r="J46" s="7"/>
      <c r="K46" s="7"/>
      <c r="L46" s="7"/>
    </row>
    <row r="47" customFormat="false" ht="15" hidden="false" customHeight="false" outlineLevel="0" collapsed="false">
      <c r="A47" s="2" t="s">
        <v>61</v>
      </c>
      <c r="B47" s="3" t="s">
        <v>62</v>
      </c>
      <c r="C47" s="3" t="s">
        <v>63</v>
      </c>
      <c r="D47" s="3" t="s">
        <v>12</v>
      </c>
      <c r="E47" s="3" t="s">
        <v>13</v>
      </c>
      <c r="F47" s="3" t="s">
        <v>14</v>
      </c>
      <c r="G47" s="3" t="n">
        <v>41</v>
      </c>
      <c r="H47" s="3" t="n">
        <v>24774</v>
      </c>
      <c r="I47" s="3" t="s">
        <v>15</v>
      </c>
      <c r="J47" s="7"/>
      <c r="K47" s="7"/>
      <c r="L47" s="7"/>
    </row>
    <row r="48" customFormat="false" ht="15" hidden="false" customHeight="false" outlineLevel="0" collapsed="false">
      <c r="A48" s="2" t="s">
        <v>64</v>
      </c>
      <c r="B48" s="3" t="s">
        <v>62</v>
      </c>
      <c r="C48" s="3" t="s">
        <v>63</v>
      </c>
      <c r="D48" s="3" t="s">
        <v>12</v>
      </c>
      <c r="E48" s="3" t="s">
        <v>13</v>
      </c>
      <c r="F48" s="3" t="s">
        <v>17</v>
      </c>
      <c r="G48" s="3" t="n">
        <v>40</v>
      </c>
      <c r="H48" s="3"/>
      <c r="I48" s="3" t="s">
        <v>15</v>
      </c>
      <c r="J48" s="7"/>
      <c r="K48" s="7"/>
      <c r="L48" s="7"/>
    </row>
    <row r="49" customFormat="false" ht="15" hidden="false" customHeight="false" outlineLevel="0" collapsed="false">
      <c r="A49" s="2" t="s">
        <v>19</v>
      </c>
      <c r="B49" s="3" t="s">
        <v>62</v>
      </c>
      <c r="C49" s="3" t="s">
        <v>63</v>
      </c>
      <c r="D49" s="3" t="s">
        <v>12</v>
      </c>
      <c r="E49" s="3" t="s">
        <v>13</v>
      </c>
      <c r="F49" s="3" t="s">
        <v>14</v>
      </c>
      <c r="G49" s="3" t="n">
        <v>63</v>
      </c>
      <c r="H49" s="3" t="n">
        <v>24797</v>
      </c>
      <c r="I49" s="3" t="s">
        <v>15</v>
      </c>
      <c r="J49" s="7"/>
      <c r="K49" s="7"/>
      <c r="L49" s="7"/>
    </row>
    <row r="50" customFormat="false" ht="15" hidden="false" customHeight="false" outlineLevel="0" collapsed="false">
      <c r="A50" s="2" t="s">
        <v>65</v>
      </c>
      <c r="B50" s="3" t="s">
        <v>62</v>
      </c>
      <c r="C50" s="3" t="s">
        <v>63</v>
      </c>
      <c r="D50" s="3" t="s">
        <v>12</v>
      </c>
      <c r="E50" s="3" t="s">
        <v>13</v>
      </c>
      <c r="F50" s="3" t="s">
        <v>17</v>
      </c>
      <c r="G50" s="3" t="n">
        <v>60</v>
      </c>
      <c r="H50" s="3"/>
      <c r="I50" s="3" t="s">
        <v>15</v>
      </c>
      <c r="J50" s="7"/>
      <c r="K50" s="7"/>
      <c r="L50" s="7"/>
    </row>
    <row r="51" customFormat="false" ht="15" hidden="false" customHeight="false" outlineLevel="0" collapsed="false">
      <c r="A51" s="2" t="s">
        <v>66</v>
      </c>
      <c r="B51" s="3" t="s">
        <v>62</v>
      </c>
      <c r="C51" s="3" t="s">
        <v>63</v>
      </c>
      <c r="D51" s="3" t="s">
        <v>12</v>
      </c>
      <c r="E51" s="3" t="s">
        <v>13</v>
      </c>
      <c r="F51" s="3" t="s">
        <v>14</v>
      </c>
      <c r="G51" s="3" t="n">
        <v>66</v>
      </c>
      <c r="H51" s="3" t="n">
        <v>27184</v>
      </c>
      <c r="I51" s="3" t="s">
        <v>15</v>
      </c>
      <c r="J51" s="7"/>
      <c r="K51" s="7"/>
      <c r="L51" s="7"/>
    </row>
    <row r="52" customFormat="false" ht="15" hidden="false" customHeight="false" outlineLevel="0" collapsed="false">
      <c r="A52" s="2" t="s">
        <v>67</v>
      </c>
      <c r="B52" s="3" t="s">
        <v>62</v>
      </c>
      <c r="C52" s="3" t="s">
        <v>63</v>
      </c>
      <c r="D52" s="3" t="s">
        <v>12</v>
      </c>
      <c r="E52" s="3" t="s">
        <v>13</v>
      </c>
      <c r="F52" s="3" t="s">
        <v>14</v>
      </c>
      <c r="G52" s="3" t="n">
        <v>195</v>
      </c>
      <c r="H52" s="3" t="n">
        <v>25807</v>
      </c>
      <c r="I52" s="3" t="s">
        <v>15</v>
      </c>
      <c r="J52" s="7"/>
      <c r="K52" s="7"/>
      <c r="L52" s="7"/>
    </row>
    <row r="53" customFormat="false" ht="15" hidden="false" customHeight="false" outlineLevel="0" collapsed="false">
      <c r="A53" s="2" t="s">
        <v>68</v>
      </c>
      <c r="B53" s="3" t="s">
        <v>62</v>
      </c>
      <c r="C53" s="3" t="s">
        <v>63</v>
      </c>
      <c r="D53" s="3" t="s">
        <v>12</v>
      </c>
      <c r="E53" s="3" t="s">
        <v>13</v>
      </c>
      <c r="F53" s="3" t="s">
        <v>17</v>
      </c>
      <c r="G53" s="3" t="n">
        <v>18</v>
      </c>
      <c r="H53" s="3"/>
      <c r="I53" s="3" t="s">
        <v>15</v>
      </c>
      <c r="J53" s="7"/>
      <c r="K53" s="7"/>
      <c r="L53" s="7"/>
    </row>
    <row r="54" customFormat="false" ht="15" hidden="false" customHeight="false" outlineLevel="0" collapsed="false">
      <c r="A54" s="2" t="s">
        <v>69</v>
      </c>
      <c r="B54" s="3" t="s">
        <v>62</v>
      </c>
      <c r="C54" s="3" t="s">
        <v>63</v>
      </c>
      <c r="D54" s="3" t="s">
        <v>12</v>
      </c>
      <c r="E54" s="3" t="s">
        <v>13</v>
      </c>
      <c r="F54" s="3" t="s">
        <v>14</v>
      </c>
      <c r="G54" s="3" t="n">
        <v>53</v>
      </c>
      <c r="H54" s="3" t="n">
        <v>23889</v>
      </c>
      <c r="I54" s="3" t="s">
        <v>15</v>
      </c>
      <c r="J54" s="7"/>
      <c r="K54" s="7"/>
      <c r="L54" s="7"/>
    </row>
    <row r="55" customFormat="false" ht="15" hidden="false" customHeight="false" outlineLevel="0" collapsed="false">
      <c r="A55" s="2" t="s">
        <v>70</v>
      </c>
      <c r="B55" s="3" t="s">
        <v>62</v>
      </c>
      <c r="C55" s="3" t="s">
        <v>63</v>
      </c>
      <c r="D55" s="3" t="s">
        <v>12</v>
      </c>
      <c r="E55" s="3" t="s">
        <v>13</v>
      </c>
      <c r="F55" s="3" t="s">
        <v>14</v>
      </c>
      <c r="G55" s="3" t="n">
        <v>149</v>
      </c>
      <c r="H55" s="3" t="n">
        <v>26438</v>
      </c>
      <c r="I55" s="3" t="s">
        <v>15</v>
      </c>
      <c r="J55" s="7"/>
      <c r="K55" s="7"/>
      <c r="L55" s="7"/>
    </row>
    <row r="56" customFormat="false" ht="15" hidden="false" customHeight="false" outlineLevel="0" collapsed="false">
      <c r="A56" s="2" t="s">
        <v>71</v>
      </c>
      <c r="B56" s="3" t="s">
        <v>62</v>
      </c>
      <c r="C56" s="3" t="s">
        <v>63</v>
      </c>
      <c r="D56" s="3" t="s">
        <v>12</v>
      </c>
      <c r="E56" s="3" t="s">
        <v>13</v>
      </c>
      <c r="F56" s="3" t="s">
        <v>17</v>
      </c>
      <c r="G56" s="3" t="n">
        <v>32</v>
      </c>
      <c r="H56" s="3"/>
      <c r="I56" s="3" t="s">
        <v>15</v>
      </c>
      <c r="J56" s="7"/>
      <c r="K56" s="7"/>
      <c r="L56" s="7"/>
    </row>
    <row r="57" customFormat="false" ht="15" hidden="false" customHeight="false" outlineLevel="0" collapsed="false">
      <c r="A57" s="2" t="s">
        <v>25</v>
      </c>
      <c r="B57" s="3" t="s">
        <v>62</v>
      </c>
      <c r="C57" s="3" t="s">
        <v>63</v>
      </c>
      <c r="D57" s="3" t="s">
        <v>12</v>
      </c>
      <c r="E57" s="3" t="s">
        <v>13</v>
      </c>
      <c r="F57" s="3" t="s">
        <v>17</v>
      </c>
      <c r="G57" s="3" t="n">
        <v>86</v>
      </c>
      <c r="H57" s="3"/>
      <c r="I57" s="3" t="s">
        <v>15</v>
      </c>
      <c r="J57" s="7"/>
      <c r="K57" s="7"/>
      <c r="L57" s="7"/>
    </row>
    <row r="58" customFormat="false" ht="15" hidden="false" customHeight="false" outlineLevel="0" collapsed="false">
      <c r="A58" s="2" t="s">
        <v>72</v>
      </c>
      <c r="B58" s="3" t="s">
        <v>62</v>
      </c>
      <c r="C58" s="3" t="s">
        <v>63</v>
      </c>
      <c r="D58" s="3" t="s">
        <v>12</v>
      </c>
      <c r="E58" s="3" t="s">
        <v>13</v>
      </c>
      <c r="F58" s="3" t="s">
        <v>17</v>
      </c>
      <c r="G58" s="3" t="n">
        <v>78</v>
      </c>
      <c r="H58" s="3"/>
      <c r="I58" s="3" t="s">
        <v>15</v>
      </c>
      <c r="J58" s="7"/>
      <c r="K58" s="7"/>
      <c r="L58" s="7"/>
    </row>
    <row r="59" customFormat="false" ht="15" hidden="false" customHeight="false" outlineLevel="0" collapsed="false">
      <c r="A59" s="2" t="s">
        <v>73</v>
      </c>
      <c r="B59" s="3" t="s">
        <v>62</v>
      </c>
      <c r="C59" s="3" t="s">
        <v>63</v>
      </c>
      <c r="D59" s="3" t="s">
        <v>12</v>
      </c>
      <c r="E59" s="3" t="s">
        <v>13</v>
      </c>
      <c r="F59" s="3" t="s">
        <v>17</v>
      </c>
      <c r="G59" s="3" t="n">
        <v>21</v>
      </c>
      <c r="H59" s="3"/>
      <c r="I59" s="3" t="s">
        <v>15</v>
      </c>
      <c r="J59" s="7"/>
      <c r="K59" s="7"/>
      <c r="L59" s="7"/>
    </row>
    <row r="60" customFormat="false" ht="15" hidden="false" customHeight="false" outlineLevel="0" collapsed="false">
      <c r="A60" s="2" t="s">
        <v>74</v>
      </c>
      <c r="B60" s="3" t="s">
        <v>62</v>
      </c>
      <c r="C60" s="3" t="s">
        <v>63</v>
      </c>
      <c r="D60" s="3" t="s">
        <v>12</v>
      </c>
      <c r="E60" s="3" t="s">
        <v>13</v>
      </c>
      <c r="F60" s="3" t="s">
        <v>17</v>
      </c>
      <c r="G60" s="3" t="n">
        <v>87</v>
      </c>
      <c r="H60" s="3"/>
      <c r="I60" s="3" t="s">
        <v>15</v>
      </c>
      <c r="J60" s="7"/>
      <c r="K60" s="7"/>
      <c r="L60" s="7"/>
    </row>
    <row r="61" customFormat="false" ht="15" hidden="false" customHeight="false" outlineLevel="0" collapsed="false">
      <c r="A61" s="2" t="s">
        <v>75</v>
      </c>
      <c r="B61" s="3" t="s">
        <v>62</v>
      </c>
      <c r="C61" s="3" t="s">
        <v>63</v>
      </c>
      <c r="D61" s="3" t="s">
        <v>12</v>
      </c>
      <c r="E61" s="3" t="s">
        <v>13</v>
      </c>
      <c r="F61" s="3" t="s">
        <v>17</v>
      </c>
      <c r="G61" s="3" t="n">
        <v>109</v>
      </c>
      <c r="H61" s="3"/>
      <c r="I61" s="3" t="s">
        <v>15</v>
      </c>
      <c r="J61" s="7"/>
      <c r="K61" s="7"/>
      <c r="L61" s="7"/>
    </row>
    <row r="62" customFormat="false" ht="15" hidden="false" customHeight="false" outlineLevel="0" collapsed="false">
      <c r="A62" s="2" t="s">
        <v>30</v>
      </c>
      <c r="B62" s="3" t="s">
        <v>62</v>
      </c>
      <c r="C62" s="3" t="s">
        <v>63</v>
      </c>
      <c r="D62" s="3" t="s">
        <v>12</v>
      </c>
      <c r="E62" s="3" t="s">
        <v>13</v>
      </c>
      <c r="F62" s="3" t="s">
        <v>17</v>
      </c>
      <c r="G62" s="3" t="n">
        <v>26</v>
      </c>
      <c r="H62" s="3"/>
      <c r="I62" s="3" t="s">
        <v>15</v>
      </c>
      <c r="J62" s="7"/>
      <c r="K62" s="7"/>
      <c r="L62" s="7"/>
    </row>
    <row r="63" customFormat="false" ht="15" hidden="false" customHeight="false" outlineLevel="0" collapsed="false">
      <c r="A63" s="2" t="s">
        <v>76</v>
      </c>
      <c r="B63" s="3" t="s">
        <v>62</v>
      </c>
      <c r="C63" s="3" t="s">
        <v>63</v>
      </c>
      <c r="D63" s="3" t="s">
        <v>12</v>
      </c>
      <c r="E63" s="3" t="s">
        <v>13</v>
      </c>
      <c r="F63" s="3" t="s">
        <v>14</v>
      </c>
      <c r="G63" s="3" t="n">
        <v>114</v>
      </c>
      <c r="H63" s="3" t="n">
        <v>23355</v>
      </c>
      <c r="I63" s="3" t="s">
        <v>15</v>
      </c>
      <c r="J63" s="7"/>
      <c r="K63" s="7"/>
      <c r="L63" s="7"/>
    </row>
    <row r="64" customFormat="false" ht="15" hidden="false" customHeight="false" outlineLevel="0" collapsed="false">
      <c r="A64" s="2" t="s">
        <v>32</v>
      </c>
      <c r="B64" s="3" t="s">
        <v>62</v>
      </c>
      <c r="C64" s="3" t="s">
        <v>63</v>
      </c>
      <c r="D64" s="3" t="s">
        <v>12</v>
      </c>
      <c r="E64" s="3" t="s">
        <v>13</v>
      </c>
      <c r="F64" s="3" t="s">
        <v>17</v>
      </c>
      <c r="G64" s="3" t="n">
        <v>39</v>
      </c>
      <c r="H64" s="3"/>
      <c r="I64" s="3" t="s">
        <v>15</v>
      </c>
      <c r="J64" s="7"/>
      <c r="K64" s="7"/>
      <c r="L64" s="7"/>
    </row>
    <row r="65" customFormat="false" ht="15" hidden="false" customHeight="false" outlineLevel="0" collapsed="false">
      <c r="A65" s="2" t="s">
        <v>77</v>
      </c>
      <c r="B65" s="3" t="s">
        <v>62</v>
      </c>
      <c r="C65" s="3" t="s">
        <v>63</v>
      </c>
      <c r="D65" s="3" t="s">
        <v>12</v>
      </c>
      <c r="E65" s="3" t="s">
        <v>13</v>
      </c>
      <c r="F65" s="3" t="s">
        <v>17</v>
      </c>
      <c r="G65" s="3" t="n">
        <v>58</v>
      </c>
      <c r="H65" s="3"/>
      <c r="I65" s="3" t="s">
        <v>15</v>
      </c>
      <c r="J65" s="7"/>
      <c r="K65" s="7"/>
      <c r="L65" s="7"/>
    </row>
    <row r="66" customFormat="false" ht="15" hidden="false" customHeight="false" outlineLevel="0" collapsed="false">
      <c r="A66" s="2" t="s">
        <v>34</v>
      </c>
      <c r="B66" s="3" t="s">
        <v>62</v>
      </c>
      <c r="C66" s="3" t="s">
        <v>63</v>
      </c>
      <c r="D66" s="3" t="s">
        <v>12</v>
      </c>
      <c r="E66" s="3" t="s">
        <v>13</v>
      </c>
      <c r="F66" s="3" t="s">
        <v>14</v>
      </c>
      <c r="G66" s="3" t="n">
        <v>170</v>
      </c>
      <c r="H66" s="3" t="n">
        <v>27719</v>
      </c>
      <c r="I66" s="3" t="s">
        <v>15</v>
      </c>
      <c r="J66" s="7"/>
      <c r="K66" s="7"/>
      <c r="L66" s="7"/>
    </row>
    <row r="67" customFormat="false" ht="15" hidden="false" customHeight="false" outlineLevel="0" collapsed="false">
      <c r="A67" s="2" t="s">
        <v>78</v>
      </c>
      <c r="B67" s="3" t="s">
        <v>62</v>
      </c>
      <c r="C67" s="3" t="s">
        <v>63</v>
      </c>
      <c r="D67" s="3" t="s">
        <v>12</v>
      </c>
      <c r="E67" s="3" t="s">
        <v>13</v>
      </c>
      <c r="F67" s="3" t="s">
        <v>14</v>
      </c>
      <c r="G67" s="3" t="n">
        <v>85</v>
      </c>
      <c r="H67" s="3" t="n">
        <v>26908</v>
      </c>
      <c r="I67" s="3" t="s">
        <v>15</v>
      </c>
      <c r="J67" s="7"/>
      <c r="K67" s="7"/>
      <c r="L67" s="7"/>
    </row>
    <row r="68" customFormat="false" ht="15" hidden="false" customHeight="false" outlineLevel="0" collapsed="false">
      <c r="A68" s="2" t="s">
        <v>35</v>
      </c>
      <c r="B68" s="3" t="s">
        <v>62</v>
      </c>
      <c r="C68" s="3" t="s">
        <v>63</v>
      </c>
      <c r="D68" s="3" t="s">
        <v>12</v>
      </c>
      <c r="E68" s="3" t="s">
        <v>13</v>
      </c>
      <c r="F68" s="3" t="s">
        <v>17</v>
      </c>
      <c r="G68" s="3" t="n">
        <v>20</v>
      </c>
      <c r="H68" s="3"/>
      <c r="I68" s="3" t="s">
        <v>15</v>
      </c>
      <c r="J68" s="7"/>
      <c r="K68" s="7"/>
      <c r="L68" s="7"/>
    </row>
    <row r="69" customFormat="false" ht="15" hidden="false" customHeight="false" outlineLevel="0" collapsed="false">
      <c r="A69" s="2" t="s">
        <v>79</v>
      </c>
      <c r="B69" s="3" t="s">
        <v>62</v>
      </c>
      <c r="C69" s="3" t="s">
        <v>63</v>
      </c>
      <c r="D69" s="3" t="s">
        <v>12</v>
      </c>
      <c r="E69" s="3" t="s">
        <v>13</v>
      </c>
      <c r="F69" s="3" t="s">
        <v>17</v>
      </c>
      <c r="G69" s="3" t="n">
        <v>79</v>
      </c>
      <c r="H69" s="3"/>
      <c r="I69" s="3" t="s">
        <v>15</v>
      </c>
      <c r="J69" s="7"/>
      <c r="K69" s="7"/>
      <c r="L69" s="7"/>
    </row>
    <row r="70" customFormat="false" ht="15" hidden="false" customHeight="false" outlineLevel="0" collapsed="false">
      <c r="A70" s="2" t="s">
        <v>37</v>
      </c>
      <c r="B70" s="3" t="s">
        <v>62</v>
      </c>
      <c r="C70" s="3" t="s">
        <v>63</v>
      </c>
      <c r="D70" s="3" t="s">
        <v>12</v>
      </c>
      <c r="E70" s="3" t="s">
        <v>13</v>
      </c>
      <c r="F70" s="3" t="s">
        <v>14</v>
      </c>
      <c r="G70" s="3" t="n">
        <v>21</v>
      </c>
      <c r="H70" s="3" t="n">
        <v>23058</v>
      </c>
      <c r="I70" s="3" t="s">
        <v>15</v>
      </c>
      <c r="J70" s="7"/>
      <c r="K70" s="7"/>
      <c r="L70" s="7"/>
    </row>
    <row r="71" customFormat="false" ht="15" hidden="false" customHeight="false" outlineLevel="0" collapsed="false">
      <c r="A71" s="2" t="s">
        <v>39</v>
      </c>
      <c r="B71" s="3" t="s">
        <v>62</v>
      </c>
      <c r="C71" s="3" t="s">
        <v>63</v>
      </c>
      <c r="D71" s="3" t="s">
        <v>12</v>
      </c>
      <c r="E71" s="3" t="s">
        <v>13</v>
      </c>
      <c r="F71" s="3" t="s">
        <v>17</v>
      </c>
      <c r="G71" s="3" t="n">
        <v>76</v>
      </c>
      <c r="H71" s="3"/>
      <c r="I71" s="3" t="s">
        <v>15</v>
      </c>
      <c r="J71" s="7"/>
      <c r="K71" s="7"/>
      <c r="L71" s="7"/>
    </row>
    <row r="72" customFormat="false" ht="15" hidden="false" customHeight="false" outlineLevel="0" collapsed="false">
      <c r="A72" s="2" t="s">
        <v>40</v>
      </c>
      <c r="B72" s="3" t="s">
        <v>62</v>
      </c>
      <c r="C72" s="3" t="s">
        <v>63</v>
      </c>
      <c r="D72" s="3" t="s">
        <v>12</v>
      </c>
      <c r="E72" s="3" t="s">
        <v>13</v>
      </c>
      <c r="F72" s="3" t="s">
        <v>14</v>
      </c>
      <c r="G72" s="3" t="n">
        <v>72</v>
      </c>
      <c r="H72" s="3" t="n">
        <v>25587</v>
      </c>
      <c r="I72" s="3" t="s">
        <v>15</v>
      </c>
      <c r="J72" s="7"/>
      <c r="K72" s="7"/>
      <c r="L72" s="7"/>
    </row>
    <row r="73" customFormat="false" ht="15" hidden="false" customHeight="false" outlineLevel="0" collapsed="false">
      <c r="A73" s="2" t="s">
        <v>80</v>
      </c>
      <c r="B73" s="3" t="s">
        <v>62</v>
      </c>
      <c r="C73" s="3" t="s">
        <v>63</v>
      </c>
      <c r="D73" s="3" t="s">
        <v>12</v>
      </c>
      <c r="E73" s="3" t="s">
        <v>13</v>
      </c>
      <c r="F73" s="3" t="s">
        <v>14</v>
      </c>
      <c r="G73" s="3" t="n">
        <v>59</v>
      </c>
      <c r="H73" s="3" t="n">
        <v>26490</v>
      </c>
      <c r="I73" s="3" t="s">
        <v>15</v>
      </c>
      <c r="J73" s="7"/>
      <c r="K73" s="7"/>
      <c r="L73" s="7"/>
    </row>
    <row r="74" customFormat="false" ht="15" hidden="false" customHeight="false" outlineLevel="0" collapsed="false">
      <c r="A74" s="2" t="s">
        <v>81</v>
      </c>
      <c r="B74" s="3" t="s">
        <v>62</v>
      </c>
      <c r="C74" s="3" t="s">
        <v>63</v>
      </c>
      <c r="D74" s="3" t="s">
        <v>12</v>
      </c>
      <c r="E74" s="3" t="s">
        <v>13</v>
      </c>
      <c r="F74" s="3" t="s">
        <v>17</v>
      </c>
      <c r="G74" s="3" t="n">
        <v>43</v>
      </c>
      <c r="H74" s="3"/>
      <c r="I74" s="3" t="s">
        <v>15</v>
      </c>
      <c r="J74" s="7"/>
      <c r="K74" s="7"/>
      <c r="L74" s="7"/>
    </row>
    <row r="75" customFormat="false" ht="15" hidden="false" customHeight="false" outlineLevel="0" collapsed="false">
      <c r="A75" s="2" t="s">
        <v>82</v>
      </c>
      <c r="B75" s="3" t="s">
        <v>62</v>
      </c>
      <c r="C75" s="3" t="s">
        <v>63</v>
      </c>
      <c r="D75" s="3" t="s">
        <v>12</v>
      </c>
      <c r="E75" s="3" t="s">
        <v>13</v>
      </c>
      <c r="F75" s="3" t="s">
        <v>14</v>
      </c>
      <c r="G75" s="3" t="n">
        <v>113</v>
      </c>
      <c r="H75" s="3" t="n">
        <v>25257</v>
      </c>
      <c r="I75" s="3" t="s">
        <v>15</v>
      </c>
      <c r="J75" s="7"/>
      <c r="K75" s="7"/>
      <c r="L75" s="7"/>
    </row>
    <row r="76" customFormat="false" ht="15" hidden="false" customHeight="false" outlineLevel="0" collapsed="false">
      <c r="A76" s="2" t="s">
        <v>83</v>
      </c>
      <c r="B76" s="3" t="s">
        <v>62</v>
      </c>
      <c r="C76" s="3" t="s">
        <v>63</v>
      </c>
      <c r="D76" s="3" t="s">
        <v>12</v>
      </c>
      <c r="E76" s="3" t="s">
        <v>13</v>
      </c>
      <c r="F76" s="3" t="s">
        <v>14</v>
      </c>
      <c r="G76" s="3" t="n">
        <v>72</v>
      </c>
      <c r="H76" s="3" t="n">
        <v>26385</v>
      </c>
      <c r="I76" s="3" t="s">
        <v>15</v>
      </c>
      <c r="J76" s="7"/>
      <c r="K76" s="7"/>
      <c r="L76" s="7"/>
    </row>
    <row r="77" customFormat="false" ht="15" hidden="false" customHeight="false" outlineLevel="0" collapsed="false">
      <c r="A77" s="2" t="s">
        <v>84</v>
      </c>
      <c r="B77" s="3" t="s">
        <v>62</v>
      </c>
      <c r="C77" s="3" t="s">
        <v>63</v>
      </c>
      <c r="D77" s="3" t="s">
        <v>12</v>
      </c>
      <c r="E77" s="3" t="s">
        <v>13</v>
      </c>
      <c r="F77" s="3" t="s">
        <v>17</v>
      </c>
      <c r="G77" s="3" t="n">
        <v>71</v>
      </c>
      <c r="H77" s="3"/>
      <c r="I77" s="3" t="s">
        <v>15</v>
      </c>
      <c r="J77" s="7"/>
      <c r="K77" s="7"/>
      <c r="L77" s="7"/>
    </row>
    <row r="78" customFormat="false" ht="15" hidden="false" customHeight="false" outlineLevel="0" collapsed="false">
      <c r="A78" s="2" t="s">
        <v>85</v>
      </c>
      <c r="B78" s="3" t="s">
        <v>62</v>
      </c>
      <c r="C78" s="3" t="s">
        <v>63</v>
      </c>
      <c r="D78" s="3" t="s">
        <v>12</v>
      </c>
      <c r="E78" s="3" t="s">
        <v>13</v>
      </c>
      <c r="F78" s="3" t="s">
        <v>14</v>
      </c>
      <c r="G78" s="3" t="n">
        <v>162</v>
      </c>
      <c r="H78" s="3" t="n">
        <v>26962</v>
      </c>
      <c r="I78" s="3" t="s">
        <v>15</v>
      </c>
      <c r="J78" s="7"/>
      <c r="K78" s="7"/>
      <c r="L78" s="7"/>
    </row>
    <row r="79" customFormat="false" ht="15" hidden="false" customHeight="false" outlineLevel="0" collapsed="false">
      <c r="A79" s="2" t="s">
        <v>86</v>
      </c>
      <c r="B79" s="3" t="s">
        <v>62</v>
      </c>
      <c r="C79" s="3" t="s">
        <v>63</v>
      </c>
      <c r="D79" s="3" t="s">
        <v>12</v>
      </c>
      <c r="E79" s="3" t="s">
        <v>13</v>
      </c>
      <c r="F79" s="3" t="s">
        <v>17</v>
      </c>
      <c r="G79" s="3" t="n">
        <v>83</v>
      </c>
      <c r="H79" s="3"/>
      <c r="I79" s="3" t="s">
        <v>15</v>
      </c>
      <c r="J79" s="7"/>
      <c r="K79" s="7"/>
      <c r="L79" s="7"/>
    </row>
    <row r="80" customFormat="false" ht="15" hidden="false" customHeight="false" outlineLevel="0" collapsed="false">
      <c r="A80" s="2" t="s">
        <v>50</v>
      </c>
      <c r="B80" s="3" t="s">
        <v>62</v>
      </c>
      <c r="C80" s="3" t="s">
        <v>63</v>
      </c>
      <c r="D80" s="3" t="s">
        <v>12</v>
      </c>
      <c r="E80" s="3" t="s">
        <v>13</v>
      </c>
      <c r="F80" s="3" t="s">
        <v>17</v>
      </c>
      <c r="G80" s="3" t="n">
        <v>60</v>
      </c>
      <c r="H80" s="3"/>
      <c r="I80" s="3" t="s">
        <v>15</v>
      </c>
      <c r="J80" s="7"/>
      <c r="K80" s="7"/>
      <c r="L80" s="7"/>
    </row>
    <row r="81" customFormat="false" ht="15" hidden="false" customHeight="false" outlineLevel="0" collapsed="false">
      <c r="A81" s="2" t="s">
        <v>87</v>
      </c>
      <c r="B81" s="3" t="s">
        <v>62</v>
      </c>
      <c r="C81" s="3" t="s">
        <v>63</v>
      </c>
      <c r="D81" s="3" t="s">
        <v>12</v>
      </c>
      <c r="E81" s="3" t="s">
        <v>13</v>
      </c>
      <c r="F81" s="3" t="s">
        <v>14</v>
      </c>
      <c r="G81" s="3" t="n">
        <v>188</v>
      </c>
      <c r="H81" s="3" t="n">
        <v>23975</v>
      </c>
      <c r="I81" s="3" t="s">
        <v>15</v>
      </c>
      <c r="J81" s="7"/>
      <c r="K81" s="7"/>
      <c r="L81" s="7"/>
    </row>
    <row r="82" customFormat="false" ht="15" hidden="false" customHeight="false" outlineLevel="0" collapsed="false">
      <c r="A82" s="2" t="s">
        <v>88</v>
      </c>
      <c r="B82" s="3" t="s">
        <v>62</v>
      </c>
      <c r="C82" s="3" t="s">
        <v>63</v>
      </c>
      <c r="D82" s="3" t="s">
        <v>12</v>
      </c>
      <c r="E82" s="3" t="s">
        <v>13</v>
      </c>
      <c r="F82" s="3" t="s">
        <v>14</v>
      </c>
      <c r="G82" s="3" t="n">
        <v>199</v>
      </c>
      <c r="H82" s="3" t="n">
        <v>24325</v>
      </c>
      <c r="I82" s="3" t="s">
        <v>15</v>
      </c>
      <c r="J82" s="7"/>
      <c r="K82" s="7"/>
      <c r="L82" s="7"/>
    </row>
    <row r="83" customFormat="false" ht="15" hidden="false" customHeight="false" outlineLevel="0" collapsed="false">
      <c r="A83" s="2" t="s">
        <v>89</v>
      </c>
      <c r="B83" s="3" t="s">
        <v>62</v>
      </c>
      <c r="C83" s="3" t="s">
        <v>63</v>
      </c>
      <c r="D83" s="3" t="s">
        <v>12</v>
      </c>
      <c r="E83" s="3" t="s">
        <v>13</v>
      </c>
      <c r="F83" s="3" t="s">
        <v>14</v>
      </c>
      <c r="G83" s="3" t="n">
        <v>122</v>
      </c>
      <c r="H83" s="3" t="n">
        <v>25772</v>
      </c>
      <c r="I83" s="3" t="s">
        <v>15</v>
      </c>
      <c r="J83" s="7"/>
      <c r="K83" s="7"/>
      <c r="L83" s="7"/>
    </row>
    <row r="84" customFormat="false" ht="15" hidden="false" customHeight="false" outlineLevel="0" collapsed="false">
      <c r="A84" s="2" t="s">
        <v>90</v>
      </c>
      <c r="B84" s="3" t="s">
        <v>62</v>
      </c>
      <c r="C84" s="3" t="s">
        <v>63</v>
      </c>
      <c r="D84" s="3" t="s">
        <v>12</v>
      </c>
      <c r="E84" s="3" t="s">
        <v>13</v>
      </c>
      <c r="F84" s="3" t="s">
        <v>17</v>
      </c>
      <c r="G84" s="3" t="n">
        <v>97</v>
      </c>
      <c r="H84" s="3"/>
      <c r="I84" s="3" t="s">
        <v>15</v>
      </c>
      <c r="J84" s="7"/>
      <c r="K84" s="7"/>
      <c r="L84" s="7"/>
    </row>
    <row r="85" customFormat="false" ht="15" hidden="false" customHeight="false" outlineLevel="0" collapsed="false">
      <c r="A85" s="2" t="s">
        <v>91</v>
      </c>
      <c r="B85" s="3" t="s">
        <v>62</v>
      </c>
      <c r="C85" s="3" t="s">
        <v>63</v>
      </c>
      <c r="D85" s="3" t="s">
        <v>12</v>
      </c>
      <c r="E85" s="3" t="s">
        <v>13</v>
      </c>
      <c r="F85" s="3" t="s">
        <v>14</v>
      </c>
      <c r="G85" s="3" t="n">
        <v>119</v>
      </c>
      <c r="H85" s="3" t="n">
        <v>23043</v>
      </c>
      <c r="I85" s="3" t="s">
        <v>15</v>
      </c>
      <c r="J85" s="7"/>
      <c r="K85" s="7"/>
      <c r="L85" s="7"/>
    </row>
    <row r="86" customFormat="false" ht="15" hidden="false" customHeight="false" outlineLevel="0" collapsed="false">
      <c r="A86" s="2" t="s">
        <v>92</v>
      </c>
      <c r="B86" s="3" t="s">
        <v>62</v>
      </c>
      <c r="C86" s="3" t="s">
        <v>63</v>
      </c>
      <c r="D86" s="3" t="s">
        <v>12</v>
      </c>
      <c r="E86" s="3" t="s">
        <v>13</v>
      </c>
      <c r="F86" s="3" t="s">
        <v>17</v>
      </c>
      <c r="G86" s="3" t="n">
        <v>70</v>
      </c>
      <c r="H86" s="3"/>
      <c r="I86" s="3" t="s">
        <v>15</v>
      </c>
      <c r="J86" s="7"/>
      <c r="K86" s="7"/>
      <c r="L86" s="7"/>
    </row>
    <row r="87" customFormat="false" ht="15" hidden="false" customHeight="false" outlineLevel="0" collapsed="false">
      <c r="A87" s="2" t="s">
        <v>93</v>
      </c>
      <c r="B87" s="3" t="s">
        <v>62</v>
      </c>
      <c r="C87" s="3" t="s">
        <v>63</v>
      </c>
      <c r="D87" s="3" t="s">
        <v>12</v>
      </c>
      <c r="E87" s="3" t="s">
        <v>13</v>
      </c>
      <c r="F87" s="3" t="s">
        <v>14</v>
      </c>
      <c r="G87" s="3" t="n">
        <v>36</v>
      </c>
      <c r="H87" s="3" t="n">
        <v>25155</v>
      </c>
      <c r="I87" s="3" t="s">
        <v>15</v>
      </c>
      <c r="J87" s="7"/>
      <c r="K87" s="7"/>
      <c r="L87" s="7"/>
    </row>
    <row r="88" customFormat="false" ht="15" hidden="false" customHeight="false" outlineLevel="0" collapsed="false">
      <c r="A88" s="2" t="s">
        <v>57</v>
      </c>
      <c r="B88" s="3" t="s">
        <v>62</v>
      </c>
      <c r="C88" s="3" t="s">
        <v>63</v>
      </c>
      <c r="D88" s="3" t="s">
        <v>12</v>
      </c>
      <c r="E88" s="3" t="s">
        <v>13</v>
      </c>
      <c r="F88" s="3" t="s">
        <v>14</v>
      </c>
      <c r="G88" s="3" t="n">
        <v>175</v>
      </c>
      <c r="H88" s="3" t="n">
        <v>23309</v>
      </c>
      <c r="I88" s="3" t="s">
        <v>15</v>
      </c>
      <c r="J88" s="7"/>
      <c r="K88" s="7"/>
      <c r="L88" s="7"/>
    </row>
    <row r="89" customFormat="false" ht="15" hidden="false" customHeight="false" outlineLevel="0" collapsed="false">
      <c r="A89" s="2" t="s">
        <v>94</v>
      </c>
      <c r="B89" s="3" t="s">
        <v>62</v>
      </c>
      <c r="C89" s="3" t="s">
        <v>63</v>
      </c>
      <c r="D89" s="3" t="s">
        <v>12</v>
      </c>
      <c r="E89" s="3" t="s">
        <v>13</v>
      </c>
      <c r="F89" s="3" t="s">
        <v>14</v>
      </c>
      <c r="G89" s="3" t="n">
        <v>122</v>
      </c>
      <c r="H89" s="3" t="n">
        <v>27268</v>
      </c>
      <c r="I89" s="3" t="s">
        <v>15</v>
      </c>
      <c r="J89" s="7"/>
      <c r="K89" s="7"/>
      <c r="L89" s="7"/>
    </row>
    <row r="90" customFormat="false" ht="15" hidden="false" customHeight="false" outlineLevel="0" collapsed="false">
      <c r="A90" s="2" t="s">
        <v>95</v>
      </c>
      <c r="B90" s="3" t="s">
        <v>62</v>
      </c>
      <c r="C90" s="3" t="s">
        <v>63</v>
      </c>
      <c r="D90" s="3" t="s">
        <v>12</v>
      </c>
      <c r="E90" s="3" t="s">
        <v>13</v>
      </c>
      <c r="F90" s="3" t="s">
        <v>17</v>
      </c>
      <c r="G90" s="3" t="n">
        <v>86</v>
      </c>
      <c r="H90" s="3"/>
      <c r="I90" s="3" t="s">
        <v>15</v>
      </c>
      <c r="J90" s="7"/>
      <c r="K90" s="7"/>
      <c r="L90" s="7"/>
    </row>
    <row r="91" customFormat="false" ht="15" hidden="false" customHeight="false" outlineLevel="0" collapsed="false">
      <c r="A91" s="2" t="s">
        <v>96</v>
      </c>
      <c r="B91" s="3" t="s">
        <v>62</v>
      </c>
      <c r="C91" s="3" t="s">
        <v>63</v>
      </c>
      <c r="D91" s="3" t="s">
        <v>12</v>
      </c>
      <c r="E91" s="3" t="s">
        <v>13</v>
      </c>
      <c r="F91" s="3" t="s">
        <v>17</v>
      </c>
      <c r="G91" s="3" t="n">
        <v>114</v>
      </c>
      <c r="H91" s="3"/>
      <c r="I91" s="3" t="s">
        <v>15</v>
      </c>
      <c r="J91" s="7"/>
      <c r="K91" s="7"/>
      <c r="L91" s="7"/>
    </row>
    <row r="92" customFormat="false" ht="15" hidden="false" customHeight="false" outlineLevel="0" collapsed="false">
      <c r="A92" s="2" t="s">
        <v>60</v>
      </c>
      <c r="B92" s="3" t="s">
        <v>62</v>
      </c>
      <c r="C92" s="3" t="s">
        <v>63</v>
      </c>
      <c r="D92" s="3" t="s">
        <v>12</v>
      </c>
      <c r="E92" s="3" t="s">
        <v>13</v>
      </c>
      <c r="F92" s="3" t="s">
        <v>17</v>
      </c>
      <c r="G92" s="3" t="n">
        <v>66</v>
      </c>
      <c r="H92" s="3"/>
      <c r="I92" s="3" t="s">
        <v>15</v>
      </c>
      <c r="J92" s="7"/>
      <c r="K92" s="7"/>
      <c r="L92" s="7"/>
    </row>
    <row r="93" customFormat="false" ht="15" hidden="false" customHeight="false" outlineLevel="0" collapsed="false">
      <c r="A93" s="2" t="s">
        <v>97</v>
      </c>
      <c r="B93" s="3" t="s">
        <v>62</v>
      </c>
      <c r="C93" s="3" t="s">
        <v>63</v>
      </c>
      <c r="D93" s="3" t="s">
        <v>12</v>
      </c>
      <c r="E93" s="3" t="s">
        <v>13</v>
      </c>
      <c r="F93" s="3" t="s">
        <v>14</v>
      </c>
      <c r="G93" s="3" t="n">
        <v>188</v>
      </c>
      <c r="H93" s="3" t="n">
        <v>27244</v>
      </c>
      <c r="I93" s="3" t="s">
        <v>15</v>
      </c>
      <c r="J93" s="7"/>
      <c r="K93" s="7"/>
      <c r="L93" s="7"/>
    </row>
    <row r="94" customFormat="false" ht="15" hidden="false" customHeight="false" outlineLevel="0" collapsed="false">
      <c r="A94" s="2" t="s">
        <v>98</v>
      </c>
      <c r="B94" s="3" t="s">
        <v>62</v>
      </c>
      <c r="C94" s="3" t="s">
        <v>63</v>
      </c>
      <c r="D94" s="3" t="s">
        <v>12</v>
      </c>
      <c r="E94" s="3" t="s">
        <v>13</v>
      </c>
      <c r="F94" s="3" t="s">
        <v>14</v>
      </c>
      <c r="G94" s="3" t="n">
        <v>173</v>
      </c>
      <c r="H94" s="3" t="n">
        <v>27182</v>
      </c>
      <c r="I94" s="3" t="s">
        <v>15</v>
      </c>
      <c r="J94" s="7"/>
      <c r="K94" s="7"/>
      <c r="L94" s="7"/>
    </row>
    <row r="95" customFormat="false" ht="15" hidden="false" customHeight="false" outlineLevel="0" collapsed="false">
      <c r="A95" s="2" t="s">
        <v>99</v>
      </c>
      <c r="B95" s="3" t="s">
        <v>62</v>
      </c>
      <c r="C95" s="3" t="s">
        <v>63</v>
      </c>
      <c r="D95" s="3" t="s">
        <v>12</v>
      </c>
      <c r="E95" s="3" t="s">
        <v>13</v>
      </c>
      <c r="F95" s="3" t="s">
        <v>17</v>
      </c>
      <c r="G95" s="3" t="n">
        <v>88</v>
      </c>
      <c r="H95" s="3"/>
      <c r="I95" s="3" t="s">
        <v>15</v>
      </c>
      <c r="J95" s="7"/>
      <c r="K95" s="7"/>
      <c r="L95" s="7"/>
    </row>
    <row r="96" customFormat="false" ht="15" hidden="false" customHeight="false" outlineLevel="0" collapsed="false">
      <c r="A96" s="2" t="s">
        <v>100</v>
      </c>
      <c r="B96" s="3" t="s">
        <v>62</v>
      </c>
      <c r="C96" s="3" t="s">
        <v>63</v>
      </c>
      <c r="D96" s="3" t="s">
        <v>12</v>
      </c>
      <c r="E96" s="3" t="s">
        <v>13</v>
      </c>
      <c r="F96" s="3" t="s">
        <v>17</v>
      </c>
      <c r="G96" s="3" t="n">
        <v>56</v>
      </c>
      <c r="H96" s="3"/>
      <c r="I96" s="3" t="s">
        <v>15</v>
      </c>
      <c r="J96" s="7"/>
      <c r="K96" s="7"/>
      <c r="L96" s="7"/>
    </row>
    <row r="97" customFormat="false" ht="15" hidden="false" customHeight="false" outlineLevel="0" collapsed="false">
      <c r="A97" s="2" t="s">
        <v>16</v>
      </c>
      <c r="B97" s="3" t="s">
        <v>101</v>
      </c>
      <c r="C97" s="3" t="s">
        <v>102</v>
      </c>
      <c r="D97" s="3" t="s">
        <v>103</v>
      </c>
      <c r="E97" s="3" t="s">
        <v>104</v>
      </c>
      <c r="F97" s="3" t="s">
        <v>14</v>
      </c>
      <c r="G97" s="3" t="n">
        <v>156</v>
      </c>
      <c r="H97" s="3" t="n">
        <v>25536</v>
      </c>
      <c r="I97" s="3" t="s">
        <v>15</v>
      </c>
      <c r="J97" s="7"/>
      <c r="K97" s="7"/>
      <c r="L97" s="7"/>
    </row>
    <row r="98" customFormat="false" ht="15" hidden="false" customHeight="false" outlineLevel="0" collapsed="false">
      <c r="A98" s="2" t="s">
        <v>18</v>
      </c>
      <c r="B98" s="3" t="s">
        <v>101</v>
      </c>
      <c r="C98" s="3" t="s">
        <v>102</v>
      </c>
      <c r="D98" s="3" t="s">
        <v>103</v>
      </c>
      <c r="E98" s="3" t="s">
        <v>104</v>
      </c>
      <c r="F98" s="3" t="s">
        <v>17</v>
      </c>
      <c r="G98" s="3" t="n">
        <v>39</v>
      </c>
      <c r="H98" s="3"/>
      <c r="I98" s="3" t="s">
        <v>15</v>
      </c>
      <c r="J98" s="7"/>
      <c r="K98" s="7"/>
      <c r="L98" s="7"/>
    </row>
    <row r="99" customFormat="false" ht="15" hidden="false" customHeight="false" outlineLevel="0" collapsed="false">
      <c r="A99" s="2" t="s">
        <v>105</v>
      </c>
      <c r="B99" s="3" t="s">
        <v>101</v>
      </c>
      <c r="C99" s="3" t="s">
        <v>102</v>
      </c>
      <c r="D99" s="3" t="s">
        <v>103</v>
      </c>
      <c r="E99" s="3" t="s">
        <v>104</v>
      </c>
      <c r="F99" s="3" t="s">
        <v>14</v>
      </c>
      <c r="G99" s="3" t="n">
        <v>113</v>
      </c>
      <c r="H99" s="3" t="n">
        <v>26376</v>
      </c>
      <c r="I99" s="3" t="s">
        <v>15</v>
      </c>
      <c r="J99" s="7"/>
      <c r="K99" s="7"/>
      <c r="L99" s="7"/>
    </row>
    <row r="100" customFormat="false" ht="15" hidden="false" customHeight="false" outlineLevel="0" collapsed="false">
      <c r="A100" s="2" t="s">
        <v>106</v>
      </c>
      <c r="B100" s="3" t="s">
        <v>101</v>
      </c>
      <c r="C100" s="3" t="s">
        <v>102</v>
      </c>
      <c r="D100" s="3" t="s">
        <v>103</v>
      </c>
      <c r="E100" s="3" t="s">
        <v>104</v>
      </c>
      <c r="F100" s="3" t="s">
        <v>14</v>
      </c>
      <c r="G100" s="3" t="n">
        <v>22</v>
      </c>
      <c r="H100" s="3" t="n">
        <v>23000</v>
      </c>
      <c r="I100" s="3" t="s">
        <v>15</v>
      </c>
      <c r="J100" s="7"/>
      <c r="K100" s="7"/>
      <c r="L100" s="7"/>
    </row>
    <row r="101" customFormat="false" ht="15" hidden="false" customHeight="false" outlineLevel="0" collapsed="false">
      <c r="A101" s="2" t="s">
        <v>107</v>
      </c>
      <c r="B101" s="3" t="s">
        <v>101</v>
      </c>
      <c r="C101" s="3" t="s">
        <v>102</v>
      </c>
      <c r="D101" s="3" t="s">
        <v>103</v>
      </c>
      <c r="E101" s="3" t="s">
        <v>104</v>
      </c>
      <c r="F101" s="3" t="s">
        <v>17</v>
      </c>
      <c r="G101" s="3" t="n">
        <v>118</v>
      </c>
      <c r="H101" s="3"/>
      <c r="I101" s="3" t="s">
        <v>15</v>
      </c>
      <c r="J101" s="7"/>
      <c r="K101" s="7"/>
      <c r="L101" s="7"/>
    </row>
    <row r="102" customFormat="false" ht="15" hidden="false" customHeight="false" outlineLevel="0" collapsed="false">
      <c r="A102" s="2" t="s">
        <v>66</v>
      </c>
      <c r="B102" s="3" t="s">
        <v>101</v>
      </c>
      <c r="C102" s="3" t="s">
        <v>102</v>
      </c>
      <c r="D102" s="3" t="s">
        <v>103</v>
      </c>
      <c r="E102" s="3" t="s">
        <v>104</v>
      </c>
      <c r="F102" s="3" t="s">
        <v>14</v>
      </c>
      <c r="G102" s="3" t="n">
        <v>140</v>
      </c>
      <c r="H102" s="3" t="n">
        <v>27383</v>
      </c>
      <c r="I102" s="3" t="s">
        <v>15</v>
      </c>
      <c r="J102" s="7"/>
      <c r="K102" s="7"/>
      <c r="L102" s="7"/>
    </row>
    <row r="103" customFormat="false" ht="15" hidden="false" customHeight="false" outlineLevel="0" collapsed="false">
      <c r="A103" s="2" t="s">
        <v>108</v>
      </c>
      <c r="B103" s="3" t="s">
        <v>101</v>
      </c>
      <c r="C103" s="3" t="s">
        <v>102</v>
      </c>
      <c r="D103" s="3" t="s">
        <v>103</v>
      </c>
      <c r="E103" s="3" t="s">
        <v>104</v>
      </c>
      <c r="F103" s="3" t="s">
        <v>17</v>
      </c>
      <c r="G103" s="3" t="n">
        <v>72</v>
      </c>
      <c r="H103" s="3"/>
      <c r="I103" s="3" t="s">
        <v>15</v>
      </c>
      <c r="J103" s="7"/>
      <c r="K103" s="7"/>
      <c r="L103" s="7"/>
    </row>
    <row r="104" customFormat="false" ht="15" hidden="false" customHeight="false" outlineLevel="0" collapsed="false">
      <c r="A104" s="2" t="s">
        <v>22</v>
      </c>
      <c r="B104" s="3" t="s">
        <v>101</v>
      </c>
      <c r="C104" s="3" t="s">
        <v>102</v>
      </c>
      <c r="D104" s="3" t="s">
        <v>103</v>
      </c>
      <c r="E104" s="3" t="s">
        <v>104</v>
      </c>
      <c r="F104" s="3" t="s">
        <v>14</v>
      </c>
      <c r="G104" s="3" t="n">
        <v>130</v>
      </c>
      <c r="H104" s="3" t="n">
        <v>25399</v>
      </c>
      <c r="I104" s="3" t="s">
        <v>15</v>
      </c>
      <c r="J104" s="7"/>
      <c r="K104" s="7"/>
      <c r="L104" s="7"/>
    </row>
    <row r="105" customFormat="false" ht="15" hidden="false" customHeight="false" outlineLevel="0" collapsed="false">
      <c r="A105" s="2" t="s">
        <v>70</v>
      </c>
      <c r="B105" s="3" t="s">
        <v>101</v>
      </c>
      <c r="C105" s="3" t="s">
        <v>102</v>
      </c>
      <c r="D105" s="3" t="s">
        <v>103</v>
      </c>
      <c r="E105" s="3" t="s">
        <v>104</v>
      </c>
      <c r="F105" s="3" t="s">
        <v>14</v>
      </c>
      <c r="G105" s="3" t="n">
        <v>21</v>
      </c>
      <c r="H105" s="3" t="n">
        <v>27490</v>
      </c>
      <c r="I105" s="3" t="s">
        <v>15</v>
      </c>
      <c r="J105" s="7"/>
      <c r="K105" s="7"/>
      <c r="L105" s="7"/>
    </row>
    <row r="106" customFormat="false" ht="15" hidden="false" customHeight="false" outlineLevel="0" collapsed="false">
      <c r="A106" s="2" t="s">
        <v>109</v>
      </c>
      <c r="B106" s="3" t="s">
        <v>101</v>
      </c>
      <c r="C106" s="3" t="s">
        <v>102</v>
      </c>
      <c r="D106" s="3" t="s">
        <v>103</v>
      </c>
      <c r="E106" s="3" t="s">
        <v>104</v>
      </c>
      <c r="F106" s="3" t="s">
        <v>14</v>
      </c>
      <c r="G106" s="3" t="n">
        <v>163</v>
      </c>
      <c r="H106" s="3" t="n">
        <v>26580</v>
      </c>
      <c r="I106" s="3" t="s">
        <v>15</v>
      </c>
      <c r="J106" s="7"/>
      <c r="K106" s="7"/>
      <c r="L106" s="7"/>
    </row>
    <row r="107" customFormat="false" ht="15" hidden="false" customHeight="false" outlineLevel="0" collapsed="false">
      <c r="A107" s="2" t="s">
        <v>72</v>
      </c>
      <c r="B107" s="3" t="s">
        <v>101</v>
      </c>
      <c r="C107" s="3" t="s">
        <v>102</v>
      </c>
      <c r="D107" s="3" t="s">
        <v>103</v>
      </c>
      <c r="E107" s="3" t="s">
        <v>104</v>
      </c>
      <c r="F107" s="3" t="s">
        <v>14</v>
      </c>
      <c r="G107" s="3" t="n">
        <v>185</v>
      </c>
      <c r="H107" s="3" t="n">
        <v>26192</v>
      </c>
      <c r="I107" s="3" t="s">
        <v>15</v>
      </c>
      <c r="J107" s="7"/>
      <c r="K107" s="7"/>
      <c r="L107" s="7"/>
    </row>
    <row r="108" customFormat="false" ht="15" hidden="false" customHeight="false" outlineLevel="0" collapsed="false">
      <c r="A108" s="2" t="s">
        <v>26</v>
      </c>
      <c r="B108" s="3" t="s">
        <v>101</v>
      </c>
      <c r="C108" s="3" t="s">
        <v>102</v>
      </c>
      <c r="D108" s="3" t="s">
        <v>103</v>
      </c>
      <c r="E108" s="3" t="s">
        <v>104</v>
      </c>
      <c r="F108" s="3" t="s">
        <v>14</v>
      </c>
      <c r="G108" s="3" t="n">
        <v>40</v>
      </c>
      <c r="H108" s="3" t="n">
        <v>26458</v>
      </c>
      <c r="I108" s="3" t="s">
        <v>15</v>
      </c>
      <c r="J108" s="7"/>
      <c r="K108" s="7"/>
      <c r="L108" s="7"/>
    </row>
    <row r="109" customFormat="false" ht="15" hidden="false" customHeight="false" outlineLevel="0" collapsed="false">
      <c r="A109" s="2" t="s">
        <v>110</v>
      </c>
      <c r="B109" s="3" t="s">
        <v>101</v>
      </c>
      <c r="C109" s="3" t="s">
        <v>102</v>
      </c>
      <c r="D109" s="3" t="s">
        <v>103</v>
      </c>
      <c r="E109" s="3" t="s">
        <v>104</v>
      </c>
      <c r="F109" s="3" t="s">
        <v>14</v>
      </c>
      <c r="G109" s="3" t="n">
        <v>176</v>
      </c>
      <c r="H109" s="3" t="n">
        <v>25227</v>
      </c>
      <c r="I109" s="3" t="s">
        <v>15</v>
      </c>
      <c r="J109" s="7"/>
      <c r="K109" s="7"/>
      <c r="L109" s="7"/>
    </row>
    <row r="110" customFormat="false" ht="15" hidden="false" customHeight="false" outlineLevel="0" collapsed="false">
      <c r="A110" s="2" t="s">
        <v>111</v>
      </c>
      <c r="B110" s="3" t="s">
        <v>101</v>
      </c>
      <c r="C110" s="3" t="s">
        <v>102</v>
      </c>
      <c r="D110" s="3" t="s">
        <v>103</v>
      </c>
      <c r="E110" s="3" t="s">
        <v>104</v>
      </c>
      <c r="F110" s="3" t="s">
        <v>17</v>
      </c>
      <c r="G110" s="3" t="n">
        <v>78</v>
      </c>
      <c r="H110" s="3"/>
      <c r="I110" s="3" t="s">
        <v>15</v>
      </c>
      <c r="J110" s="7"/>
      <c r="K110" s="7"/>
      <c r="L110" s="7"/>
    </row>
    <row r="111" customFormat="false" ht="15" hidden="false" customHeight="false" outlineLevel="0" collapsed="false">
      <c r="A111" s="2" t="s">
        <v>29</v>
      </c>
      <c r="B111" s="3" t="s">
        <v>101</v>
      </c>
      <c r="C111" s="3" t="s">
        <v>102</v>
      </c>
      <c r="D111" s="3" t="s">
        <v>103</v>
      </c>
      <c r="E111" s="3" t="s">
        <v>104</v>
      </c>
      <c r="F111" s="3" t="s">
        <v>14</v>
      </c>
      <c r="G111" s="3" t="n">
        <v>37</v>
      </c>
      <c r="H111" s="3" t="n">
        <v>24494</v>
      </c>
      <c r="I111" s="3" t="s">
        <v>15</v>
      </c>
      <c r="J111" s="7"/>
      <c r="K111" s="7"/>
      <c r="L111" s="7"/>
    </row>
    <row r="112" customFormat="false" ht="15" hidden="false" customHeight="false" outlineLevel="0" collapsed="false">
      <c r="A112" s="2" t="s">
        <v>112</v>
      </c>
      <c r="B112" s="3" t="s">
        <v>101</v>
      </c>
      <c r="C112" s="3" t="s">
        <v>102</v>
      </c>
      <c r="D112" s="3" t="s">
        <v>103</v>
      </c>
      <c r="E112" s="3" t="s">
        <v>104</v>
      </c>
      <c r="F112" s="3" t="s">
        <v>14</v>
      </c>
      <c r="G112" s="3" t="n">
        <v>183</v>
      </c>
      <c r="H112" s="3" t="n">
        <v>26730</v>
      </c>
      <c r="I112" s="3" t="s">
        <v>15</v>
      </c>
      <c r="J112" s="7"/>
      <c r="K112" s="7"/>
      <c r="L112" s="7"/>
    </row>
    <row r="113" customFormat="false" ht="15" hidden="false" customHeight="false" outlineLevel="0" collapsed="false">
      <c r="A113" s="2" t="s">
        <v>113</v>
      </c>
      <c r="B113" s="3" t="s">
        <v>101</v>
      </c>
      <c r="C113" s="3" t="s">
        <v>102</v>
      </c>
      <c r="D113" s="3" t="s">
        <v>103</v>
      </c>
      <c r="E113" s="3" t="s">
        <v>104</v>
      </c>
      <c r="F113" s="3" t="s">
        <v>17</v>
      </c>
      <c r="G113" s="3" t="n">
        <v>99</v>
      </c>
      <c r="H113" s="3"/>
      <c r="I113" s="3" t="s">
        <v>15</v>
      </c>
      <c r="J113" s="7"/>
      <c r="K113" s="7"/>
      <c r="L113" s="7"/>
    </row>
    <row r="114" customFormat="false" ht="15" hidden="false" customHeight="false" outlineLevel="0" collapsed="false">
      <c r="A114" s="2" t="s">
        <v>114</v>
      </c>
      <c r="B114" s="3" t="s">
        <v>101</v>
      </c>
      <c r="C114" s="3" t="s">
        <v>102</v>
      </c>
      <c r="D114" s="3" t="s">
        <v>103</v>
      </c>
      <c r="E114" s="3" t="s">
        <v>104</v>
      </c>
      <c r="F114" s="3" t="s">
        <v>17</v>
      </c>
      <c r="G114" s="3" t="n">
        <v>51</v>
      </c>
      <c r="H114" s="3"/>
      <c r="I114" s="3" t="s">
        <v>15</v>
      </c>
      <c r="J114" s="7"/>
      <c r="K114" s="7"/>
      <c r="L114" s="7"/>
    </row>
    <row r="115" customFormat="false" ht="15" hidden="false" customHeight="false" outlineLevel="0" collapsed="false">
      <c r="A115" s="2" t="s">
        <v>115</v>
      </c>
      <c r="B115" s="3" t="s">
        <v>101</v>
      </c>
      <c r="C115" s="3" t="s">
        <v>102</v>
      </c>
      <c r="D115" s="3" t="s">
        <v>103</v>
      </c>
      <c r="E115" s="3" t="s">
        <v>104</v>
      </c>
      <c r="F115" s="3" t="s">
        <v>14</v>
      </c>
      <c r="G115" s="3" t="n">
        <v>156</v>
      </c>
      <c r="H115" s="3" t="n">
        <v>23181</v>
      </c>
      <c r="I115" s="3" t="s">
        <v>15</v>
      </c>
      <c r="J115" s="7"/>
      <c r="K115" s="7"/>
      <c r="L115" s="7"/>
    </row>
    <row r="116" customFormat="false" ht="15" hidden="false" customHeight="false" outlineLevel="0" collapsed="false">
      <c r="A116" s="2" t="s">
        <v>116</v>
      </c>
      <c r="B116" s="3" t="s">
        <v>101</v>
      </c>
      <c r="C116" s="3" t="s">
        <v>102</v>
      </c>
      <c r="D116" s="3" t="s">
        <v>103</v>
      </c>
      <c r="E116" s="3" t="s">
        <v>104</v>
      </c>
      <c r="F116" s="3" t="s">
        <v>17</v>
      </c>
      <c r="G116" s="3" t="n">
        <v>46</v>
      </c>
      <c r="H116" s="3"/>
      <c r="I116" s="3" t="s">
        <v>15</v>
      </c>
      <c r="J116" s="7"/>
      <c r="K116" s="7"/>
      <c r="L116" s="7"/>
    </row>
    <row r="117" customFormat="false" ht="15" hidden="false" customHeight="false" outlineLevel="0" collapsed="false">
      <c r="A117" s="2" t="s">
        <v>77</v>
      </c>
      <c r="B117" s="3" t="s">
        <v>101</v>
      </c>
      <c r="C117" s="3" t="s">
        <v>102</v>
      </c>
      <c r="D117" s="3" t="s">
        <v>103</v>
      </c>
      <c r="E117" s="3" t="s">
        <v>104</v>
      </c>
      <c r="F117" s="3" t="s">
        <v>14</v>
      </c>
      <c r="G117" s="3" t="n">
        <v>132</v>
      </c>
      <c r="H117" s="3" t="n">
        <v>23067</v>
      </c>
      <c r="I117" s="3" t="s">
        <v>15</v>
      </c>
      <c r="J117" s="7"/>
      <c r="K117" s="7"/>
      <c r="L117" s="7"/>
    </row>
    <row r="118" customFormat="false" ht="15" hidden="false" customHeight="false" outlineLevel="0" collapsed="false">
      <c r="A118" s="2" t="s">
        <v>117</v>
      </c>
      <c r="B118" s="3" t="s">
        <v>101</v>
      </c>
      <c r="C118" s="3" t="s">
        <v>102</v>
      </c>
      <c r="D118" s="3" t="s">
        <v>103</v>
      </c>
      <c r="E118" s="3" t="s">
        <v>104</v>
      </c>
      <c r="F118" s="3" t="s">
        <v>14</v>
      </c>
      <c r="G118" s="3" t="n">
        <v>23</v>
      </c>
      <c r="H118" s="3" t="n">
        <v>27043</v>
      </c>
      <c r="I118" s="3" t="s">
        <v>15</v>
      </c>
      <c r="J118" s="7"/>
      <c r="K118" s="7"/>
      <c r="L118" s="7"/>
    </row>
    <row r="119" customFormat="false" ht="15" hidden="false" customHeight="false" outlineLevel="0" collapsed="false">
      <c r="A119" s="2" t="s">
        <v>78</v>
      </c>
      <c r="B119" s="3" t="s">
        <v>101</v>
      </c>
      <c r="C119" s="3" t="s">
        <v>102</v>
      </c>
      <c r="D119" s="3" t="s">
        <v>103</v>
      </c>
      <c r="E119" s="3" t="s">
        <v>104</v>
      </c>
      <c r="F119" s="3" t="s">
        <v>14</v>
      </c>
      <c r="G119" s="3" t="n">
        <v>99</v>
      </c>
      <c r="H119" s="3" t="n">
        <v>27082</v>
      </c>
      <c r="I119" s="3" t="s">
        <v>15</v>
      </c>
      <c r="J119" s="7"/>
      <c r="K119" s="7"/>
      <c r="L119" s="7"/>
    </row>
    <row r="120" customFormat="false" ht="15" hidden="false" customHeight="false" outlineLevel="0" collapsed="false">
      <c r="A120" s="2" t="s">
        <v>36</v>
      </c>
      <c r="B120" s="3" t="s">
        <v>101</v>
      </c>
      <c r="C120" s="3" t="s">
        <v>102</v>
      </c>
      <c r="D120" s="3" t="s">
        <v>103</v>
      </c>
      <c r="E120" s="3" t="s">
        <v>104</v>
      </c>
      <c r="F120" s="3" t="s">
        <v>17</v>
      </c>
      <c r="G120" s="3" t="n">
        <v>111</v>
      </c>
      <c r="H120" s="3"/>
      <c r="I120" s="3" t="s">
        <v>15</v>
      </c>
      <c r="J120" s="7"/>
      <c r="K120" s="7"/>
      <c r="L120" s="7"/>
    </row>
    <row r="121" customFormat="false" ht="15" hidden="false" customHeight="false" outlineLevel="0" collapsed="false">
      <c r="A121" s="2" t="s">
        <v>118</v>
      </c>
      <c r="B121" s="3" t="s">
        <v>101</v>
      </c>
      <c r="C121" s="3" t="s">
        <v>102</v>
      </c>
      <c r="D121" s="3" t="s">
        <v>103</v>
      </c>
      <c r="E121" s="3" t="s">
        <v>104</v>
      </c>
      <c r="F121" s="3" t="s">
        <v>14</v>
      </c>
      <c r="G121" s="3" t="n">
        <v>57</v>
      </c>
      <c r="H121" s="3" t="n">
        <v>23459</v>
      </c>
      <c r="I121" s="3" t="s">
        <v>15</v>
      </c>
      <c r="J121" s="7"/>
      <c r="K121" s="7"/>
      <c r="L121" s="7"/>
    </row>
    <row r="122" customFormat="false" ht="15" hidden="false" customHeight="false" outlineLevel="0" collapsed="false">
      <c r="A122" s="2" t="s">
        <v>119</v>
      </c>
      <c r="B122" s="3" t="s">
        <v>101</v>
      </c>
      <c r="C122" s="3" t="s">
        <v>102</v>
      </c>
      <c r="D122" s="3" t="s">
        <v>103</v>
      </c>
      <c r="E122" s="3" t="s">
        <v>104</v>
      </c>
      <c r="F122" s="3" t="s">
        <v>17</v>
      </c>
      <c r="G122" s="3" t="n">
        <v>19</v>
      </c>
      <c r="H122" s="3"/>
      <c r="I122" s="3" t="s">
        <v>15</v>
      </c>
      <c r="J122" s="7"/>
      <c r="K122" s="7"/>
      <c r="L122" s="7"/>
    </row>
    <row r="123" customFormat="false" ht="15" hidden="false" customHeight="false" outlineLevel="0" collapsed="false">
      <c r="A123" s="2" t="s">
        <v>120</v>
      </c>
      <c r="B123" s="3" t="s">
        <v>101</v>
      </c>
      <c r="C123" s="3" t="s">
        <v>102</v>
      </c>
      <c r="D123" s="3" t="s">
        <v>103</v>
      </c>
      <c r="E123" s="3" t="s">
        <v>104</v>
      </c>
      <c r="F123" s="3" t="s">
        <v>17</v>
      </c>
      <c r="G123" s="3" t="n">
        <v>34</v>
      </c>
      <c r="H123" s="3"/>
      <c r="I123" s="3" t="s">
        <v>15</v>
      </c>
      <c r="J123" s="7"/>
      <c r="K123" s="7"/>
      <c r="L123" s="7"/>
    </row>
    <row r="124" customFormat="false" ht="15" hidden="false" customHeight="false" outlineLevel="0" collapsed="false">
      <c r="A124" s="2" t="s">
        <v>40</v>
      </c>
      <c r="B124" s="3" t="s">
        <v>101</v>
      </c>
      <c r="C124" s="3" t="s">
        <v>102</v>
      </c>
      <c r="D124" s="3" t="s">
        <v>103</v>
      </c>
      <c r="E124" s="3" t="s">
        <v>104</v>
      </c>
      <c r="F124" s="3" t="s">
        <v>17</v>
      </c>
      <c r="G124" s="3" t="n">
        <v>116</v>
      </c>
      <c r="H124" s="3"/>
      <c r="I124" s="3" t="s">
        <v>15</v>
      </c>
      <c r="J124" s="7"/>
      <c r="K124" s="7"/>
      <c r="L124" s="7"/>
    </row>
    <row r="125" customFormat="false" ht="15" hidden="false" customHeight="false" outlineLevel="0" collapsed="false">
      <c r="A125" s="2" t="s">
        <v>121</v>
      </c>
      <c r="B125" s="3" t="s">
        <v>101</v>
      </c>
      <c r="C125" s="3" t="s">
        <v>102</v>
      </c>
      <c r="D125" s="3" t="s">
        <v>103</v>
      </c>
      <c r="E125" s="3" t="s">
        <v>104</v>
      </c>
      <c r="F125" s="3" t="s">
        <v>14</v>
      </c>
      <c r="G125" s="3" t="n">
        <v>83</v>
      </c>
      <c r="H125" s="3" t="n">
        <v>26152</v>
      </c>
      <c r="I125" s="3" t="s">
        <v>15</v>
      </c>
      <c r="J125" s="7"/>
      <c r="K125" s="7"/>
      <c r="L125" s="7"/>
    </row>
    <row r="126" customFormat="false" ht="15" hidden="false" customHeight="false" outlineLevel="0" collapsed="false">
      <c r="A126" s="2" t="s">
        <v>122</v>
      </c>
      <c r="B126" s="3" t="s">
        <v>101</v>
      </c>
      <c r="C126" s="3" t="s">
        <v>102</v>
      </c>
      <c r="D126" s="3" t="s">
        <v>103</v>
      </c>
      <c r="E126" s="3" t="s">
        <v>104</v>
      </c>
      <c r="F126" s="3" t="s">
        <v>14</v>
      </c>
      <c r="G126" s="3" t="n">
        <v>28</v>
      </c>
      <c r="H126" s="3" t="n">
        <v>24631</v>
      </c>
      <c r="I126" s="3" t="s">
        <v>15</v>
      </c>
      <c r="J126" s="7"/>
      <c r="K126" s="7"/>
      <c r="L126" s="7"/>
    </row>
    <row r="127" customFormat="false" ht="15" hidden="false" customHeight="false" outlineLevel="0" collapsed="false">
      <c r="A127" s="2" t="s">
        <v>123</v>
      </c>
      <c r="B127" s="3" t="s">
        <v>101</v>
      </c>
      <c r="C127" s="3" t="s">
        <v>102</v>
      </c>
      <c r="D127" s="3" t="s">
        <v>103</v>
      </c>
      <c r="E127" s="3" t="s">
        <v>104</v>
      </c>
      <c r="F127" s="3" t="s">
        <v>17</v>
      </c>
      <c r="G127" s="3" t="n">
        <v>22</v>
      </c>
      <c r="H127" s="3"/>
      <c r="I127" s="3" t="s">
        <v>15</v>
      </c>
      <c r="J127" s="7"/>
      <c r="K127" s="7"/>
      <c r="L127" s="7"/>
    </row>
    <row r="128" customFormat="false" ht="15" hidden="false" customHeight="false" outlineLevel="0" collapsed="false">
      <c r="A128" s="2" t="s">
        <v>43</v>
      </c>
      <c r="B128" s="3" t="s">
        <v>101</v>
      </c>
      <c r="C128" s="3" t="s">
        <v>102</v>
      </c>
      <c r="D128" s="3" t="s">
        <v>103</v>
      </c>
      <c r="E128" s="3" t="s">
        <v>104</v>
      </c>
      <c r="F128" s="3" t="s">
        <v>17</v>
      </c>
      <c r="G128" s="3" t="n">
        <v>36</v>
      </c>
      <c r="H128" s="3"/>
      <c r="I128" s="3" t="s">
        <v>15</v>
      </c>
      <c r="J128" s="7"/>
      <c r="K128" s="7"/>
      <c r="L128" s="7"/>
    </row>
    <row r="129" customFormat="false" ht="15" hidden="false" customHeight="false" outlineLevel="0" collapsed="false">
      <c r="A129" s="2" t="s">
        <v>124</v>
      </c>
      <c r="B129" s="3" t="s">
        <v>101</v>
      </c>
      <c r="C129" s="3" t="s">
        <v>102</v>
      </c>
      <c r="D129" s="3" t="s">
        <v>103</v>
      </c>
      <c r="E129" s="3" t="s">
        <v>104</v>
      </c>
      <c r="F129" s="3" t="s">
        <v>14</v>
      </c>
      <c r="G129" s="3" t="n">
        <v>99</v>
      </c>
      <c r="H129" s="3" t="n">
        <v>25646</v>
      </c>
      <c r="I129" s="3" t="s">
        <v>15</v>
      </c>
      <c r="J129" s="7"/>
      <c r="K129" s="7"/>
      <c r="L129" s="7"/>
    </row>
    <row r="130" customFormat="false" ht="15" hidden="false" customHeight="false" outlineLevel="0" collapsed="false">
      <c r="A130" s="2" t="s">
        <v>45</v>
      </c>
      <c r="B130" s="3" t="s">
        <v>101</v>
      </c>
      <c r="C130" s="3" t="s">
        <v>102</v>
      </c>
      <c r="D130" s="3" t="s">
        <v>103</v>
      </c>
      <c r="E130" s="3" t="s">
        <v>104</v>
      </c>
      <c r="F130" s="3" t="s">
        <v>17</v>
      </c>
      <c r="G130" s="3" t="n">
        <v>15</v>
      </c>
      <c r="H130" s="3"/>
      <c r="I130" s="3" t="s">
        <v>15</v>
      </c>
      <c r="J130" s="7"/>
      <c r="K130" s="7"/>
      <c r="L130" s="7"/>
    </row>
    <row r="131" customFormat="false" ht="15" hidden="false" customHeight="false" outlineLevel="0" collapsed="false">
      <c r="A131" s="2" t="s">
        <v>84</v>
      </c>
      <c r="B131" s="3" t="s">
        <v>101</v>
      </c>
      <c r="C131" s="3" t="s">
        <v>102</v>
      </c>
      <c r="D131" s="3" t="s">
        <v>103</v>
      </c>
      <c r="E131" s="3" t="s">
        <v>104</v>
      </c>
      <c r="F131" s="3" t="s">
        <v>17</v>
      </c>
      <c r="G131" s="3" t="n">
        <v>76</v>
      </c>
      <c r="H131" s="3"/>
      <c r="I131" s="3" t="s">
        <v>15</v>
      </c>
      <c r="J131" s="7"/>
      <c r="K131" s="7"/>
      <c r="L131" s="7"/>
    </row>
    <row r="132" customFormat="false" ht="15" hidden="false" customHeight="false" outlineLevel="0" collapsed="false">
      <c r="A132" s="2" t="s">
        <v>125</v>
      </c>
      <c r="B132" s="3" t="s">
        <v>101</v>
      </c>
      <c r="C132" s="3" t="s">
        <v>102</v>
      </c>
      <c r="D132" s="3" t="s">
        <v>103</v>
      </c>
      <c r="E132" s="3" t="s">
        <v>104</v>
      </c>
      <c r="F132" s="3" t="s">
        <v>14</v>
      </c>
      <c r="G132" s="3" t="n">
        <v>183</v>
      </c>
      <c r="H132" s="3" t="n">
        <v>25447</v>
      </c>
      <c r="I132" s="3" t="s">
        <v>15</v>
      </c>
      <c r="J132" s="7"/>
      <c r="K132" s="7"/>
      <c r="L132" s="7"/>
    </row>
    <row r="133" customFormat="false" ht="15" hidden="false" customHeight="false" outlineLevel="0" collapsed="false">
      <c r="A133" s="2" t="s">
        <v>126</v>
      </c>
      <c r="B133" s="3" t="s">
        <v>101</v>
      </c>
      <c r="C133" s="3" t="s">
        <v>102</v>
      </c>
      <c r="D133" s="3" t="s">
        <v>103</v>
      </c>
      <c r="E133" s="3" t="s">
        <v>104</v>
      </c>
      <c r="F133" s="3" t="s">
        <v>14</v>
      </c>
      <c r="G133" s="3" t="n">
        <v>33</v>
      </c>
      <c r="H133" s="3" t="n">
        <v>24784</v>
      </c>
      <c r="I133" s="3" t="s">
        <v>15</v>
      </c>
      <c r="J133" s="7"/>
      <c r="K133" s="7"/>
      <c r="L133" s="7"/>
    </row>
    <row r="134" customFormat="false" ht="15" hidden="false" customHeight="false" outlineLevel="0" collapsed="false">
      <c r="A134" s="2" t="s">
        <v>48</v>
      </c>
      <c r="B134" s="3" t="s">
        <v>101</v>
      </c>
      <c r="C134" s="3" t="s">
        <v>102</v>
      </c>
      <c r="D134" s="3" t="s">
        <v>103</v>
      </c>
      <c r="E134" s="3" t="s">
        <v>104</v>
      </c>
      <c r="F134" s="3" t="s">
        <v>14</v>
      </c>
      <c r="G134" s="3" t="n">
        <v>131</v>
      </c>
      <c r="H134" s="3" t="n">
        <v>25658</v>
      </c>
      <c r="I134" s="3" t="s">
        <v>15</v>
      </c>
      <c r="J134" s="7"/>
      <c r="K134" s="7"/>
      <c r="L134" s="7"/>
    </row>
    <row r="135" customFormat="false" ht="15" hidden="false" customHeight="false" outlineLevel="0" collapsed="false">
      <c r="A135" s="2" t="s">
        <v>86</v>
      </c>
      <c r="B135" s="3" t="s">
        <v>101</v>
      </c>
      <c r="C135" s="3" t="s">
        <v>102</v>
      </c>
      <c r="D135" s="3" t="s">
        <v>103</v>
      </c>
      <c r="E135" s="3" t="s">
        <v>104</v>
      </c>
      <c r="F135" s="3" t="s">
        <v>14</v>
      </c>
      <c r="G135" s="3" t="n">
        <v>90</v>
      </c>
      <c r="H135" s="3" t="n">
        <v>27789</v>
      </c>
      <c r="I135" s="3" t="s">
        <v>15</v>
      </c>
      <c r="J135" s="7"/>
      <c r="K135" s="7"/>
      <c r="L135" s="7"/>
    </row>
    <row r="136" customFormat="false" ht="15" hidden="false" customHeight="false" outlineLevel="0" collapsed="false">
      <c r="A136" s="2" t="s">
        <v>49</v>
      </c>
      <c r="B136" s="3" t="s">
        <v>101</v>
      </c>
      <c r="C136" s="3" t="s">
        <v>102</v>
      </c>
      <c r="D136" s="3" t="s">
        <v>103</v>
      </c>
      <c r="E136" s="3" t="s">
        <v>104</v>
      </c>
      <c r="F136" s="3" t="s">
        <v>14</v>
      </c>
      <c r="G136" s="3" t="n">
        <v>82</v>
      </c>
      <c r="H136" s="3" t="n">
        <v>23073</v>
      </c>
      <c r="I136" s="3" t="s">
        <v>15</v>
      </c>
      <c r="J136" s="7"/>
      <c r="K136" s="7"/>
      <c r="L136" s="7"/>
    </row>
    <row r="137" customFormat="false" ht="15" hidden="false" customHeight="false" outlineLevel="0" collapsed="false">
      <c r="A137" s="2" t="s">
        <v>127</v>
      </c>
      <c r="B137" s="3" t="s">
        <v>101</v>
      </c>
      <c r="C137" s="3" t="s">
        <v>102</v>
      </c>
      <c r="D137" s="3" t="s">
        <v>103</v>
      </c>
      <c r="E137" s="3" t="s">
        <v>104</v>
      </c>
      <c r="F137" s="3" t="s">
        <v>17</v>
      </c>
      <c r="G137" s="3" t="n">
        <v>98</v>
      </c>
      <c r="H137" s="3"/>
      <c r="I137" s="3" t="s">
        <v>15</v>
      </c>
      <c r="J137" s="7"/>
      <c r="K137" s="7"/>
      <c r="L137" s="7"/>
    </row>
    <row r="138" customFormat="false" ht="15" hidden="false" customHeight="false" outlineLevel="0" collapsed="false">
      <c r="A138" s="2" t="s">
        <v>128</v>
      </c>
      <c r="B138" s="3" t="s">
        <v>101</v>
      </c>
      <c r="C138" s="3" t="s">
        <v>102</v>
      </c>
      <c r="D138" s="3" t="s">
        <v>103</v>
      </c>
      <c r="E138" s="3" t="s">
        <v>104</v>
      </c>
      <c r="F138" s="3" t="s">
        <v>17</v>
      </c>
      <c r="G138" s="3" t="n">
        <v>29</v>
      </c>
      <c r="H138" s="3"/>
      <c r="I138" s="3" t="s">
        <v>15</v>
      </c>
      <c r="J138" s="7"/>
      <c r="K138" s="7"/>
      <c r="L138" s="7"/>
    </row>
    <row r="139" customFormat="false" ht="15" hidden="false" customHeight="false" outlineLevel="0" collapsed="false">
      <c r="A139" s="2" t="s">
        <v>87</v>
      </c>
      <c r="B139" s="3" t="s">
        <v>101</v>
      </c>
      <c r="C139" s="3" t="s">
        <v>102</v>
      </c>
      <c r="D139" s="3" t="s">
        <v>103</v>
      </c>
      <c r="E139" s="3" t="s">
        <v>104</v>
      </c>
      <c r="F139" s="3" t="s">
        <v>17</v>
      </c>
      <c r="G139" s="3" t="n">
        <v>41</v>
      </c>
      <c r="H139" s="3"/>
      <c r="I139" s="3" t="s">
        <v>15</v>
      </c>
      <c r="J139" s="7"/>
      <c r="K139" s="7"/>
      <c r="L139" s="7"/>
    </row>
    <row r="140" customFormat="false" ht="15" hidden="false" customHeight="false" outlineLevel="0" collapsed="false">
      <c r="A140" s="2" t="s">
        <v>129</v>
      </c>
      <c r="B140" s="3" t="s">
        <v>101</v>
      </c>
      <c r="C140" s="3" t="s">
        <v>102</v>
      </c>
      <c r="D140" s="3" t="s">
        <v>103</v>
      </c>
      <c r="E140" s="3" t="s">
        <v>104</v>
      </c>
      <c r="F140" s="3" t="s">
        <v>17</v>
      </c>
      <c r="G140" s="3" t="n">
        <v>97</v>
      </c>
      <c r="H140" s="3"/>
      <c r="I140" s="3" t="s">
        <v>15</v>
      </c>
      <c r="J140" s="7"/>
      <c r="K140" s="7"/>
      <c r="L140" s="7"/>
    </row>
    <row r="141" customFormat="false" ht="15" hidden="false" customHeight="false" outlineLevel="0" collapsed="false">
      <c r="A141" s="2" t="s">
        <v>89</v>
      </c>
      <c r="B141" s="3" t="s">
        <v>101</v>
      </c>
      <c r="C141" s="3" t="s">
        <v>102</v>
      </c>
      <c r="D141" s="3" t="s">
        <v>103</v>
      </c>
      <c r="E141" s="3" t="s">
        <v>104</v>
      </c>
      <c r="F141" s="3" t="s">
        <v>14</v>
      </c>
      <c r="G141" s="3" t="n">
        <v>180</v>
      </c>
      <c r="H141" s="3" t="n">
        <v>23491</v>
      </c>
      <c r="I141" s="3" t="s">
        <v>15</v>
      </c>
      <c r="J141" s="7"/>
      <c r="K141" s="7"/>
      <c r="L141" s="7"/>
    </row>
    <row r="142" customFormat="false" ht="15" hidden="false" customHeight="false" outlineLevel="0" collapsed="false">
      <c r="A142" s="2" t="s">
        <v>130</v>
      </c>
      <c r="B142" s="3" t="s">
        <v>101</v>
      </c>
      <c r="C142" s="3" t="s">
        <v>102</v>
      </c>
      <c r="D142" s="3" t="s">
        <v>103</v>
      </c>
      <c r="E142" s="3" t="s">
        <v>104</v>
      </c>
      <c r="F142" s="3" t="s">
        <v>14</v>
      </c>
      <c r="G142" s="3" t="n">
        <v>59</v>
      </c>
      <c r="H142" s="3" t="n">
        <v>27393</v>
      </c>
      <c r="I142" s="3" t="s">
        <v>15</v>
      </c>
      <c r="J142" s="7"/>
      <c r="K142" s="7"/>
      <c r="L142" s="7"/>
    </row>
    <row r="143" customFormat="false" ht="15" hidden="false" customHeight="false" outlineLevel="0" collapsed="false">
      <c r="A143" s="2" t="s">
        <v>53</v>
      </c>
      <c r="B143" s="3" t="s">
        <v>101</v>
      </c>
      <c r="C143" s="3" t="s">
        <v>102</v>
      </c>
      <c r="D143" s="3" t="s">
        <v>103</v>
      </c>
      <c r="E143" s="3" t="s">
        <v>104</v>
      </c>
      <c r="F143" s="3" t="s">
        <v>14</v>
      </c>
      <c r="G143" s="3" t="n">
        <v>79</v>
      </c>
      <c r="H143" s="3" t="n">
        <v>25594</v>
      </c>
      <c r="I143" s="3" t="s">
        <v>15</v>
      </c>
      <c r="J143" s="7"/>
      <c r="K143" s="7"/>
      <c r="L143" s="7"/>
    </row>
    <row r="144" customFormat="false" ht="15" hidden="false" customHeight="false" outlineLevel="0" collapsed="false">
      <c r="A144" s="2" t="s">
        <v>131</v>
      </c>
      <c r="B144" s="3" t="s">
        <v>101</v>
      </c>
      <c r="C144" s="3" t="s">
        <v>102</v>
      </c>
      <c r="D144" s="3" t="s">
        <v>103</v>
      </c>
      <c r="E144" s="3" t="s">
        <v>104</v>
      </c>
      <c r="F144" s="3" t="s">
        <v>17</v>
      </c>
      <c r="G144" s="3" t="n">
        <v>106</v>
      </c>
      <c r="H144" s="3"/>
      <c r="I144" s="3" t="s">
        <v>15</v>
      </c>
      <c r="J144" s="7"/>
      <c r="K144" s="7"/>
      <c r="L144" s="7"/>
    </row>
    <row r="145" customFormat="false" ht="15" hidden="false" customHeight="false" outlineLevel="0" collapsed="false">
      <c r="A145" s="2" t="s">
        <v>132</v>
      </c>
      <c r="B145" s="3" t="s">
        <v>101</v>
      </c>
      <c r="C145" s="3" t="s">
        <v>102</v>
      </c>
      <c r="D145" s="3" t="s">
        <v>103</v>
      </c>
      <c r="E145" s="3" t="s">
        <v>104</v>
      </c>
      <c r="F145" s="3" t="s">
        <v>17</v>
      </c>
      <c r="G145" s="3" t="n">
        <v>66</v>
      </c>
      <c r="H145" s="3"/>
      <c r="I145" s="3" t="s">
        <v>15</v>
      </c>
      <c r="J145" s="7"/>
      <c r="K145" s="7"/>
      <c r="L145" s="7"/>
    </row>
    <row r="146" customFormat="false" ht="15" hidden="false" customHeight="false" outlineLevel="0" collapsed="false">
      <c r="A146" s="2" t="s">
        <v>133</v>
      </c>
      <c r="B146" s="3" t="s">
        <v>101</v>
      </c>
      <c r="C146" s="3" t="s">
        <v>102</v>
      </c>
      <c r="D146" s="3" t="s">
        <v>103</v>
      </c>
      <c r="E146" s="3" t="s">
        <v>104</v>
      </c>
      <c r="F146" s="3" t="s">
        <v>14</v>
      </c>
      <c r="G146" s="3" t="n">
        <v>196</v>
      </c>
      <c r="H146" s="3" t="n">
        <v>26094</v>
      </c>
      <c r="I146" s="3" t="s">
        <v>15</v>
      </c>
      <c r="J146" s="7"/>
      <c r="K146" s="7"/>
      <c r="L146" s="7"/>
    </row>
    <row r="147" customFormat="false" ht="15" hidden="false" customHeight="false" outlineLevel="0" collapsed="false">
      <c r="A147" s="2" t="s">
        <v>134</v>
      </c>
      <c r="B147" s="3" t="s">
        <v>135</v>
      </c>
      <c r="C147" s="3" t="s">
        <v>136</v>
      </c>
      <c r="D147" s="3" t="s">
        <v>137</v>
      </c>
      <c r="E147" s="3" t="s">
        <v>138</v>
      </c>
      <c r="F147" s="3" t="s">
        <v>14</v>
      </c>
      <c r="G147" s="3" t="n">
        <v>66</v>
      </c>
      <c r="H147" s="3" t="n">
        <v>20680</v>
      </c>
      <c r="I147" s="3" t="s">
        <v>15</v>
      </c>
      <c r="J147" s="7"/>
      <c r="K147" s="7"/>
      <c r="L147" s="7"/>
    </row>
    <row r="148" customFormat="false" ht="15" hidden="false" customHeight="false" outlineLevel="0" collapsed="false">
      <c r="A148" s="2" t="s">
        <v>16</v>
      </c>
      <c r="B148" s="3" t="s">
        <v>135</v>
      </c>
      <c r="C148" s="3" t="s">
        <v>136</v>
      </c>
      <c r="D148" s="3" t="s">
        <v>137</v>
      </c>
      <c r="E148" s="3" t="s">
        <v>138</v>
      </c>
      <c r="F148" s="3" t="s">
        <v>17</v>
      </c>
      <c r="G148" s="3" t="n">
        <v>53</v>
      </c>
      <c r="H148" s="3"/>
      <c r="I148" s="3" t="s">
        <v>15</v>
      </c>
      <c r="J148" s="7"/>
      <c r="K148" s="7"/>
      <c r="L148" s="7"/>
    </row>
    <row r="149" customFormat="false" ht="15" hidden="false" customHeight="false" outlineLevel="0" collapsed="false">
      <c r="A149" s="2" t="s">
        <v>139</v>
      </c>
      <c r="B149" s="3" t="s">
        <v>135</v>
      </c>
      <c r="C149" s="3" t="s">
        <v>136</v>
      </c>
      <c r="D149" s="3" t="s">
        <v>137</v>
      </c>
      <c r="E149" s="3" t="s">
        <v>138</v>
      </c>
      <c r="F149" s="3" t="s">
        <v>14</v>
      </c>
      <c r="G149" s="3" t="n">
        <v>45</v>
      </c>
      <c r="H149" s="3" t="n">
        <v>18211</v>
      </c>
      <c r="I149" s="3" t="s">
        <v>15</v>
      </c>
      <c r="J149" s="7"/>
      <c r="K149" s="7"/>
      <c r="L149" s="7"/>
    </row>
    <row r="150" customFormat="false" ht="15" hidden="false" customHeight="false" outlineLevel="0" collapsed="false">
      <c r="A150" s="2" t="s">
        <v>105</v>
      </c>
      <c r="B150" s="3" t="s">
        <v>135</v>
      </c>
      <c r="C150" s="3" t="s">
        <v>136</v>
      </c>
      <c r="D150" s="3" t="s">
        <v>137</v>
      </c>
      <c r="E150" s="3" t="s">
        <v>138</v>
      </c>
      <c r="F150" s="3" t="s">
        <v>17</v>
      </c>
      <c r="G150" s="3" t="n">
        <v>34</v>
      </c>
      <c r="H150" s="3"/>
      <c r="I150" s="3" t="s">
        <v>15</v>
      </c>
      <c r="J150" s="7"/>
      <c r="K150" s="7"/>
      <c r="L150" s="7"/>
    </row>
    <row r="151" customFormat="false" ht="15" hidden="false" customHeight="false" outlineLevel="0" collapsed="false">
      <c r="A151" s="2" t="s">
        <v>140</v>
      </c>
      <c r="B151" s="3" t="s">
        <v>135</v>
      </c>
      <c r="C151" s="3" t="s">
        <v>136</v>
      </c>
      <c r="D151" s="3" t="s">
        <v>137</v>
      </c>
      <c r="E151" s="3" t="s">
        <v>138</v>
      </c>
      <c r="F151" s="3" t="s">
        <v>14</v>
      </c>
      <c r="G151" s="3" t="n">
        <v>57</v>
      </c>
      <c r="H151" s="3" t="n">
        <v>17225</v>
      </c>
      <c r="I151" s="3" t="s">
        <v>15</v>
      </c>
      <c r="J151" s="7"/>
      <c r="K151" s="7"/>
      <c r="L151" s="7"/>
    </row>
    <row r="152" customFormat="false" ht="15" hidden="false" customHeight="false" outlineLevel="0" collapsed="false">
      <c r="A152" s="2" t="s">
        <v>141</v>
      </c>
      <c r="B152" s="3" t="s">
        <v>135</v>
      </c>
      <c r="C152" s="3" t="s">
        <v>136</v>
      </c>
      <c r="D152" s="3" t="s">
        <v>137</v>
      </c>
      <c r="E152" s="3" t="s">
        <v>138</v>
      </c>
      <c r="F152" s="3" t="s">
        <v>17</v>
      </c>
      <c r="G152" s="3" t="n">
        <v>32</v>
      </c>
      <c r="H152" s="3"/>
      <c r="I152" s="3" t="s">
        <v>15</v>
      </c>
      <c r="J152" s="7"/>
      <c r="K152" s="7"/>
      <c r="L152" s="7"/>
    </row>
    <row r="153" customFormat="false" ht="15" hidden="false" customHeight="false" outlineLevel="0" collapsed="false">
      <c r="A153" s="2" t="s">
        <v>66</v>
      </c>
      <c r="B153" s="3" t="s">
        <v>135</v>
      </c>
      <c r="C153" s="3" t="s">
        <v>136</v>
      </c>
      <c r="D153" s="3" t="s">
        <v>137</v>
      </c>
      <c r="E153" s="3" t="s">
        <v>138</v>
      </c>
      <c r="F153" s="3" t="s">
        <v>17</v>
      </c>
      <c r="G153" s="3" t="n">
        <v>43</v>
      </c>
      <c r="H153" s="3"/>
      <c r="I153" s="3" t="s">
        <v>15</v>
      </c>
      <c r="J153" s="7"/>
      <c r="K153" s="7"/>
      <c r="L153" s="7"/>
    </row>
    <row r="154" customFormat="false" ht="15" hidden="false" customHeight="false" outlineLevel="0" collapsed="false">
      <c r="A154" s="2" t="s">
        <v>22</v>
      </c>
      <c r="B154" s="3" t="s">
        <v>135</v>
      </c>
      <c r="C154" s="3" t="s">
        <v>136</v>
      </c>
      <c r="D154" s="3" t="s">
        <v>137</v>
      </c>
      <c r="E154" s="3" t="s">
        <v>138</v>
      </c>
      <c r="F154" s="3" t="s">
        <v>14</v>
      </c>
      <c r="G154" s="3" t="n">
        <v>100</v>
      </c>
      <c r="H154" s="3" t="n">
        <v>19986</v>
      </c>
      <c r="I154" s="3" t="s">
        <v>15</v>
      </c>
      <c r="J154" s="7"/>
      <c r="K154" s="7"/>
      <c r="L154" s="7"/>
    </row>
    <row r="155" customFormat="false" ht="15" hidden="false" customHeight="false" outlineLevel="0" collapsed="false">
      <c r="A155" s="2" t="s">
        <v>142</v>
      </c>
      <c r="B155" s="3" t="s">
        <v>135</v>
      </c>
      <c r="C155" s="3" t="s">
        <v>136</v>
      </c>
      <c r="D155" s="3" t="s">
        <v>137</v>
      </c>
      <c r="E155" s="3" t="s">
        <v>138</v>
      </c>
      <c r="F155" s="3" t="s">
        <v>14</v>
      </c>
      <c r="G155" s="3" t="n">
        <v>165</v>
      </c>
      <c r="H155" s="3" t="n">
        <v>16390</v>
      </c>
      <c r="I155" s="3" t="s">
        <v>15</v>
      </c>
      <c r="J155" s="7"/>
      <c r="K155" s="7"/>
      <c r="L155" s="7"/>
    </row>
    <row r="156" customFormat="false" ht="15" hidden="false" customHeight="false" outlineLevel="0" collapsed="false">
      <c r="A156" s="2" t="s">
        <v>71</v>
      </c>
      <c r="B156" s="3" t="s">
        <v>135</v>
      </c>
      <c r="C156" s="3" t="s">
        <v>136</v>
      </c>
      <c r="D156" s="3" t="s">
        <v>137</v>
      </c>
      <c r="E156" s="3" t="s">
        <v>138</v>
      </c>
      <c r="F156" s="3" t="s">
        <v>14</v>
      </c>
      <c r="G156" s="3" t="n">
        <v>61</v>
      </c>
      <c r="H156" s="3" t="n">
        <v>16491</v>
      </c>
      <c r="I156" s="3" t="s">
        <v>15</v>
      </c>
      <c r="J156" s="7"/>
      <c r="K156" s="7"/>
      <c r="L156" s="7"/>
    </row>
    <row r="157" customFormat="false" ht="15" hidden="false" customHeight="false" outlineLevel="0" collapsed="false">
      <c r="A157" s="2" t="s">
        <v>143</v>
      </c>
      <c r="B157" s="3" t="s">
        <v>135</v>
      </c>
      <c r="C157" s="3" t="s">
        <v>136</v>
      </c>
      <c r="D157" s="3" t="s">
        <v>137</v>
      </c>
      <c r="E157" s="3" t="s">
        <v>138</v>
      </c>
      <c r="F157" s="3" t="s">
        <v>17</v>
      </c>
      <c r="G157" s="3" t="n">
        <v>70</v>
      </c>
      <c r="H157" s="3"/>
      <c r="I157" s="3" t="s">
        <v>15</v>
      </c>
      <c r="J157" s="7"/>
      <c r="K157" s="7"/>
      <c r="L157" s="7"/>
    </row>
    <row r="158" customFormat="false" ht="15" hidden="false" customHeight="false" outlineLevel="0" collapsed="false">
      <c r="A158" s="2" t="s">
        <v>144</v>
      </c>
      <c r="B158" s="3" t="s">
        <v>135</v>
      </c>
      <c r="C158" s="3" t="s">
        <v>136</v>
      </c>
      <c r="D158" s="3" t="s">
        <v>137</v>
      </c>
      <c r="E158" s="3" t="s">
        <v>138</v>
      </c>
      <c r="F158" s="3" t="s">
        <v>14</v>
      </c>
      <c r="G158" s="3" t="n">
        <v>105</v>
      </c>
      <c r="H158" s="3" t="n">
        <v>18128</v>
      </c>
      <c r="I158" s="3" t="s">
        <v>15</v>
      </c>
      <c r="J158" s="7"/>
      <c r="K158" s="7"/>
      <c r="L158" s="7"/>
    </row>
    <row r="159" customFormat="false" ht="15" hidden="false" customHeight="false" outlineLevel="0" collapsed="false">
      <c r="A159" s="2" t="s">
        <v>27</v>
      </c>
      <c r="B159" s="3" t="s">
        <v>135</v>
      </c>
      <c r="C159" s="3" t="s">
        <v>136</v>
      </c>
      <c r="D159" s="3" t="s">
        <v>137</v>
      </c>
      <c r="E159" s="3" t="s">
        <v>138</v>
      </c>
      <c r="F159" s="3" t="s">
        <v>14</v>
      </c>
      <c r="G159" s="3" t="n">
        <v>162</v>
      </c>
      <c r="H159" s="3" t="n">
        <v>18111</v>
      </c>
      <c r="I159" s="3" t="s">
        <v>15</v>
      </c>
      <c r="J159" s="7"/>
      <c r="K159" s="7"/>
      <c r="L159" s="7"/>
    </row>
    <row r="160" customFormat="false" ht="15" hidden="false" customHeight="false" outlineLevel="0" collapsed="false">
      <c r="A160" s="2" t="s">
        <v>74</v>
      </c>
      <c r="B160" s="3" t="s">
        <v>135</v>
      </c>
      <c r="C160" s="3" t="s">
        <v>136</v>
      </c>
      <c r="D160" s="3" t="s">
        <v>137</v>
      </c>
      <c r="E160" s="3" t="s">
        <v>138</v>
      </c>
      <c r="F160" s="3" t="s">
        <v>14</v>
      </c>
      <c r="G160" s="3" t="n">
        <v>51</v>
      </c>
      <c r="H160" s="3" t="n">
        <v>18876</v>
      </c>
      <c r="I160" s="3" t="s">
        <v>15</v>
      </c>
      <c r="J160" s="7"/>
      <c r="K160" s="7"/>
      <c r="L160" s="7"/>
    </row>
    <row r="161" customFormat="false" ht="15" hidden="false" customHeight="false" outlineLevel="0" collapsed="false">
      <c r="A161" s="2" t="s">
        <v>145</v>
      </c>
      <c r="B161" s="3" t="s">
        <v>135</v>
      </c>
      <c r="C161" s="3" t="s">
        <v>136</v>
      </c>
      <c r="D161" s="3" t="s">
        <v>137</v>
      </c>
      <c r="E161" s="3" t="s">
        <v>138</v>
      </c>
      <c r="F161" s="3" t="s">
        <v>17</v>
      </c>
      <c r="G161" s="3" t="n">
        <v>35</v>
      </c>
      <c r="H161" s="3"/>
      <c r="I161" s="3" t="s">
        <v>15</v>
      </c>
      <c r="J161" s="7"/>
      <c r="K161" s="7"/>
      <c r="L161" s="7"/>
    </row>
    <row r="162" customFormat="false" ht="15" hidden="false" customHeight="false" outlineLevel="0" collapsed="false">
      <c r="A162" s="2" t="s">
        <v>30</v>
      </c>
      <c r="B162" s="3" t="s">
        <v>135</v>
      </c>
      <c r="C162" s="3" t="s">
        <v>136</v>
      </c>
      <c r="D162" s="3" t="s">
        <v>137</v>
      </c>
      <c r="E162" s="3" t="s">
        <v>138</v>
      </c>
      <c r="F162" s="3" t="s">
        <v>17</v>
      </c>
      <c r="G162" s="3" t="n">
        <v>93</v>
      </c>
      <c r="H162" s="3"/>
      <c r="I162" s="3" t="s">
        <v>15</v>
      </c>
      <c r="J162" s="7"/>
      <c r="K162" s="7"/>
      <c r="L162" s="7"/>
    </row>
    <row r="163" customFormat="false" ht="15" hidden="false" customHeight="false" outlineLevel="0" collapsed="false">
      <c r="A163" s="2" t="s">
        <v>31</v>
      </c>
      <c r="B163" s="3" t="s">
        <v>135</v>
      </c>
      <c r="C163" s="3" t="s">
        <v>136</v>
      </c>
      <c r="D163" s="3" t="s">
        <v>137</v>
      </c>
      <c r="E163" s="3" t="s">
        <v>138</v>
      </c>
      <c r="F163" s="3" t="s">
        <v>14</v>
      </c>
      <c r="G163" s="3" t="n">
        <v>92</v>
      </c>
      <c r="H163" s="3" t="n">
        <v>18909</v>
      </c>
      <c r="I163" s="3" t="s">
        <v>15</v>
      </c>
      <c r="J163" s="7"/>
      <c r="K163" s="7"/>
      <c r="L163" s="7"/>
    </row>
    <row r="164" customFormat="false" ht="15" hidden="false" customHeight="false" outlineLevel="0" collapsed="false">
      <c r="A164" s="2" t="s">
        <v>114</v>
      </c>
      <c r="B164" s="3" t="s">
        <v>135</v>
      </c>
      <c r="C164" s="3" t="s">
        <v>136</v>
      </c>
      <c r="D164" s="3" t="s">
        <v>137</v>
      </c>
      <c r="E164" s="3" t="s">
        <v>138</v>
      </c>
      <c r="F164" s="3" t="s">
        <v>17</v>
      </c>
      <c r="G164" s="3" t="n">
        <v>72</v>
      </c>
      <c r="H164" s="3"/>
      <c r="I164" s="3" t="s">
        <v>15</v>
      </c>
      <c r="J164" s="7"/>
      <c r="K164" s="7"/>
      <c r="L164" s="7"/>
    </row>
    <row r="165" customFormat="false" ht="15" hidden="false" customHeight="false" outlineLevel="0" collapsed="false">
      <c r="A165" s="2" t="s">
        <v>77</v>
      </c>
      <c r="B165" s="3" t="s">
        <v>135</v>
      </c>
      <c r="C165" s="3" t="s">
        <v>136</v>
      </c>
      <c r="D165" s="3" t="s">
        <v>137</v>
      </c>
      <c r="E165" s="3" t="s">
        <v>138</v>
      </c>
      <c r="F165" s="3" t="s">
        <v>14</v>
      </c>
      <c r="G165" s="3" t="n">
        <v>40</v>
      </c>
      <c r="H165" s="3" t="n">
        <v>19121</v>
      </c>
      <c r="I165" s="3" t="s">
        <v>15</v>
      </c>
      <c r="J165" s="7"/>
      <c r="K165" s="7"/>
      <c r="L165" s="7"/>
    </row>
    <row r="166" customFormat="false" ht="15" hidden="false" customHeight="false" outlineLevel="0" collapsed="false">
      <c r="A166" s="2" t="s">
        <v>146</v>
      </c>
      <c r="B166" s="3" t="s">
        <v>135</v>
      </c>
      <c r="C166" s="3" t="s">
        <v>136</v>
      </c>
      <c r="D166" s="3" t="s">
        <v>137</v>
      </c>
      <c r="E166" s="3" t="s">
        <v>138</v>
      </c>
      <c r="F166" s="3" t="s">
        <v>14</v>
      </c>
      <c r="G166" s="3" t="n">
        <v>181</v>
      </c>
      <c r="H166" s="3" t="n">
        <v>17186</v>
      </c>
      <c r="I166" s="3" t="s">
        <v>15</v>
      </c>
      <c r="J166" s="7"/>
      <c r="K166" s="7"/>
      <c r="L166" s="7"/>
    </row>
    <row r="167" customFormat="false" ht="15" hidden="false" customHeight="false" outlineLevel="0" collapsed="false">
      <c r="A167" s="2" t="s">
        <v>36</v>
      </c>
      <c r="B167" s="3" t="s">
        <v>135</v>
      </c>
      <c r="C167" s="3" t="s">
        <v>136</v>
      </c>
      <c r="D167" s="3" t="s">
        <v>137</v>
      </c>
      <c r="E167" s="3" t="s">
        <v>138</v>
      </c>
      <c r="F167" s="3" t="s">
        <v>17</v>
      </c>
      <c r="G167" s="3" t="n">
        <v>53</v>
      </c>
      <c r="H167" s="3"/>
      <c r="I167" s="3" t="s">
        <v>15</v>
      </c>
      <c r="J167" s="7"/>
      <c r="K167" s="7"/>
      <c r="L167" s="7"/>
    </row>
    <row r="168" customFormat="false" ht="15" hidden="false" customHeight="false" outlineLevel="0" collapsed="false">
      <c r="A168" s="2" t="s">
        <v>119</v>
      </c>
      <c r="B168" s="3" t="s">
        <v>135</v>
      </c>
      <c r="C168" s="3" t="s">
        <v>136</v>
      </c>
      <c r="D168" s="3" t="s">
        <v>137</v>
      </c>
      <c r="E168" s="3" t="s">
        <v>138</v>
      </c>
      <c r="F168" s="3" t="s">
        <v>17</v>
      </c>
      <c r="G168" s="3" t="n">
        <v>83</v>
      </c>
      <c r="H168" s="3"/>
      <c r="I168" s="3" t="s">
        <v>15</v>
      </c>
      <c r="J168" s="7"/>
      <c r="K168" s="7"/>
      <c r="L168" s="7"/>
    </row>
    <row r="169" customFormat="false" ht="15" hidden="false" customHeight="false" outlineLevel="0" collapsed="false">
      <c r="A169" s="2" t="s">
        <v>147</v>
      </c>
      <c r="B169" s="3" t="s">
        <v>135</v>
      </c>
      <c r="C169" s="3" t="s">
        <v>136</v>
      </c>
      <c r="D169" s="3" t="s">
        <v>137</v>
      </c>
      <c r="E169" s="3" t="s">
        <v>138</v>
      </c>
      <c r="F169" s="3" t="s">
        <v>17</v>
      </c>
      <c r="G169" s="3" t="n">
        <v>19</v>
      </c>
      <c r="H169" s="3"/>
      <c r="I169" s="3" t="s">
        <v>15</v>
      </c>
      <c r="J169" s="7"/>
      <c r="K169" s="7"/>
      <c r="L169" s="7"/>
    </row>
    <row r="170" customFormat="false" ht="15" hidden="false" customHeight="false" outlineLevel="0" collapsed="false">
      <c r="A170" s="2" t="s">
        <v>120</v>
      </c>
      <c r="B170" s="3" t="s">
        <v>135</v>
      </c>
      <c r="C170" s="3" t="s">
        <v>136</v>
      </c>
      <c r="D170" s="3" t="s">
        <v>137</v>
      </c>
      <c r="E170" s="3" t="s">
        <v>138</v>
      </c>
      <c r="F170" s="3" t="s">
        <v>14</v>
      </c>
      <c r="G170" s="3" t="n">
        <v>78</v>
      </c>
      <c r="H170" s="3" t="n">
        <v>18568</v>
      </c>
      <c r="I170" s="3" t="s">
        <v>15</v>
      </c>
      <c r="J170" s="7"/>
      <c r="K170" s="7"/>
      <c r="L170" s="7"/>
    </row>
    <row r="171" customFormat="false" ht="15" hidden="false" customHeight="false" outlineLevel="0" collapsed="false">
      <c r="A171" s="2" t="s">
        <v>40</v>
      </c>
      <c r="B171" s="3" t="s">
        <v>135</v>
      </c>
      <c r="C171" s="3" t="s">
        <v>136</v>
      </c>
      <c r="D171" s="3" t="s">
        <v>137</v>
      </c>
      <c r="E171" s="3" t="s">
        <v>138</v>
      </c>
      <c r="F171" s="3" t="s">
        <v>17</v>
      </c>
      <c r="G171" s="3" t="n">
        <v>100</v>
      </c>
      <c r="H171" s="3"/>
      <c r="I171" s="3" t="s">
        <v>15</v>
      </c>
      <c r="J171" s="7"/>
      <c r="K171" s="7"/>
      <c r="L171" s="7"/>
    </row>
    <row r="172" customFormat="false" ht="15" hidden="false" customHeight="false" outlineLevel="0" collapsed="false">
      <c r="A172" s="2" t="s">
        <v>148</v>
      </c>
      <c r="B172" s="3" t="s">
        <v>135</v>
      </c>
      <c r="C172" s="3" t="s">
        <v>136</v>
      </c>
      <c r="D172" s="3" t="s">
        <v>137</v>
      </c>
      <c r="E172" s="3" t="s">
        <v>138</v>
      </c>
      <c r="F172" s="3" t="s">
        <v>17</v>
      </c>
      <c r="G172" s="3" t="n">
        <v>60</v>
      </c>
      <c r="H172" s="3"/>
      <c r="I172" s="3" t="s">
        <v>15</v>
      </c>
      <c r="J172" s="7"/>
      <c r="K172" s="7"/>
      <c r="L172" s="7"/>
    </row>
    <row r="173" customFormat="false" ht="15" hidden="false" customHeight="false" outlineLevel="0" collapsed="false">
      <c r="A173" s="2" t="s">
        <v>41</v>
      </c>
      <c r="B173" s="3" t="s">
        <v>135</v>
      </c>
      <c r="C173" s="3" t="s">
        <v>136</v>
      </c>
      <c r="D173" s="3" t="s">
        <v>137</v>
      </c>
      <c r="E173" s="3" t="s">
        <v>138</v>
      </c>
      <c r="F173" s="3" t="s">
        <v>17</v>
      </c>
      <c r="G173" s="3" t="n">
        <v>109</v>
      </c>
      <c r="H173" s="3"/>
      <c r="I173" s="3" t="s">
        <v>15</v>
      </c>
      <c r="J173" s="7"/>
      <c r="K173" s="7"/>
      <c r="L173" s="7"/>
    </row>
    <row r="174" customFormat="false" ht="15" hidden="false" customHeight="false" outlineLevel="0" collapsed="false">
      <c r="A174" s="2" t="s">
        <v>123</v>
      </c>
      <c r="B174" s="3" t="s">
        <v>135</v>
      </c>
      <c r="C174" s="3" t="s">
        <v>136</v>
      </c>
      <c r="D174" s="3" t="s">
        <v>137</v>
      </c>
      <c r="E174" s="3" t="s">
        <v>138</v>
      </c>
      <c r="F174" s="3" t="s">
        <v>17</v>
      </c>
      <c r="G174" s="3" t="n">
        <v>76</v>
      </c>
      <c r="H174" s="3"/>
      <c r="I174" s="3" t="s">
        <v>15</v>
      </c>
      <c r="J174" s="7"/>
      <c r="K174" s="7"/>
      <c r="L174" s="7"/>
    </row>
    <row r="175" customFormat="false" ht="15" hidden="false" customHeight="false" outlineLevel="0" collapsed="false">
      <c r="A175" s="2" t="s">
        <v>149</v>
      </c>
      <c r="B175" s="3" t="s">
        <v>135</v>
      </c>
      <c r="C175" s="3" t="s">
        <v>136</v>
      </c>
      <c r="D175" s="3" t="s">
        <v>137</v>
      </c>
      <c r="E175" s="3" t="s">
        <v>138</v>
      </c>
      <c r="F175" s="3" t="s">
        <v>14</v>
      </c>
      <c r="G175" s="3" t="n">
        <v>67</v>
      </c>
      <c r="H175" s="3" t="n">
        <v>16189</v>
      </c>
      <c r="I175" s="3" t="s">
        <v>15</v>
      </c>
      <c r="J175" s="7"/>
      <c r="K175" s="7"/>
      <c r="L175" s="7"/>
    </row>
    <row r="176" customFormat="false" ht="15" hidden="false" customHeight="false" outlineLevel="0" collapsed="false">
      <c r="A176" s="2" t="s">
        <v>82</v>
      </c>
      <c r="B176" s="3" t="s">
        <v>135</v>
      </c>
      <c r="C176" s="3" t="s">
        <v>136</v>
      </c>
      <c r="D176" s="3" t="s">
        <v>137</v>
      </c>
      <c r="E176" s="3" t="s">
        <v>138</v>
      </c>
      <c r="F176" s="3" t="s">
        <v>17</v>
      </c>
      <c r="G176" s="3" t="n">
        <v>94</v>
      </c>
      <c r="H176" s="3"/>
      <c r="I176" s="3" t="s">
        <v>15</v>
      </c>
      <c r="J176" s="7"/>
      <c r="K176" s="7"/>
      <c r="L176" s="7"/>
    </row>
    <row r="177" customFormat="false" ht="15" hidden="false" customHeight="false" outlineLevel="0" collapsed="false">
      <c r="A177" s="2" t="s">
        <v>124</v>
      </c>
      <c r="B177" s="3" t="s">
        <v>135</v>
      </c>
      <c r="C177" s="3" t="s">
        <v>136</v>
      </c>
      <c r="D177" s="3" t="s">
        <v>137</v>
      </c>
      <c r="E177" s="3" t="s">
        <v>138</v>
      </c>
      <c r="F177" s="3" t="s">
        <v>17</v>
      </c>
      <c r="G177" s="3" t="n">
        <v>99</v>
      </c>
      <c r="H177" s="3"/>
      <c r="I177" s="3" t="s">
        <v>15</v>
      </c>
      <c r="J177" s="7"/>
      <c r="K177" s="7"/>
      <c r="L177" s="7"/>
    </row>
    <row r="178" customFormat="false" ht="15" hidden="false" customHeight="false" outlineLevel="0" collapsed="false">
      <c r="A178" s="2" t="s">
        <v>150</v>
      </c>
      <c r="B178" s="3" t="s">
        <v>135</v>
      </c>
      <c r="C178" s="3" t="s">
        <v>136</v>
      </c>
      <c r="D178" s="3" t="s">
        <v>137</v>
      </c>
      <c r="E178" s="3" t="s">
        <v>138</v>
      </c>
      <c r="F178" s="3" t="s">
        <v>14</v>
      </c>
      <c r="G178" s="3" t="n">
        <v>62</v>
      </c>
      <c r="H178" s="3" t="n">
        <v>19252</v>
      </c>
      <c r="I178" s="3" t="s">
        <v>15</v>
      </c>
      <c r="J178" s="7"/>
      <c r="K178" s="7"/>
      <c r="L178" s="7"/>
    </row>
    <row r="179" customFormat="false" ht="15" hidden="false" customHeight="false" outlineLevel="0" collapsed="false">
      <c r="A179" s="2" t="s">
        <v>47</v>
      </c>
      <c r="B179" s="3" t="s">
        <v>135</v>
      </c>
      <c r="C179" s="3" t="s">
        <v>136</v>
      </c>
      <c r="D179" s="3" t="s">
        <v>137</v>
      </c>
      <c r="E179" s="3" t="s">
        <v>138</v>
      </c>
      <c r="F179" s="3" t="s">
        <v>14</v>
      </c>
      <c r="G179" s="3" t="n">
        <v>141</v>
      </c>
      <c r="H179" s="3" t="n">
        <v>20492</v>
      </c>
      <c r="I179" s="3" t="s">
        <v>15</v>
      </c>
      <c r="J179" s="7"/>
      <c r="K179" s="7"/>
      <c r="L179" s="7"/>
    </row>
    <row r="180" customFormat="false" ht="15" hidden="false" customHeight="false" outlineLevel="0" collapsed="false">
      <c r="A180" s="2" t="s">
        <v>84</v>
      </c>
      <c r="B180" s="3" t="s">
        <v>135</v>
      </c>
      <c r="C180" s="3" t="s">
        <v>136</v>
      </c>
      <c r="D180" s="3" t="s">
        <v>137</v>
      </c>
      <c r="E180" s="3" t="s">
        <v>138</v>
      </c>
      <c r="F180" s="3" t="s">
        <v>14</v>
      </c>
      <c r="G180" s="3" t="n">
        <v>121</v>
      </c>
      <c r="H180" s="3" t="n">
        <v>20292</v>
      </c>
      <c r="I180" s="3" t="s">
        <v>15</v>
      </c>
      <c r="J180" s="7"/>
      <c r="K180" s="7"/>
      <c r="L180" s="7"/>
    </row>
    <row r="181" customFormat="false" ht="15" hidden="false" customHeight="false" outlineLevel="0" collapsed="false">
      <c r="A181" s="2" t="s">
        <v>125</v>
      </c>
      <c r="B181" s="3" t="s">
        <v>135</v>
      </c>
      <c r="C181" s="3" t="s">
        <v>136</v>
      </c>
      <c r="D181" s="3" t="s">
        <v>137</v>
      </c>
      <c r="E181" s="3" t="s">
        <v>138</v>
      </c>
      <c r="F181" s="3" t="s">
        <v>14</v>
      </c>
      <c r="G181" s="3" t="n">
        <v>178</v>
      </c>
      <c r="H181" s="3" t="n">
        <v>17272</v>
      </c>
      <c r="I181" s="3" t="s">
        <v>15</v>
      </c>
      <c r="J181" s="7"/>
      <c r="K181" s="7"/>
      <c r="L181" s="7"/>
    </row>
    <row r="182" customFormat="false" ht="15" hidden="false" customHeight="false" outlineLevel="0" collapsed="false">
      <c r="A182" s="2" t="s">
        <v>85</v>
      </c>
      <c r="B182" s="3" t="s">
        <v>135</v>
      </c>
      <c r="C182" s="3" t="s">
        <v>136</v>
      </c>
      <c r="D182" s="3" t="s">
        <v>137</v>
      </c>
      <c r="E182" s="3" t="s">
        <v>138</v>
      </c>
      <c r="F182" s="3" t="s">
        <v>17</v>
      </c>
      <c r="G182" s="3" t="n">
        <v>59</v>
      </c>
      <c r="H182" s="3"/>
      <c r="I182" s="3" t="s">
        <v>15</v>
      </c>
      <c r="J182" s="7"/>
      <c r="K182" s="7"/>
      <c r="L182" s="7"/>
    </row>
    <row r="183" customFormat="false" ht="15" hidden="false" customHeight="false" outlineLevel="0" collapsed="false">
      <c r="A183" s="2" t="s">
        <v>86</v>
      </c>
      <c r="B183" s="3" t="s">
        <v>135</v>
      </c>
      <c r="C183" s="3" t="s">
        <v>136</v>
      </c>
      <c r="D183" s="3" t="s">
        <v>137</v>
      </c>
      <c r="E183" s="3" t="s">
        <v>138</v>
      </c>
      <c r="F183" s="3" t="s">
        <v>14</v>
      </c>
      <c r="G183" s="3" t="n">
        <v>92</v>
      </c>
      <c r="H183" s="3" t="n">
        <v>19630</v>
      </c>
      <c r="I183" s="3" t="s">
        <v>15</v>
      </c>
      <c r="J183" s="7"/>
      <c r="K183" s="7"/>
      <c r="L183" s="7"/>
    </row>
    <row r="184" customFormat="false" ht="15" hidden="false" customHeight="false" outlineLevel="0" collapsed="false">
      <c r="A184" s="2" t="s">
        <v>128</v>
      </c>
      <c r="B184" s="3" t="s">
        <v>135</v>
      </c>
      <c r="C184" s="3" t="s">
        <v>136</v>
      </c>
      <c r="D184" s="3" t="s">
        <v>137</v>
      </c>
      <c r="E184" s="3" t="s">
        <v>138</v>
      </c>
      <c r="F184" s="3" t="s">
        <v>14</v>
      </c>
      <c r="G184" s="3" t="n">
        <v>154</v>
      </c>
      <c r="H184" s="3" t="n">
        <v>17397</v>
      </c>
      <c r="I184" s="3" t="s">
        <v>15</v>
      </c>
      <c r="J184" s="7"/>
      <c r="K184" s="7"/>
      <c r="L184" s="7"/>
    </row>
    <row r="185" customFormat="false" ht="15" hidden="false" customHeight="false" outlineLevel="0" collapsed="false">
      <c r="A185" s="2" t="s">
        <v>151</v>
      </c>
      <c r="B185" s="3" t="s">
        <v>135</v>
      </c>
      <c r="C185" s="3" t="s">
        <v>136</v>
      </c>
      <c r="D185" s="3" t="s">
        <v>137</v>
      </c>
      <c r="E185" s="3" t="s">
        <v>138</v>
      </c>
      <c r="F185" s="3" t="s">
        <v>14</v>
      </c>
      <c r="G185" s="3" t="n">
        <v>111</v>
      </c>
      <c r="H185" s="3" t="n">
        <v>18664</v>
      </c>
      <c r="I185" s="3" t="s">
        <v>15</v>
      </c>
      <c r="J185" s="7"/>
      <c r="K185" s="7"/>
      <c r="L185" s="7"/>
    </row>
    <row r="186" customFormat="false" ht="15" hidden="false" customHeight="false" outlineLevel="0" collapsed="false">
      <c r="A186" s="2" t="s">
        <v>129</v>
      </c>
      <c r="B186" s="3" t="s">
        <v>135</v>
      </c>
      <c r="C186" s="3" t="s">
        <v>136</v>
      </c>
      <c r="D186" s="3" t="s">
        <v>137</v>
      </c>
      <c r="E186" s="3" t="s">
        <v>138</v>
      </c>
      <c r="F186" s="3" t="s">
        <v>17</v>
      </c>
      <c r="G186" s="3" t="n">
        <v>79</v>
      </c>
      <c r="H186" s="3"/>
      <c r="I186" s="3" t="s">
        <v>15</v>
      </c>
      <c r="J186" s="7"/>
      <c r="K186" s="7"/>
      <c r="L186" s="7"/>
    </row>
    <row r="187" customFormat="false" ht="15" hidden="false" customHeight="false" outlineLevel="0" collapsed="false">
      <c r="A187" s="2" t="s">
        <v>52</v>
      </c>
      <c r="B187" s="3" t="s">
        <v>135</v>
      </c>
      <c r="C187" s="3" t="s">
        <v>136</v>
      </c>
      <c r="D187" s="3" t="s">
        <v>137</v>
      </c>
      <c r="E187" s="3" t="s">
        <v>138</v>
      </c>
      <c r="F187" s="3" t="s">
        <v>17</v>
      </c>
      <c r="G187" s="3" t="n">
        <v>27</v>
      </c>
      <c r="H187" s="3"/>
      <c r="I187" s="3" t="s">
        <v>15</v>
      </c>
      <c r="J187" s="7"/>
      <c r="K187" s="7"/>
      <c r="L187" s="7"/>
    </row>
    <row r="188" customFormat="false" ht="15" hidden="false" customHeight="false" outlineLevel="0" collapsed="false">
      <c r="A188" s="2" t="s">
        <v>54</v>
      </c>
      <c r="B188" s="3" t="s">
        <v>135</v>
      </c>
      <c r="C188" s="3" t="s">
        <v>136</v>
      </c>
      <c r="D188" s="3" t="s">
        <v>137</v>
      </c>
      <c r="E188" s="3" t="s">
        <v>138</v>
      </c>
      <c r="F188" s="3" t="s">
        <v>17</v>
      </c>
      <c r="G188" s="3" t="n">
        <v>85</v>
      </c>
      <c r="H188" s="3"/>
      <c r="I188" s="3" t="s">
        <v>15</v>
      </c>
      <c r="J188" s="7"/>
      <c r="K188" s="7"/>
      <c r="L188" s="7"/>
    </row>
    <row r="189" customFormat="false" ht="15" hidden="false" customHeight="false" outlineLevel="0" collapsed="false">
      <c r="A189" s="2" t="s">
        <v>152</v>
      </c>
      <c r="B189" s="3" t="s">
        <v>135</v>
      </c>
      <c r="C189" s="3" t="s">
        <v>136</v>
      </c>
      <c r="D189" s="3" t="s">
        <v>137</v>
      </c>
      <c r="E189" s="3" t="s">
        <v>138</v>
      </c>
      <c r="F189" s="3" t="s">
        <v>17</v>
      </c>
      <c r="G189" s="3" t="n">
        <v>105</v>
      </c>
      <c r="H189" s="3"/>
      <c r="I189" s="3" t="s">
        <v>15</v>
      </c>
      <c r="J189" s="7"/>
      <c r="K189" s="7"/>
      <c r="L189" s="7"/>
    </row>
    <row r="190" customFormat="false" ht="15" hidden="false" customHeight="false" outlineLevel="0" collapsed="false">
      <c r="A190" s="2" t="s">
        <v>153</v>
      </c>
      <c r="B190" s="3" t="s">
        <v>135</v>
      </c>
      <c r="C190" s="3" t="s">
        <v>136</v>
      </c>
      <c r="D190" s="3" t="s">
        <v>137</v>
      </c>
      <c r="E190" s="3" t="s">
        <v>138</v>
      </c>
      <c r="F190" s="3" t="s">
        <v>17</v>
      </c>
      <c r="G190" s="3" t="n">
        <v>65</v>
      </c>
      <c r="H190" s="3"/>
      <c r="I190" s="3" t="s">
        <v>15</v>
      </c>
      <c r="J190" s="7"/>
      <c r="K190" s="7"/>
      <c r="L190" s="7"/>
    </row>
    <row r="191" customFormat="false" ht="15" hidden="false" customHeight="false" outlineLevel="0" collapsed="false">
      <c r="A191" s="2" t="s">
        <v>154</v>
      </c>
      <c r="B191" s="3" t="s">
        <v>155</v>
      </c>
      <c r="C191" s="3" t="s">
        <v>156</v>
      </c>
      <c r="D191" s="3" t="s">
        <v>157</v>
      </c>
      <c r="E191" s="3" t="s">
        <v>138</v>
      </c>
      <c r="F191" s="3" t="s">
        <v>14</v>
      </c>
      <c r="G191" s="3" t="n">
        <v>60</v>
      </c>
      <c r="H191" s="3" t="n">
        <v>10711</v>
      </c>
      <c r="I191" s="3" t="s">
        <v>15</v>
      </c>
      <c r="J191" s="7"/>
      <c r="K191" s="7"/>
      <c r="L191" s="7"/>
    </row>
    <row r="192" customFormat="false" ht="15" hidden="false" customHeight="false" outlineLevel="0" collapsed="false">
      <c r="A192" s="2" t="s">
        <v>134</v>
      </c>
      <c r="B192" s="3" t="s">
        <v>155</v>
      </c>
      <c r="C192" s="3" t="s">
        <v>156</v>
      </c>
      <c r="D192" s="3" t="s">
        <v>157</v>
      </c>
      <c r="E192" s="3" t="s">
        <v>138</v>
      </c>
      <c r="F192" s="3" t="s">
        <v>17</v>
      </c>
      <c r="G192" s="3" t="n">
        <v>32</v>
      </c>
      <c r="H192" s="3"/>
      <c r="I192" s="3" t="s">
        <v>15</v>
      </c>
      <c r="J192" s="7"/>
      <c r="K192" s="7"/>
      <c r="L192" s="7"/>
    </row>
    <row r="193" customFormat="false" ht="15" hidden="false" customHeight="false" outlineLevel="0" collapsed="false">
      <c r="A193" s="2" t="s">
        <v>105</v>
      </c>
      <c r="B193" s="3" t="s">
        <v>155</v>
      </c>
      <c r="C193" s="3" t="s">
        <v>156</v>
      </c>
      <c r="D193" s="3" t="s">
        <v>157</v>
      </c>
      <c r="E193" s="3" t="s">
        <v>138</v>
      </c>
      <c r="F193" s="3" t="s">
        <v>14</v>
      </c>
      <c r="G193" s="3" t="n">
        <v>121</v>
      </c>
      <c r="H193" s="3" t="n">
        <v>13321</v>
      </c>
      <c r="I193" s="3" t="s">
        <v>15</v>
      </c>
      <c r="J193" s="7"/>
      <c r="K193" s="7"/>
      <c r="L193" s="7"/>
    </row>
    <row r="194" customFormat="false" ht="15" hidden="false" customHeight="false" outlineLevel="0" collapsed="false">
      <c r="A194" s="2" t="s">
        <v>65</v>
      </c>
      <c r="B194" s="3" t="s">
        <v>155</v>
      </c>
      <c r="C194" s="3" t="s">
        <v>156</v>
      </c>
      <c r="D194" s="3" t="s">
        <v>157</v>
      </c>
      <c r="E194" s="3" t="s">
        <v>138</v>
      </c>
      <c r="F194" s="3" t="s">
        <v>14</v>
      </c>
      <c r="G194" s="3" t="n">
        <v>23</v>
      </c>
      <c r="H194" s="3" t="n">
        <v>10562</v>
      </c>
      <c r="I194" s="3" t="s">
        <v>15</v>
      </c>
      <c r="J194" s="7"/>
      <c r="K194" s="7"/>
      <c r="L194" s="7"/>
    </row>
    <row r="195" customFormat="false" ht="15" hidden="false" customHeight="false" outlineLevel="0" collapsed="false">
      <c r="A195" s="2" t="s">
        <v>141</v>
      </c>
      <c r="B195" s="3" t="s">
        <v>155</v>
      </c>
      <c r="C195" s="3" t="s">
        <v>156</v>
      </c>
      <c r="D195" s="3" t="s">
        <v>157</v>
      </c>
      <c r="E195" s="3" t="s">
        <v>138</v>
      </c>
      <c r="F195" s="3" t="s">
        <v>17</v>
      </c>
      <c r="G195" s="3" t="n">
        <v>102</v>
      </c>
      <c r="H195" s="3"/>
      <c r="I195" s="3" t="s">
        <v>15</v>
      </c>
      <c r="J195" s="7"/>
      <c r="K195" s="7"/>
      <c r="L195" s="7"/>
    </row>
    <row r="196" customFormat="false" ht="15" hidden="false" customHeight="false" outlineLevel="0" collapsed="false">
      <c r="A196" s="2" t="s">
        <v>108</v>
      </c>
      <c r="B196" s="3" t="s">
        <v>155</v>
      </c>
      <c r="C196" s="3" t="s">
        <v>156</v>
      </c>
      <c r="D196" s="3" t="s">
        <v>157</v>
      </c>
      <c r="E196" s="3" t="s">
        <v>138</v>
      </c>
      <c r="F196" s="3" t="s">
        <v>17</v>
      </c>
      <c r="G196" s="3" t="n">
        <v>32</v>
      </c>
      <c r="H196" s="3"/>
      <c r="I196" s="3" t="s">
        <v>15</v>
      </c>
      <c r="J196" s="7"/>
      <c r="K196" s="7"/>
      <c r="L196" s="7"/>
    </row>
    <row r="197" customFormat="false" ht="15" hidden="false" customHeight="false" outlineLevel="0" collapsed="false">
      <c r="A197" s="2" t="s">
        <v>158</v>
      </c>
      <c r="B197" s="3" t="s">
        <v>155</v>
      </c>
      <c r="C197" s="3" t="s">
        <v>156</v>
      </c>
      <c r="D197" s="3" t="s">
        <v>157</v>
      </c>
      <c r="E197" s="3" t="s">
        <v>138</v>
      </c>
      <c r="F197" s="3" t="s">
        <v>17</v>
      </c>
      <c r="G197" s="3" t="n">
        <v>18</v>
      </c>
      <c r="H197" s="3"/>
      <c r="I197" s="3" t="s">
        <v>15</v>
      </c>
      <c r="J197" s="7"/>
      <c r="K197" s="7"/>
      <c r="L197" s="7"/>
    </row>
    <row r="198" customFormat="false" ht="15" hidden="false" customHeight="false" outlineLevel="0" collapsed="false">
      <c r="A198" s="2" t="s">
        <v>159</v>
      </c>
      <c r="B198" s="3" t="s">
        <v>155</v>
      </c>
      <c r="C198" s="3" t="s">
        <v>156</v>
      </c>
      <c r="D198" s="3" t="s">
        <v>157</v>
      </c>
      <c r="E198" s="3" t="s">
        <v>138</v>
      </c>
      <c r="F198" s="3" t="s">
        <v>14</v>
      </c>
      <c r="G198" s="3" t="n">
        <v>175</v>
      </c>
      <c r="H198" s="3" t="n">
        <v>11593</v>
      </c>
      <c r="I198" s="3" t="s">
        <v>15</v>
      </c>
      <c r="J198" s="7"/>
      <c r="K198" s="7"/>
      <c r="L198" s="7"/>
    </row>
    <row r="199" customFormat="false" ht="15" hidden="false" customHeight="false" outlineLevel="0" collapsed="false">
      <c r="A199" s="2" t="s">
        <v>70</v>
      </c>
      <c r="B199" s="3" t="s">
        <v>155</v>
      </c>
      <c r="C199" s="3" t="s">
        <v>156</v>
      </c>
      <c r="D199" s="3" t="s">
        <v>157</v>
      </c>
      <c r="E199" s="3" t="s">
        <v>138</v>
      </c>
      <c r="F199" s="3" t="s">
        <v>17</v>
      </c>
      <c r="G199" s="3" t="n">
        <v>83</v>
      </c>
      <c r="H199" s="3"/>
      <c r="I199" s="3" t="s">
        <v>15</v>
      </c>
      <c r="J199" s="7"/>
      <c r="K199" s="7"/>
      <c r="L199" s="7"/>
    </row>
    <row r="200" customFormat="false" ht="15" hidden="false" customHeight="false" outlineLevel="0" collapsed="false">
      <c r="A200" s="2" t="s">
        <v>23</v>
      </c>
      <c r="B200" s="3" t="s">
        <v>155</v>
      </c>
      <c r="C200" s="3" t="s">
        <v>156</v>
      </c>
      <c r="D200" s="3" t="s">
        <v>157</v>
      </c>
      <c r="E200" s="3" t="s">
        <v>138</v>
      </c>
      <c r="F200" s="3" t="s">
        <v>14</v>
      </c>
      <c r="G200" s="3" t="n">
        <v>124</v>
      </c>
      <c r="H200" s="3" t="n">
        <v>14147</v>
      </c>
      <c r="I200" s="3" t="s">
        <v>15</v>
      </c>
      <c r="J200" s="7"/>
      <c r="K200" s="7"/>
      <c r="L200" s="7"/>
    </row>
    <row r="201" customFormat="false" ht="15" hidden="false" customHeight="false" outlineLevel="0" collapsed="false">
      <c r="A201" s="2" t="s">
        <v>71</v>
      </c>
      <c r="B201" s="3" t="s">
        <v>155</v>
      </c>
      <c r="C201" s="3" t="s">
        <v>156</v>
      </c>
      <c r="D201" s="3" t="s">
        <v>157</v>
      </c>
      <c r="E201" s="3" t="s">
        <v>138</v>
      </c>
      <c r="F201" s="3" t="s">
        <v>17</v>
      </c>
      <c r="G201" s="3" t="n">
        <v>74</v>
      </c>
      <c r="H201" s="3"/>
      <c r="I201" s="3" t="s">
        <v>15</v>
      </c>
      <c r="J201" s="7"/>
      <c r="K201" s="7"/>
      <c r="L201" s="7"/>
    </row>
    <row r="202" customFormat="false" ht="15" hidden="false" customHeight="false" outlineLevel="0" collapsed="false">
      <c r="A202" s="2" t="s">
        <v>24</v>
      </c>
      <c r="B202" s="3" t="s">
        <v>155</v>
      </c>
      <c r="C202" s="3" t="s">
        <v>156</v>
      </c>
      <c r="D202" s="3" t="s">
        <v>157</v>
      </c>
      <c r="E202" s="3" t="s">
        <v>138</v>
      </c>
      <c r="F202" s="3" t="s">
        <v>14</v>
      </c>
      <c r="G202" s="3" t="n">
        <v>49</v>
      </c>
      <c r="H202" s="3" t="n">
        <v>14204</v>
      </c>
      <c r="I202" s="3" t="s">
        <v>15</v>
      </c>
      <c r="J202" s="7"/>
      <c r="K202" s="7"/>
      <c r="L202" s="7"/>
    </row>
    <row r="203" customFormat="false" ht="15" hidden="false" customHeight="false" outlineLevel="0" collapsed="false">
      <c r="A203" s="2" t="s">
        <v>160</v>
      </c>
      <c r="B203" s="3" t="s">
        <v>155</v>
      </c>
      <c r="C203" s="3" t="s">
        <v>156</v>
      </c>
      <c r="D203" s="3" t="s">
        <v>157</v>
      </c>
      <c r="E203" s="3" t="s">
        <v>138</v>
      </c>
      <c r="F203" s="3" t="s">
        <v>17</v>
      </c>
      <c r="G203" s="3" t="n">
        <v>114</v>
      </c>
      <c r="H203" s="3"/>
      <c r="I203" s="3" t="s">
        <v>15</v>
      </c>
      <c r="J203" s="7"/>
      <c r="K203" s="7"/>
      <c r="L203" s="7"/>
    </row>
    <row r="204" customFormat="false" ht="15" hidden="false" customHeight="false" outlineLevel="0" collapsed="false">
      <c r="A204" s="2" t="s">
        <v>27</v>
      </c>
      <c r="B204" s="3" t="s">
        <v>155</v>
      </c>
      <c r="C204" s="3" t="s">
        <v>156</v>
      </c>
      <c r="D204" s="3" t="s">
        <v>157</v>
      </c>
      <c r="E204" s="3" t="s">
        <v>138</v>
      </c>
      <c r="F204" s="3" t="s">
        <v>14</v>
      </c>
      <c r="G204" s="3" t="n">
        <v>133</v>
      </c>
      <c r="H204" s="3" t="n">
        <v>13089</v>
      </c>
      <c r="I204" s="3" t="s">
        <v>15</v>
      </c>
      <c r="J204" s="7"/>
      <c r="K204" s="7"/>
      <c r="L204" s="7"/>
    </row>
    <row r="205" customFormat="false" ht="15" hidden="false" customHeight="false" outlineLevel="0" collapsed="false">
      <c r="A205" s="2" t="s">
        <v>161</v>
      </c>
      <c r="B205" s="3" t="s">
        <v>155</v>
      </c>
      <c r="C205" s="3" t="s">
        <v>156</v>
      </c>
      <c r="D205" s="3" t="s">
        <v>157</v>
      </c>
      <c r="E205" s="3" t="s">
        <v>138</v>
      </c>
      <c r="F205" s="3" t="s">
        <v>17</v>
      </c>
      <c r="G205" s="3" t="n">
        <v>41</v>
      </c>
      <c r="H205" s="3"/>
      <c r="I205" s="3" t="s">
        <v>15</v>
      </c>
      <c r="J205" s="7"/>
      <c r="K205" s="7"/>
      <c r="L205" s="7"/>
    </row>
    <row r="206" customFormat="false" ht="15" hidden="false" customHeight="false" outlineLevel="0" collapsed="false">
      <c r="A206" s="2" t="s">
        <v>75</v>
      </c>
      <c r="B206" s="3" t="s">
        <v>155</v>
      </c>
      <c r="C206" s="3" t="s">
        <v>156</v>
      </c>
      <c r="D206" s="3" t="s">
        <v>157</v>
      </c>
      <c r="E206" s="3" t="s">
        <v>138</v>
      </c>
      <c r="F206" s="3" t="s">
        <v>17</v>
      </c>
      <c r="G206" s="3" t="n">
        <v>68</v>
      </c>
      <c r="H206" s="3"/>
      <c r="I206" s="3" t="s">
        <v>15</v>
      </c>
      <c r="J206" s="7"/>
      <c r="K206" s="7"/>
      <c r="L206" s="7"/>
    </row>
    <row r="207" customFormat="false" ht="15" hidden="false" customHeight="false" outlineLevel="0" collapsed="false">
      <c r="A207" s="2" t="s">
        <v>30</v>
      </c>
      <c r="B207" s="3" t="s">
        <v>155</v>
      </c>
      <c r="C207" s="3" t="s">
        <v>156</v>
      </c>
      <c r="D207" s="3" t="s">
        <v>157</v>
      </c>
      <c r="E207" s="3" t="s">
        <v>138</v>
      </c>
      <c r="F207" s="3" t="s">
        <v>17</v>
      </c>
      <c r="G207" s="3" t="n">
        <v>85</v>
      </c>
      <c r="H207" s="3"/>
      <c r="I207" s="3" t="s">
        <v>15</v>
      </c>
      <c r="J207" s="7"/>
      <c r="K207" s="7"/>
      <c r="L207" s="7"/>
    </row>
    <row r="208" customFormat="false" ht="15" hidden="false" customHeight="false" outlineLevel="0" collapsed="false">
      <c r="A208" s="2" t="s">
        <v>162</v>
      </c>
      <c r="B208" s="3" t="s">
        <v>155</v>
      </c>
      <c r="C208" s="3" t="s">
        <v>156</v>
      </c>
      <c r="D208" s="3" t="s">
        <v>157</v>
      </c>
      <c r="E208" s="3" t="s">
        <v>138</v>
      </c>
      <c r="F208" s="3" t="s">
        <v>17</v>
      </c>
      <c r="G208" s="3" t="n">
        <v>18</v>
      </c>
      <c r="H208" s="3"/>
      <c r="I208" s="3" t="s">
        <v>15</v>
      </c>
      <c r="J208" s="7"/>
      <c r="K208" s="7"/>
      <c r="L208" s="7"/>
    </row>
    <row r="209" customFormat="false" ht="15" hidden="false" customHeight="false" outlineLevel="0" collapsed="false">
      <c r="A209" s="2" t="s">
        <v>163</v>
      </c>
      <c r="B209" s="3" t="s">
        <v>155</v>
      </c>
      <c r="C209" s="3" t="s">
        <v>156</v>
      </c>
      <c r="D209" s="3" t="s">
        <v>157</v>
      </c>
      <c r="E209" s="3" t="s">
        <v>138</v>
      </c>
      <c r="F209" s="3" t="s">
        <v>14</v>
      </c>
      <c r="G209" s="3" t="n">
        <v>117</v>
      </c>
      <c r="H209" s="3" t="n">
        <v>11805</v>
      </c>
      <c r="I209" s="3" t="s">
        <v>15</v>
      </c>
      <c r="J209" s="7"/>
      <c r="K209" s="7"/>
      <c r="L209" s="7"/>
    </row>
    <row r="210" customFormat="false" ht="15" hidden="false" customHeight="false" outlineLevel="0" collapsed="false">
      <c r="A210" s="2" t="s">
        <v>114</v>
      </c>
      <c r="B210" s="3" t="s">
        <v>155</v>
      </c>
      <c r="C210" s="3" t="s">
        <v>156</v>
      </c>
      <c r="D210" s="3" t="s">
        <v>157</v>
      </c>
      <c r="E210" s="3" t="s">
        <v>138</v>
      </c>
      <c r="F210" s="3" t="s">
        <v>17</v>
      </c>
      <c r="G210" s="3" t="n">
        <v>112</v>
      </c>
      <c r="H210" s="3"/>
      <c r="I210" s="3" t="s">
        <v>15</v>
      </c>
      <c r="J210" s="7"/>
      <c r="K210" s="7"/>
      <c r="L210" s="7"/>
    </row>
    <row r="211" customFormat="false" ht="15" hidden="false" customHeight="false" outlineLevel="0" collapsed="false">
      <c r="A211" s="2" t="s">
        <v>116</v>
      </c>
      <c r="B211" s="3" t="s">
        <v>155</v>
      </c>
      <c r="C211" s="3" t="s">
        <v>156</v>
      </c>
      <c r="D211" s="3" t="s">
        <v>157</v>
      </c>
      <c r="E211" s="3" t="s">
        <v>138</v>
      </c>
      <c r="F211" s="3" t="s">
        <v>14</v>
      </c>
      <c r="G211" s="3" t="n">
        <v>125</v>
      </c>
      <c r="H211" s="3" t="n">
        <v>12892</v>
      </c>
      <c r="I211" s="3" t="s">
        <v>15</v>
      </c>
      <c r="J211" s="7"/>
      <c r="K211" s="7"/>
      <c r="L211" s="7"/>
    </row>
    <row r="212" customFormat="false" ht="15" hidden="false" customHeight="false" outlineLevel="0" collapsed="false">
      <c r="A212" s="2" t="s">
        <v>117</v>
      </c>
      <c r="B212" s="3" t="s">
        <v>155</v>
      </c>
      <c r="C212" s="3" t="s">
        <v>156</v>
      </c>
      <c r="D212" s="3" t="s">
        <v>157</v>
      </c>
      <c r="E212" s="3" t="s">
        <v>138</v>
      </c>
      <c r="F212" s="3" t="s">
        <v>17</v>
      </c>
      <c r="G212" s="3" t="n">
        <v>99</v>
      </c>
      <c r="H212" s="3"/>
      <c r="I212" s="3" t="s">
        <v>15</v>
      </c>
      <c r="J212" s="7"/>
      <c r="K212" s="7"/>
      <c r="L212" s="7"/>
    </row>
    <row r="213" customFormat="false" ht="15" hidden="false" customHeight="false" outlineLevel="0" collapsed="false">
      <c r="A213" s="2" t="s">
        <v>146</v>
      </c>
      <c r="B213" s="3" t="s">
        <v>155</v>
      </c>
      <c r="C213" s="3" t="s">
        <v>156</v>
      </c>
      <c r="D213" s="3" t="s">
        <v>157</v>
      </c>
      <c r="E213" s="3" t="s">
        <v>138</v>
      </c>
      <c r="F213" s="3" t="s">
        <v>14</v>
      </c>
      <c r="G213" s="3" t="n">
        <v>43</v>
      </c>
      <c r="H213" s="3" t="n">
        <v>13268</v>
      </c>
      <c r="I213" s="3" t="s">
        <v>15</v>
      </c>
      <c r="J213" s="7"/>
      <c r="K213" s="7"/>
      <c r="L213" s="7"/>
    </row>
    <row r="214" customFormat="false" ht="15" hidden="false" customHeight="false" outlineLevel="0" collapsed="false">
      <c r="A214" s="2" t="s">
        <v>119</v>
      </c>
      <c r="B214" s="3" t="s">
        <v>155</v>
      </c>
      <c r="C214" s="3" t="s">
        <v>156</v>
      </c>
      <c r="D214" s="3" t="s">
        <v>157</v>
      </c>
      <c r="E214" s="3" t="s">
        <v>138</v>
      </c>
      <c r="F214" s="3" t="s">
        <v>17</v>
      </c>
      <c r="G214" s="3" t="n">
        <v>53</v>
      </c>
      <c r="H214" s="3"/>
      <c r="I214" s="3" t="s">
        <v>15</v>
      </c>
      <c r="J214" s="7"/>
      <c r="K214" s="7"/>
      <c r="L214" s="7"/>
    </row>
    <row r="215" customFormat="false" ht="15" hidden="false" customHeight="false" outlineLevel="0" collapsed="false">
      <c r="A215" s="2" t="s">
        <v>164</v>
      </c>
      <c r="B215" s="3" t="s">
        <v>155</v>
      </c>
      <c r="C215" s="3" t="s">
        <v>156</v>
      </c>
      <c r="D215" s="3" t="s">
        <v>157</v>
      </c>
      <c r="E215" s="3" t="s">
        <v>138</v>
      </c>
      <c r="F215" s="3" t="s">
        <v>17</v>
      </c>
      <c r="G215" s="3" t="n">
        <v>15</v>
      </c>
      <c r="H215" s="3"/>
      <c r="I215" s="3" t="s">
        <v>15</v>
      </c>
      <c r="J215" s="7"/>
      <c r="K215" s="7"/>
      <c r="L215" s="7"/>
    </row>
    <row r="216" customFormat="false" ht="15" hidden="false" customHeight="false" outlineLevel="0" collapsed="false">
      <c r="A216" s="2" t="s">
        <v>120</v>
      </c>
      <c r="B216" s="3" t="s">
        <v>155</v>
      </c>
      <c r="C216" s="3" t="s">
        <v>156</v>
      </c>
      <c r="D216" s="3" t="s">
        <v>157</v>
      </c>
      <c r="E216" s="3" t="s">
        <v>138</v>
      </c>
      <c r="F216" s="3" t="s">
        <v>14</v>
      </c>
      <c r="G216" s="3" t="n">
        <v>100</v>
      </c>
      <c r="H216" s="3" t="n">
        <v>12896</v>
      </c>
      <c r="I216" s="3" t="s">
        <v>15</v>
      </c>
      <c r="J216" s="7"/>
      <c r="K216" s="7"/>
      <c r="L216" s="7"/>
    </row>
    <row r="217" customFormat="false" ht="15" hidden="false" customHeight="false" outlineLevel="0" collapsed="false">
      <c r="A217" s="2" t="s">
        <v>39</v>
      </c>
      <c r="B217" s="3" t="s">
        <v>155</v>
      </c>
      <c r="C217" s="3" t="s">
        <v>156</v>
      </c>
      <c r="D217" s="3" t="s">
        <v>157</v>
      </c>
      <c r="E217" s="3" t="s">
        <v>138</v>
      </c>
      <c r="F217" s="3" t="s">
        <v>17</v>
      </c>
      <c r="G217" s="3" t="n">
        <v>44</v>
      </c>
      <c r="H217" s="3"/>
      <c r="I217" s="3" t="s">
        <v>15</v>
      </c>
      <c r="J217" s="7"/>
      <c r="K217" s="7"/>
      <c r="L217" s="7"/>
    </row>
    <row r="218" customFormat="false" ht="15" hidden="false" customHeight="false" outlineLevel="0" collapsed="false">
      <c r="A218" s="2" t="s">
        <v>121</v>
      </c>
      <c r="B218" s="3" t="s">
        <v>155</v>
      </c>
      <c r="C218" s="3" t="s">
        <v>156</v>
      </c>
      <c r="D218" s="3" t="s">
        <v>157</v>
      </c>
      <c r="E218" s="3" t="s">
        <v>138</v>
      </c>
      <c r="F218" s="3" t="s">
        <v>17</v>
      </c>
      <c r="G218" s="3" t="n">
        <v>34</v>
      </c>
      <c r="H218" s="3"/>
      <c r="I218" s="3" t="s">
        <v>15</v>
      </c>
      <c r="J218" s="7"/>
      <c r="K218" s="7"/>
      <c r="L218" s="7"/>
    </row>
    <row r="219" customFormat="false" ht="15" hidden="false" customHeight="false" outlineLevel="0" collapsed="false">
      <c r="A219" s="2" t="s">
        <v>122</v>
      </c>
      <c r="B219" s="3" t="s">
        <v>155</v>
      </c>
      <c r="C219" s="3" t="s">
        <v>156</v>
      </c>
      <c r="D219" s="3" t="s">
        <v>157</v>
      </c>
      <c r="E219" s="3" t="s">
        <v>138</v>
      </c>
      <c r="F219" s="3" t="s">
        <v>17</v>
      </c>
      <c r="G219" s="3" t="n">
        <v>25</v>
      </c>
      <c r="H219" s="3"/>
      <c r="I219" s="3" t="s">
        <v>15</v>
      </c>
      <c r="J219" s="7"/>
      <c r="K219" s="7"/>
      <c r="L219" s="7"/>
    </row>
    <row r="220" customFormat="false" ht="15" hidden="false" customHeight="false" outlineLevel="0" collapsed="false">
      <c r="A220" s="2" t="s">
        <v>165</v>
      </c>
      <c r="B220" s="3" t="s">
        <v>155</v>
      </c>
      <c r="C220" s="3" t="s">
        <v>156</v>
      </c>
      <c r="D220" s="3" t="s">
        <v>157</v>
      </c>
      <c r="E220" s="3" t="s">
        <v>138</v>
      </c>
      <c r="F220" s="3" t="s">
        <v>14</v>
      </c>
      <c r="G220" s="3" t="n">
        <v>81</v>
      </c>
      <c r="H220" s="3" t="n">
        <v>12174</v>
      </c>
      <c r="I220" s="3" t="s">
        <v>15</v>
      </c>
      <c r="J220" s="7"/>
      <c r="K220" s="7"/>
      <c r="L220" s="7"/>
    </row>
    <row r="221" customFormat="false" ht="15" hidden="false" customHeight="false" outlineLevel="0" collapsed="false">
      <c r="A221" s="2" t="s">
        <v>149</v>
      </c>
      <c r="B221" s="3" t="s">
        <v>155</v>
      </c>
      <c r="C221" s="3" t="s">
        <v>156</v>
      </c>
      <c r="D221" s="3" t="s">
        <v>157</v>
      </c>
      <c r="E221" s="3" t="s">
        <v>138</v>
      </c>
      <c r="F221" s="3" t="s">
        <v>14</v>
      </c>
      <c r="G221" s="3" t="n">
        <v>83</v>
      </c>
      <c r="H221" s="3" t="n">
        <v>12916</v>
      </c>
      <c r="I221" s="3" t="s">
        <v>15</v>
      </c>
      <c r="J221" s="7"/>
      <c r="K221" s="7"/>
      <c r="L221" s="7"/>
    </row>
    <row r="222" customFormat="false" ht="15" hidden="false" customHeight="false" outlineLevel="0" collapsed="false">
      <c r="A222" s="2" t="s">
        <v>82</v>
      </c>
      <c r="B222" s="3" t="s">
        <v>155</v>
      </c>
      <c r="C222" s="3" t="s">
        <v>156</v>
      </c>
      <c r="D222" s="3" t="s">
        <v>157</v>
      </c>
      <c r="E222" s="3" t="s">
        <v>138</v>
      </c>
      <c r="F222" s="3" t="s">
        <v>17</v>
      </c>
      <c r="G222" s="3" t="n">
        <v>25</v>
      </c>
      <c r="H222" s="3"/>
      <c r="I222" s="3" t="s">
        <v>15</v>
      </c>
      <c r="J222" s="7"/>
      <c r="K222" s="7"/>
      <c r="L222" s="7"/>
    </row>
    <row r="223" customFormat="false" ht="15" hidden="false" customHeight="false" outlineLevel="0" collapsed="false">
      <c r="A223" s="2" t="s">
        <v>166</v>
      </c>
      <c r="B223" s="3" t="s">
        <v>155</v>
      </c>
      <c r="C223" s="3" t="s">
        <v>156</v>
      </c>
      <c r="D223" s="3" t="s">
        <v>157</v>
      </c>
      <c r="E223" s="3" t="s">
        <v>138</v>
      </c>
      <c r="F223" s="3" t="s">
        <v>17</v>
      </c>
      <c r="G223" s="3" t="n">
        <v>94</v>
      </c>
      <c r="H223" s="3"/>
      <c r="I223" s="3" t="s">
        <v>15</v>
      </c>
      <c r="J223" s="7"/>
      <c r="K223" s="7"/>
      <c r="L223" s="7"/>
    </row>
    <row r="224" customFormat="false" ht="15" hidden="false" customHeight="false" outlineLevel="0" collapsed="false">
      <c r="A224" s="2" t="s">
        <v>45</v>
      </c>
      <c r="B224" s="3" t="s">
        <v>155</v>
      </c>
      <c r="C224" s="3" t="s">
        <v>156</v>
      </c>
      <c r="D224" s="3" t="s">
        <v>157</v>
      </c>
      <c r="E224" s="3" t="s">
        <v>138</v>
      </c>
      <c r="F224" s="3" t="s">
        <v>17</v>
      </c>
      <c r="G224" s="3" t="n">
        <v>58</v>
      </c>
      <c r="H224" s="3"/>
      <c r="I224" s="3" t="s">
        <v>15</v>
      </c>
      <c r="J224" s="7"/>
      <c r="K224" s="7"/>
      <c r="L224" s="7"/>
    </row>
    <row r="225" customFormat="false" ht="15" hidden="false" customHeight="false" outlineLevel="0" collapsed="false">
      <c r="A225" s="2" t="s">
        <v>47</v>
      </c>
      <c r="B225" s="3" t="s">
        <v>155</v>
      </c>
      <c r="C225" s="3" t="s">
        <v>156</v>
      </c>
      <c r="D225" s="3" t="s">
        <v>157</v>
      </c>
      <c r="E225" s="3" t="s">
        <v>138</v>
      </c>
      <c r="F225" s="3" t="s">
        <v>14</v>
      </c>
      <c r="G225" s="3" t="n">
        <v>30</v>
      </c>
      <c r="H225" s="3" t="n">
        <v>13950</v>
      </c>
      <c r="I225" s="3" t="s">
        <v>15</v>
      </c>
      <c r="J225" s="7"/>
      <c r="K225" s="7"/>
      <c r="L225" s="7"/>
    </row>
    <row r="226" customFormat="false" ht="15" hidden="false" customHeight="false" outlineLevel="0" collapsed="false">
      <c r="A226" s="2" t="s">
        <v>85</v>
      </c>
      <c r="B226" s="3" t="s">
        <v>155</v>
      </c>
      <c r="C226" s="3" t="s">
        <v>156</v>
      </c>
      <c r="D226" s="3" t="s">
        <v>157</v>
      </c>
      <c r="E226" s="3" t="s">
        <v>138</v>
      </c>
      <c r="F226" s="3" t="s">
        <v>17</v>
      </c>
      <c r="G226" s="3" t="n">
        <v>25</v>
      </c>
      <c r="H226" s="3"/>
      <c r="I226" s="3" t="s">
        <v>15</v>
      </c>
      <c r="J226" s="7"/>
      <c r="K226" s="7"/>
      <c r="L226" s="7"/>
    </row>
    <row r="227" customFormat="false" ht="15" hidden="false" customHeight="false" outlineLevel="0" collapsed="false">
      <c r="A227" s="2" t="s">
        <v>127</v>
      </c>
      <c r="B227" s="3" t="s">
        <v>155</v>
      </c>
      <c r="C227" s="3" t="s">
        <v>156</v>
      </c>
      <c r="D227" s="3" t="s">
        <v>157</v>
      </c>
      <c r="E227" s="3" t="s">
        <v>138</v>
      </c>
      <c r="F227" s="3" t="s">
        <v>14</v>
      </c>
      <c r="G227" s="3" t="n">
        <v>90</v>
      </c>
      <c r="H227" s="3" t="n">
        <v>14020</v>
      </c>
      <c r="I227" s="3" t="s">
        <v>15</v>
      </c>
      <c r="J227" s="7"/>
      <c r="K227" s="7"/>
      <c r="L227" s="7"/>
    </row>
    <row r="228" customFormat="false" ht="15" hidden="false" customHeight="false" outlineLevel="0" collapsed="false">
      <c r="A228" s="2" t="s">
        <v>167</v>
      </c>
      <c r="B228" s="3" t="s">
        <v>155</v>
      </c>
      <c r="C228" s="3" t="s">
        <v>156</v>
      </c>
      <c r="D228" s="3" t="s">
        <v>157</v>
      </c>
      <c r="E228" s="3" t="s">
        <v>138</v>
      </c>
      <c r="F228" s="3" t="s">
        <v>17</v>
      </c>
      <c r="G228" s="3" t="n">
        <v>75</v>
      </c>
      <c r="H228" s="3"/>
      <c r="I228" s="3" t="s">
        <v>15</v>
      </c>
      <c r="J228" s="7"/>
      <c r="K228" s="7"/>
      <c r="L228" s="7"/>
    </row>
    <row r="229" customFormat="false" ht="15" hidden="false" customHeight="false" outlineLevel="0" collapsed="false">
      <c r="A229" s="2" t="s">
        <v>151</v>
      </c>
      <c r="B229" s="3" t="s">
        <v>155</v>
      </c>
      <c r="C229" s="3" t="s">
        <v>156</v>
      </c>
      <c r="D229" s="3" t="s">
        <v>157</v>
      </c>
      <c r="E229" s="3" t="s">
        <v>138</v>
      </c>
      <c r="F229" s="3" t="s">
        <v>14</v>
      </c>
      <c r="G229" s="3" t="n">
        <v>121</v>
      </c>
      <c r="H229" s="3" t="n">
        <v>11819</v>
      </c>
      <c r="I229" s="3" t="s">
        <v>15</v>
      </c>
      <c r="J229" s="7"/>
      <c r="K229" s="7"/>
      <c r="L229" s="7"/>
    </row>
    <row r="230" customFormat="false" ht="15" hidden="false" customHeight="false" outlineLevel="0" collapsed="false">
      <c r="A230" s="2" t="s">
        <v>168</v>
      </c>
      <c r="B230" s="3" t="s">
        <v>155</v>
      </c>
      <c r="C230" s="3" t="s">
        <v>156</v>
      </c>
      <c r="D230" s="3" t="s">
        <v>157</v>
      </c>
      <c r="E230" s="3" t="s">
        <v>138</v>
      </c>
      <c r="F230" s="3" t="s">
        <v>14</v>
      </c>
      <c r="G230" s="3" t="n">
        <v>154</v>
      </c>
      <c r="H230" s="3" t="n">
        <v>13466</v>
      </c>
      <c r="I230" s="3" t="s">
        <v>15</v>
      </c>
      <c r="J230" s="7"/>
      <c r="K230" s="7"/>
      <c r="L230" s="7"/>
    </row>
    <row r="231" customFormat="false" ht="15" hidden="false" customHeight="false" outlineLevel="0" collapsed="false">
      <c r="A231" s="2" t="s">
        <v>89</v>
      </c>
      <c r="B231" s="3" t="s">
        <v>155</v>
      </c>
      <c r="C231" s="3" t="s">
        <v>156</v>
      </c>
      <c r="D231" s="3" t="s">
        <v>157</v>
      </c>
      <c r="E231" s="3" t="s">
        <v>138</v>
      </c>
      <c r="F231" s="3" t="s">
        <v>17</v>
      </c>
      <c r="G231" s="3" t="n">
        <v>14</v>
      </c>
      <c r="H231" s="3"/>
      <c r="I231" s="3" t="s">
        <v>15</v>
      </c>
      <c r="J231" s="7"/>
      <c r="K231" s="7"/>
      <c r="L231" s="7"/>
    </row>
    <row r="232" customFormat="false" ht="15" hidden="false" customHeight="false" outlineLevel="0" collapsed="false">
      <c r="A232" s="2" t="s">
        <v>90</v>
      </c>
      <c r="B232" s="3" t="s">
        <v>155</v>
      </c>
      <c r="C232" s="3" t="s">
        <v>156</v>
      </c>
      <c r="D232" s="3" t="s">
        <v>157</v>
      </c>
      <c r="E232" s="3" t="s">
        <v>138</v>
      </c>
      <c r="F232" s="3" t="s">
        <v>14</v>
      </c>
      <c r="G232" s="3" t="n">
        <v>195</v>
      </c>
      <c r="H232" s="3" t="n">
        <v>11431</v>
      </c>
      <c r="I232" s="3" t="s">
        <v>15</v>
      </c>
      <c r="J232" s="7"/>
      <c r="K232" s="7"/>
      <c r="L232" s="7"/>
    </row>
    <row r="233" customFormat="false" ht="15" hidden="false" customHeight="false" outlineLevel="0" collapsed="false">
      <c r="A233" s="2" t="s">
        <v>152</v>
      </c>
      <c r="B233" s="3" t="s">
        <v>155</v>
      </c>
      <c r="C233" s="3" t="s">
        <v>156</v>
      </c>
      <c r="D233" s="3" t="s">
        <v>157</v>
      </c>
      <c r="E233" s="3" t="s">
        <v>138</v>
      </c>
      <c r="F233" s="3" t="s">
        <v>17</v>
      </c>
      <c r="G233" s="3" t="n">
        <v>99</v>
      </c>
      <c r="H233" s="3"/>
      <c r="I233" s="3" t="s">
        <v>15</v>
      </c>
      <c r="J233" s="7"/>
      <c r="K233" s="7"/>
      <c r="L233" s="7"/>
    </row>
    <row r="234" customFormat="false" ht="15" hidden="false" customHeight="false" outlineLevel="0" collapsed="false">
      <c r="A234" s="2" t="s">
        <v>169</v>
      </c>
      <c r="B234" s="3" t="s">
        <v>155</v>
      </c>
      <c r="C234" s="3" t="s">
        <v>156</v>
      </c>
      <c r="D234" s="3" t="s">
        <v>157</v>
      </c>
      <c r="E234" s="3" t="s">
        <v>138</v>
      </c>
      <c r="F234" s="3" t="s">
        <v>17</v>
      </c>
      <c r="G234" s="3" t="n">
        <v>98</v>
      </c>
      <c r="H234" s="3"/>
      <c r="I234" s="3" t="s">
        <v>15</v>
      </c>
      <c r="J234" s="7"/>
      <c r="K234" s="7"/>
      <c r="L234" s="7"/>
    </row>
    <row r="235" customFormat="false" ht="15" hidden="false" customHeight="false" outlineLevel="0" collapsed="false">
      <c r="A235" s="2" t="s">
        <v>153</v>
      </c>
      <c r="B235" s="3" t="s">
        <v>155</v>
      </c>
      <c r="C235" s="3" t="s">
        <v>156</v>
      </c>
      <c r="D235" s="3" t="s">
        <v>157</v>
      </c>
      <c r="E235" s="3" t="s">
        <v>138</v>
      </c>
      <c r="F235" s="3" t="s">
        <v>14</v>
      </c>
      <c r="G235" s="3" t="n">
        <v>73</v>
      </c>
      <c r="H235" s="3" t="n">
        <v>13108</v>
      </c>
      <c r="I235" s="3" t="s">
        <v>15</v>
      </c>
      <c r="J235" s="7"/>
      <c r="K235" s="7"/>
      <c r="L235" s="7"/>
    </row>
    <row r="236" customFormat="false" ht="15" hidden="false" customHeight="false" outlineLevel="0" collapsed="false">
      <c r="A236" s="2" t="s">
        <v>170</v>
      </c>
      <c r="B236" s="3" t="s">
        <v>155</v>
      </c>
      <c r="C236" s="3" t="s">
        <v>156</v>
      </c>
      <c r="D236" s="3" t="s">
        <v>157</v>
      </c>
      <c r="E236" s="3" t="s">
        <v>138</v>
      </c>
      <c r="F236" s="3" t="s">
        <v>14</v>
      </c>
      <c r="G236" s="3" t="n">
        <v>112</v>
      </c>
      <c r="H236" s="3" t="n">
        <v>12127</v>
      </c>
      <c r="I236" s="3" t="s">
        <v>15</v>
      </c>
      <c r="J236" s="7"/>
      <c r="K236" s="7"/>
      <c r="L236" s="7"/>
    </row>
    <row r="237" customFormat="false" ht="15" hidden="false" customHeight="false" outlineLevel="0" collapsed="false">
      <c r="A237" s="2" t="s">
        <v>171</v>
      </c>
      <c r="B237" s="3" t="s">
        <v>155</v>
      </c>
      <c r="C237" s="3" t="s">
        <v>156</v>
      </c>
      <c r="D237" s="3" t="s">
        <v>157</v>
      </c>
      <c r="E237" s="3" t="s">
        <v>138</v>
      </c>
      <c r="F237" s="3" t="s">
        <v>17</v>
      </c>
      <c r="G237" s="3" t="n">
        <v>40</v>
      </c>
      <c r="H237" s="3"/>
      <c r="I237" s="3" t="s">
        <v>15</v>
      </c>
      <c r="J237" s="7"/>
      <c r="K237" s="7"/>
      <c r="L237" s="7"/>
    </row>
    <row r="238" customFormat="false" ht="15" hidden="false" customHeight="false" outlineLevel="0" collapsed="false">
      <c r="A238" s="2" t="s">
        <v>94</v>
      </c>
      <c r="B238" s="3" t="s">
        <v>155</v>
      </c>
      <c r="C238" s="3" t="s">
        <v>156</v>
      </c>
      <c r="D238" s="3" t="s">
        <v>157</v>
      </c>
      <c r="E238" s="3" t="s">
        <v>138</v>
      </c>
      <c r="F238" s="3" t="s">
        <v>17</v>
      </c>
      <c r="G238" s="3" t="n">
        <v>88</v>
      </c>
      <c r="H238" s="3"/>
      <c r="I238" s="3" t="s">
        <v>15</v>
      </c>
      <c r="J238" s="7"/>
      <c r="K238" s="7"/>
      <c r="L238" s="7"/>
    </row>
    <row r="239" customFormat="false" ht="15" hidden="false" customHeight="false" outlineLevel="0" collapsed="false">
      <c r="A239" s="2" t="s">
        <v>95</v>
      </c>
      <c r="B239" s="3" t="s">
        <v>155</v>
      </c>
      <c r="C239" s="3" t="s">
        <v>156</v>
      </c>
      <c r="D239" s="3" t="s">
        <v>157</v>
      </c>
      <c r="E239" s="3" t="s">
        <v>138</v>
      </c>
      <c r="F239" s="3" t="s">
        <v>14</v>
      </c>
      <c r="G239" s="3" t="n">
        <v>147</v>
      </c>
      <c r="H239" s="3" t="n">
        <v>13472</v>
      </c>
      <c r="I239" s="3" t="s">
        <v>15</v>
      </c>
      <c r="J239" s="7"/>
      <c r="K239" s="7"/>
      <c r="L239" s="7"/>
    </row>
    <row r="240" customFormat="false" ht="15" hidden="false" customHeight="false" outlineLevel="0" collapsed="false">
      <c r="A240" s="2" t="s">
        <v>172</v>
      </c>
      <c r="B240" s="3" t="s">
        <v>155</v>
      </c>
      <c r="C240" s="3" t="s">
        <v>156</v>
      </c>
      <c r="D240" s="3" t="s">
        <v>157</v>
      </c>
      <c r="E240" s="3" t="s">
        <v>138</v>
      </c>
      <c r="F240" s="3" t="s">
        <v>14</v>
      </c>
      <c r="G240" s="3" t="n">
        <v>115</v>
      </c>
      <c r="H240" s="3" t="n">
        <v>12990</v>
      </c>
      <c r="I240" s="3" t="s">
        <v>15</v>
      </c>
      <c r="J240" s="7"/>
      <c r="K240" s="7"/>
      <c r="L240" s="7"/>
    </row>
    <row r="242" customFormat="false" ht="15" hidden="false" customHeight="false" outlineLevel="0" collapsed="false">
      <c r="A242" s="8" t="s">
        <v>178</v>
      </c>
    </row>
  </sheetData>
  <autoFilter ref="A1:L2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14"/>
    <col collapsed="false" customWidth="true" hidden="false" outlineLevel="0" max="11" min="10" style="0" width="38"/>
    <col collapsed="false" customWidth="true" hidden="false" outlineLevel="0" max="12" min="12" style="0" width="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173</v>
      </c>
      <c r="K1" s="1" t="s">
        <v>174</v>
      </c>
      <c r="L1" s="1" t="s">
        <v>175</v>
      </c>
      <c r="N1" s="5" t="s">
        <v>176</v>
      </c>
      <c r="O1" s="6" t="s">
        <v>177</v>
      </c>
    </row>
    <row r="2" customFormat="false" ht="15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n">
        <v>193</v>
      </c>
      <c r="H2" s="3" t="n">
        <v>18716</v>
      </c>
      <c r="I2" s="3" t="s">
        <v>15</v>
      </c>
      <c r="J2" s="3" t="n">
        <f aca="false">SUMIFS($G$2:G2,$B$2:B2,B2,$F$2:F2,"Masuk")-SUMIFS($G$2:G2,$B$2:B2,B2,$F$2:F2,"Keluar")</f>
        <v>193</v>
      </c>
      <c r="K2" s="3" t="n">
        <f aca="false">IF(F2="Masuk",MAX(0,MIN(G2,SUMIFS($G$2:G2,$B$2:B2,B2,$F$2:F2,"Masuk")-SUMIFS($G$2:G2,$B$2:B2,B2,$F$2:F2,"Keluar"))),"")</f>
        <v>193</v>
      </c>
      <c r="L2" s="4" t="n">
        <f aca="false">IF(F2="Masuk",K2*H2,"")</f>
        <v>3612188</v>
      </c>
    </row>
    <row r="3" customFormat="false" ht="15" hidden="false" customHeight="false" outlineLevel="0" collapsed="false">
      <c r="A3" s="2" t="s">
        <v>16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17</v>
      </c>
      <c r="G3" s="3" t="n">
        <v>55</v>
      </c>
      <c r="H3" s="3"/>
      <c r="I3" s="3" t="s">
        <v>15</v>
      </c>
      <c r="J3" s="3" t="n">
        <f aca="false">SUMIFS($G$2:G3,$B$2:B3,B3,$F$2:F3,"Masuk")-SUMIFS($G$2:G3,$B$2:B3,B3,$F$2:F3,"Keluar")</f>
        <v>138</v>
      </c>
      <c r="K3" s="3" t="str">
        <f aca="false">IF(F3="Masuk",MAX(0,MIN(G3,SUMIFS($G$2:G3,$B$2:B3,B3,$F$2:F3,"Masuk")-SUMIFS($G$2:G3,$B$2:B3,B3,$F$2:F3,"Keluar"))),"")</f>
        <v/>
      </c>
      <c r="L3" s="4" t="str">
        <f aca="false">IF(F3="Masuk",K3*H3,"")</f>
        <v/>
      </c>
    </row>
    <row r="4" customFormat="false" ht="15" hidden="false" customHeight="false" outlineLevel="0" collapsed="false">
      <c r="A4" s="2" t="s">
        <v>18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17</v>
      </c>
      <c r="G4" s="3" t="n">
        <v>23</v>
      </c>
      <c r="H4" s="3"/>
      <c r="I4" s="3" t="s">
        <v>15</v>
      </c>
      <c r="J4" s="3" t="n">
        <f aca="false">SUMIFS($G$2:G4,$B$2:B4,B4,$F$2:F4,"Masuk")-SUMIFS($G$2:G4,$B$2:B4,B4,$F$2:F4,"Keluar")</f>
        <v>115</v>
      </c>
      <c r="K4" s="3" t="str">
        <f aca="false">IF(F4="Masuk",MAX(0,MIN(G4,SUMIFS($G$2:G4,$B$2:B4,B4,$F$2:F4,"Masuk")-SUMIFS($G$2:G4,$B$2:B4,B4,$F$2:F4,"Keluar"))),"")</f>
        <v/>
      </c>
      <c r="L4" s="4" t="str">
        <f aca="false">IF(F4="Masuk",K4*H4,"")</f>
        <v/>
      </c>
    </row>
    <row r="5" customFormat="false" ht="15" hidden="false" customHeight="false" outlineLevel="0" collapsed="false">
      <c r="A5" s="2" t="s">
        <v>19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17</v>
      </c>
      <c r="G5" s="3" t="n">
        <v>20</v>
      </c>
      <c r="H5" s="3"/>
      <c r="I5" s="3" t="s">
        <v>15</v>
      </c>
      <c r="J5" s="3" t="n">
        <f aca="false">SUMIFS($G$2:G5,$B$2:B5,B5,$F$2:F5,"Masuk")-SUMIFS($G$2:G5,$B$2:B5,B5,$F$2:F5,"Keluar")</f>
        <v>95</v>
      </c>
      <c r="K5" s="3" t="str">
        <f aca="false">IF(F5="Masuk",MAX(0,MIN(G5,SUMIFS($G$2:G5,$B$2:B5,B5,$F$2:F5,"Masuk")-SUMIFS($G$2:G5,$B$2:B5,B5,$F$2:F5,"Keluar"))),"")</f>
        <v/>
      </c>
      <c r="L5" s="4" t="str">
        <f aca="false">IF(F5="Masuk",K5*H5,"")</f>
        <v/>
      </c>
    </row>
    <row r="6" customFormat="false" ht="15" hidden="false" customHeight="false" outlineLevel="0" collapsed="false">
      <c r="A6" s="2" t="s">
        <v>20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17</v>
      </c>
      <c r="G6" s="3" t="n">
        <v>27</v>
      </c>
      <c r="H6" s="3"/>
      <c r="I6" s="3" t="s">
        <v>15</v>
      </c>
      <c r="J6" s="3" t="n">
        <f aca="false">SUMIFS($G$2:G6,$B$2:B6,B6,$F$2:F6,"Masuk")-SUMIFS($G$2:G6,$B$2:B6,B6,$F$2:F6,"Keluar")</f>
        <v>68</v>
      </c>
      <c r="K6" s="3" t="str">
        <f aca="false">IF(F6="Masuk",MAX(0,MIN(G6,SUMIFS($G$2:G6,$B$2:B6,B6,$F$2:F6,"Masuk")-SUMIFS($G$2:G6,$B$2:B6,B6,$F$2:F6,"Keluar"))),"")</f>
        <v/>
      </c>
      <c r="L6" s="4" t="str">
        <f aca="false">IF(F6="Masuk",K6*H6,"")</f>
        <v/>
      </c>
    </row>
    <row r="7" customFormat="false" ht="15" hidden="false" customHeight="false" outlineLevel="0" collapsed="false">
      <c r="A7" s="2" t="s">
        <v>21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n">
        <v>180</v>
      </c>
      <c r="H7" s="3" t="n">
        <v>16626</v>
      </c>
      <c r="I7" s="3" t="s">
        <v>15</v>
      </c>
      <c r="J7" s="3" t="n">
        <f aca="false">SUMIFS($G$2:G7,$B$2:B7,B7,$F$2:F7,"Masuk")-SUMIFS($G$2:G7,$B$2:B7,B7,$F$2:F7,"Keluar")</f>
        <v>248</v>
      </c>
      <c r="K7" s="3" t="n">
        <f aca="false">IF(F7="Masuk",MAX(0,MIN(G7,SUMIFS($G$2:G7,$B$2:B7,B7,$F$2:F7,"Masuk")-SUMIFS($G$2:G7,$B$2:B7,B7,$F$2:F7,"Keluar"))),"")</f>
        <v>180</v>
      </c>
      <c r="L7" s="4" t="n">
        <f aca="false">IF(F7="Masuk",K7*H7,"")</f>
        <v>2992680</v>
      </c>
    </row>
    <row r="8" customFormat="false" ht="15" hidden="false" customHeight="false" outlineLevel="0" collapsed="false">
      <c r="A8" s="2" t="s">
        <v>22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n">
        <v>24</v>
      </c>
      <c r="H8" s="3" t="n">
        <v>20154</v>
      </c>
      <c r="I8" s="3" t="s">
        <v>15</v>
      </c>
      <c r="J8" s="3" t="n">
        <f aca="false">SUMIFS($G$2:G8,$B$2:B8,B8,$F$2:F8,"Masuk")-SUMIFS($G$2:G8,$B$2:B8,B8,$F$2:F8,"Keluar")</f>
        <v>272</v>
      </c>
      <c r="K8" s="3" t="n">
        <f aca="false">IF(F8="Masuk",MAX(0,MIN(G8,SUMIFS($G$2:G8,$B$2:B8,B8,$F$2:F8,"Masuk")-SUMIFS($G$2:G8,$B$2:B8,B8,$F$2:F8,"Keluar"))),"")</f>
        <v>24</v>
      </c>
      <c r="L8" s="4" t="n">
        <f aca="false">IF(F8="Masuk",K8*H8,"")</f>
        <v>483696</v>
      </c>
    </row>
    <row r="9" customFormat="false" ht="15" hidden="false" customHeight="false" outlineLevel="0" collapsed="false">
      <c r="A9" s="2" t="s">
        <v>23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  <c r="G9" s="3" t="n">
        <v>168</v>
      </c>
      <c r="H9" s="3" t="n">
        <v>20742</v>
      </c>
      <c r="I9" s="3" t="s">
        <v>15</v>
      </c>
      <c r="J9" s="3" t="n">
        <f aca="false">SUMIFS($G$2:G9,$B$2:B9,B9,$F$2:F9,"Masuk")-SUMIFS($G$2:G9,$B$2:B9,B9,$F$2:F9,"Keluar")</f>
        <v>440</v>
      </c>
      <c r="K9" s="3" t="n">
        <f aca="false">IF(F9="Masuk",MAX(0,MIN(G9,SUMIFS($G$2:G9,$B$2:B9,B9,$F$2:F9,"Masuk")-SUMIFS($G$2:G9,$B$2:B9,B9,$F$2:F9,"Keluar"))),"")</f>
        <v>168</v>
      </c>
      <c r="L9" s="4" t="n">
        <f aca="false">IF(F9="Masuk",K9*H9,"")</f>
        <v>3484656</v>
      </c>
    </row>
    <row r="10" customFormat="false" ht="15" hidden="false" customHeight="false" outlineLevel="0" collapsed="false">
      <c r="A10" s="2" t="s">
        <v>24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17</v>
      </c>
      <c r="G10" s="3" t="n">
        <v>37</v>
      </c>
      <c r="H10" s="3"/>
      <c r="I10" s="3" t="s">
        <v>15</v>
      </c>
      <c r="J10" s="3" t="n">
        <f aca="false">SUMIFS($G$2:G10,$B$2:B10,B10,$F$2:F10,"Masuk")-SUMIFS($G$2:G10,$B$2:B10,B10,$F$2:F10,"Keluar")</f>
        <v>403</v>
      </c>
      <c r="K10" s="3" t="str">
        <f aca="false">IF(F10="Masuk",MAX(0,MIN(G10,SUMIFS($G$2:G10,$B$2:B10,B10,$F$2:F10,"Masuk")-SUMIFS($G$2:G10,$B$2:B10,B10,$F$2:F10,"Keluar"))),"")</f>
        <v/>
      </c>
      <c r="L10" s="4" t="str">
        <f aca="false">IF(F10="Masuk",K10*H10,"")</f>
        <v/>
      </c>
    </row>
    <row r="11" customFormat="false" ht="15" hidden="false" customHeight="false" outlineLevel="0" collapsed="false">
      <c r="A11" s="2" t="s">
        <v>25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17</v>
      </c>
      <c r="G11" s="3" t="n">
        <v>79</v>
      </c>
      <c r="H11" s="3"/>
      <c r="I11" s="3" t="s">
        <v>15</v>
      </c>
      <c r="J11" s="3" t="n">
        <f aca="false">SUMIFS($G$2:G11,$B$2:B11,B11,$F$2:F11,"Masuk")-SUMIFS($G$2:G11,$B$2:B11,B11,$F$2:F11,"Keluar")</f>
        <v>324</v>
      </c>
      <c r="K11" s="3" t="str">
        <f aca="false">IF(F11="Masuk",MAX(0,MIN(G11,SUMIFS($G$2:G11,$B$2:B11,B11,$F$2:F11,"Masuk")-SUMIFS($G$2:G11,$B$2:B11,B11,$F$2:F11,"Keluar"))),"")</f>
        <v/>
      </c>
      <c r="L11" s="4" t="str">
        <f aca="false">IF(F11="Masuk",K11*H11,"")</f>
        <v/>
      </c>
    </row>
    <row r="12" customFormat="false" ht="15" hidden="false" customHeight="false" outlineLevel="0" collapsed="false">
      <c r="A12" s="2" t="s">
        <v>26</v>
      </c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17</v>
      </c>
      <c r="G12" s="3" t="n">
        <v>109</v>
      </c>
      <c r="H12" s="3"/>
      <c r="I12" s="3" t="s">
        <v>15</v>
      </c>
      <c r="J12" s="3" t="n">
        <f aca="false">SUMIFS($G$2:G12,$B$2:B12,B12,$F$2:F12,"Masuk")-SUMIFS($G$2:G12,$B$2:B12,B12,$F$2:F12,"Keluar")</f>
        <v>215</v>
      </c>
      <c r="K12" s="3" t="str">
        <f aca="false">IF(F12="Masuk",MAX(0,MIN(G12,SUMIFS($G$2:G12,$B$2:B12,B12,$F$2:F12,"Masuk")-SUMIFS($G$2:G12,$B$2:B12,B12,$F$2:F12,"Keluar"))),"")</f>
        <v/>
      </c>
      <c r="L12" s="4" t="str">
        <f aca="false">IF(F12="Masuk",K12*H12,"")</f>
        <v/>
      </c>
    </row>
    <row r="13" customFormat="false" ht="15" hidden="false" customHeight="false" outlineLevel="0" collapsed="false">
      <c r="A13" s="2" t="s">
        <v>27</v>
      </c>
      <c r="B13" s="3" t="s">
        <v>10</v>
      </c>
      <c r="C13" s="3" t="s">
        <v>11</v>
      </c>
      <c r="D13" s="3" t="s">
        <v>12</v>
      </c>
      <c r="E13" s="3" t="s">
        <v>13</v>
      </c>
      <c r="F13" s="3" t="s">
        <v>14</v>
      </c>
      <c r="G13" s="3" t="n">
        <v>77</v>
      </c>
      <c r="H13" s="3" t="n">
        <v>20830</v>
      </c>
      <c r="I13" s="3" t="s">
        <v>15</v>
      </c>
      <c r="J13" s="3" t="n">
        <f aca="false">SUMIFS($G$2:G13,$B$2:B13,B13,$F$2:F13,"Masuk")-SUMIFS($G$2:G13,$B$2:B13,B13,$F$2:F13,"Keluar")</f>
        <v>292</v>
      </c>
      <c r="K13" s="3" t="n">
        <f aca="false">IF(F13="Masuk",MAX(0,MIN(G13,SUMIFS($G$2:G13,$B$2:B13,B13,$F$2:F13,"Masuk")-SUMIFS($G$2:G13,$B$2:B13,B13,$F$2:F13,"Keluar"))),"")</f>
        <v>77</v>
      </c>
      <c r="L13" s="4" t="n">
        <f aca="false">IF(F13="Masuk",K13*H13,"")</f>
        <v>1603910</v>
      </c>
    </row>
    <row r="14" customFormat="false" ht="15" hidden="false" customHeight="false" outlineLevel="0" collapsed="false">
      <c r="A14" s="2" t="s">
        <v>28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17</v>
      </c>
      <c r="G14" s="3" t="n">
        <v>27</v>
      </c>
      <c r="H14" s="3"/>
      <c r="I14" s="3" t="s">
        <v>15</v>
      </c>
      <c r="J14" s="3" t="n">
        <f aca="false">SUMIFS($G$2:G14,$B$2:B14,B14,$F$2:F14,"Masuk")-SUMIFS($G$2:G14,$B$2:B14,B14,$F$2:F14,"Keluar")</f>
        <v>265</v>
      </c>
      <c r="K14" s="3" t="str">
        <f aca="false">IF(F14="Masuk",MAX(0,MIN(G14,SUMIFS($G$2:G14,$B$2:B14,B14,$F$2:F14,"Masuk")-SUMIFS($G$2:G14,$B$2:B14,B14,$F$2:F14,"Keluar"))),"")</f>
        <v/>
      </c>
      <c r="L14" s="4" t="str">
        <f aca="false">IF(F14="Masuk",K14*H14,"")</f>
        <v/>
      </c>
    </row>
    <row r="15" customFormat="false" ht="15" hidden="false" customHeight="false" outlineLevel="0" collapsed="false">
      <c r="A15" s="2" t="s">
        <v>29</v>
      </c>
      <c r="B15" s="3" t="s">
        <v>10</v>
      </c>
      <c r="C15" s="3" t="s">
        <v>11</v>
      </c>
      <c r="D15" s="3" t="s">
        <v>12</v>
      </c>
      <c r="E15" s="3" t="s">
        <v>13</v>
      </c>
      <c r="F15" s="3" t="s">
        <v>17</v>
      </c>
      <c r="G15" s="3" t="n">
        <v>21</v>
      </c>
      <c r="H15" s="3"/>
      <c r="I15" s="3" t="s">
        <v>15</v>
      </c>
      <c r="J15" s="3" t="n">
        <f aca="false">SUMIFS($G$2:G15,$B$2:B15,B15,$F$2:F15,"Masuk")-SUMIFS($G$2:G15,$B$2:B15,B15,$F$2:F15,"Keluar")</f>
        <v>244</v>
      </c>
      <c r="K15" s="3" t="str">
        <f aca="false">IF(F15="Masuk",MAX(0,MIN(G15,SUMIFS($G$2:G15,$B$2:B15,B15,$F$2:F15,"Masuk")-SUMIFS($G$2:G15,$B$2:B15,B15,$F$2:F15,"Keluar"))),"")</f>
        <v/>
      </c>
      <c r="L15" s="4" t="str">
        <f aca="false">IF(F15="Masuk",K15*H15,"")</f>
        <v/>
      </c>
    </row>
    <row r="16" customFormat="false" ht="15" hidden="false" customHeight="false" outlineLevel="0" collapsed="false">
      <c r="A16" s="2" t="s">
        <v>30</v>
      </c>
      <c r="B16" s="3" t="s">
        <v>10</v>
      </c>
      <c r="C16" s="3" t="s">
        <v>11</v>
      </c>
      <c r="D16" s="3" t="s">
        <v>12</v>
      </c>
      <c r="E16" s="3" t="s">
        <v>13</v>
      </c>
      <c r="F16" s="3" t="s">
        <v>14</v>
      </c>
      <c r="G16" s="3" t="n">
        <v>22</v>
      </c>
      <c r="H16" s="3" t="n">
        <v>17956</v>
      </c>
      <c r="I16" s="3" t="s">
        <v>15</v>
      </c>
      <c r="J16" s="3" t="n">
        <f aca="false">SUMIFS($G$2:G16,$B$2:B16,B16,$F$2:F16,"Masuk")-SUMIFS($G$2:G16,$B$2:B16,B16,$F$2:F16,"Keluar")</f>
        <v>266</v>
      </c>
      <c r="K16" s="3" t="n">
        <f aca="false">IF(F16="Masuk",MAX(0,MIN(G16,SUMIFS($G$2:G16,$B$2:B16,B16,$F$2:F16,"Masuk")-SUMIFS($G$2:G16,$B$2:B16,B16,$F$2:F16,"Keluar"))),"")</f>
        <v>22</v>
      </c>
      <c r="L16" s="4" t="n">
        <f aca="false">IF(F16="Masuk",K16*H16,"")</f>
        <v>395032</v>
      </c>
    </row>
    <row r="17" customFormat="false" ht="15" hidden="false" customHeight="false" outlineLevel="0" collapsed="false">
      <c r="A17" s="2" t="s">
        <v>31</v>
      </c>
      <c r="B17" s="3" t="s">
        <v>10</v>
      </c>
      <c r="C17" s="3" t="s">
        <v>11</v>
      </c>
      <c r="D17" s="3" t="s">
        <v>12</v>
      </c>
      <c r="E17" s="3" t="s">
        <v>13</v>
      </c>
      <c r="F17" s="3" t="s">
        <v>17</v>
      </c>
      <c r="G17" s="3" t="n">
        <v>106</v>
      </c>
      <c r="H17" s="3"/>
      <c r="I17" s="3" t="s">
        <v>15</v>
      </c>
      <c r="J17" s="3" t="n">
        <f aca="false">SUMIFS($G$2:G17,$B$2:B17,B17,$F$2:F17,"Masuk")-SUMIFS($G$2:G17,$B$2:B17,B17,$F$2:F17,"Keluar")</f>
        <v>160</v>
      </c>
      <c r="K17" s="3" t="str">
        <f aca="false">IF(F17="Masuk",MAX(0,MIN(G17,SUMIFS($G$2:G17,$B$2:B17,B17,$F$2:F17,"Masuk")-SUMIFS($G$2:G17,$B$2:B17,B17,$F$2:F17,"Keluar"))),"")</f>
        <v/>
      </c>
      <c r="L17" s="4" t="str">
        <f aca="false">IF(F17="Masuk",K17*H17,"")</f>
        <v/>
      </c>
    </row>
    <row r="18" customFormat="false" ht="15" hidden="false" customHeight="false" outlineLevel="0" collapsed="false">
      <c r="A18" s="2" t="s">
        <v>32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14</v>
      </c>
      <c r="G18" s="3" t="n">
        <v>60</v>
      </c>
      <c r="H18" s="3" t="n">
        <v>17467</v>
      </c>
      <c r="I18" s="3" t="s">
        <v>15</v>
      </c>
      <c r="J18" s="3" t="n">
        <f aca="false">SUMIFS($G$2:G18,$B$2:B18,B18,$F$2:F18,"Masuk")-SUMIFS($G$2:G18,$B$2:B18,B18,$F$2:F18,"Keluar")</f>
        <v>220</v>
      </c>
      <c r="K18" s="3" t="n">
        <f aca="false">IF(F18="Masuk",MAX(0,MIN(G18,SUMIFS($G$2:G18,$B$2:B18,B18,$F$2:F18,"Masuk")-SUMIFS($G$2:G18,$B$2:B18,B18,$F$2:F18,"Keluar"))),"")</f>
        <v>60</v>
      </c>
      <c r="L18" s="4" t="n">
        <f aca="false">IF(F18="Masuk",K18*H18,"")</f>
        <v>1048020</v>
      </c>
    </row>
    <row r="19" customFormat="false" ht="15" hidden="false" customHeight="false" outlineLevel="0" collapsed="false">
      <c r="A19" s="2" t="s">
        <v>33</v>
      </c>
      <c r="B19" s="3" t="s">
        <v>10</v>
      </c>
      <c r="C19" s="3" t="s">
        <v>11</v>
      </c>
      <c r="D19" s="3" t="s">
        <v>12</v>
      </c>
      <c r="E19" s="3" t="s">
        <v>13</v>
      </c>
      <c r="F19" s="3" t="s">
        <v>17</v>
      </c>
      <c r="G19" s="3" t="n">
        <v>94</v>
      </c>
      <c r="H19" s="3"/>
      <c r="I19" s="3" t="s">
        <v>15</v>
      </c>
      <c r="J19" s="3" t="n">
        <f aca="false">SUMIFS($G$2:G19,$B$2:B19,B19,$F$2:F19,"Masuk")-SUMIFS($G$2:G19,$B$2:B19,B19,$F$2:F19,"Keluar")</f>
        <v>126</v>
      </c>
      <c r="K19" s="3" t="str">
        <f aca="false">IF(F19="Masuk",MAX(0,MIN(G19,SUMIFS($G$2:G19,$B$2:B19,B19,$F$2:F19,"Masuk")-SUMIFS($G$2:G19,$B$2:B19,B19,$F$2:F19,"Keluar"))),"")</f>
        <v/>
      </c>
      <c r="L19" s="4" t="str">
        <f aca="false">IF(F19="Masuk",K19*H19,"")</f>
        <v/>
      </c>
    </row>
    <row r="20" customFormat="false" ht="15" hidden="false" customHeight="false" outlineLevel="0" collapsed="false">
      <c r="A20" s="2" t="s">
        <v>34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17</v>
      </c>
      <c r="G20" s="3" t="n">
        <v>71</v>
      </c>
      <c r="H20" s="3"/>
      <c r="I20" s="3" t="s">
        <v>15</v>
      </c>
      <c r="J20" s="3" t="n">
        <f aca="false">SUMIFS($G$2:G20,$B$2:B20,B20,$F$2:F20,"Masuk")-SUMIFS($G$2:G20,$B$2:B20,B20,$F$2:F20,"Keluar")</f>
        <v>55</v>
      </c>
      <c r="K20" s="3" t="str">
        <f aca="false">IF(F20="Masuk",MAX(0,MIN(G20,SUMIFS($G$2:G20,$B$2:B20,B20,$F$2:F20,"Masuk")-SUMIFS($G$2:G20,$B$2:B20,B20,$F$2:F20,"Keluar"))),"")</f>
        <v/>
      </c>
      <c r="L20" s="4" t="str">
        <f aca="false">IF(F20="Masuk",K20*H20,"")</f>
        <v/>
      </c>
    </row>
    <row r="21" customFormat="false" ht="15" hidden="false" customHeight="false" outlineLevel="0" collapsed="false">
      <c r="A21" s="2" t="s">
        <v>35</v>
      </c>
      <c r="B21" s="3" t="s">
        <v>10</v>
      </c>
      <c r="C21" s="3" t="s">
        <v>11</v>
      </c>
      <c r="D21" s="3" t="s">
        <v>12</v>
      </c>
      <c r="E21" s="3" t="s">
        <v>13</v>
      </c>
      <c r="F21" s="3" t="s">
        <v>14</v>
      </c>
      <c r="G21" s="3" t="n">
        <v>144</v>
      </c>
      <c r="H21" s="3" t="n">
        <v>17898</v>
      </c>
      <c r="I21" s="3" t="s">
        <v>15</v>
      </c>
      <c r="J21" s="3" t="n">
        <f aca="false">SUMIFS($G$2:G21,$B$2:B21,B21,$F$2:F21,"Masuk")-SUMIFS($G$2:G21,$B$2:B21,B21,$F$2:F21,"Keluar")</f>
        <v>199</v>
      </c>
      <c r="K21" s="3" t="n">
        <f aca="false">IF(F21="Masuk",MAX(0,MIN(G21,SUMIFS($G$2:G21,$B$2:B21,B21,$F$2:F21,"Masuk")-SUMIFS($G$2:G21,$B$2:B21,B21,$F$2:F21,"Keluar"))),"")</f>
        <v>144</v>
      </c>
      <c r="L21" s="4" t="n">
        <f aca="false">IF(F21="Masuk",K21*H21,"")</f>
        <v>2577312</v>
      </c>
    </row>
    <row r="22" customFormat="false" ht="15" hidden="false" customHeight="false" outlineLevel="0" collapsed="false">
      <c r="A22" s="2" t="s">
        <v>36</v>
      </c>
      <c r="B22" s="3" t="s">
        <v>10</v>
      </c>
      <c r="C22" s="3" t="s">
        <v>11</v>
      </c>
      <c r="D22" s="3" t="s">
        <v>12</v>
      </c>
      <c r="E22" s="3" t="s">
        <v>13</v>
      </c>
      <c r="F22" s="3" t="s">
        <v>14</v>
      </c>
      <c r="G22" s="3" t="n">
        <v>79</v>
      </c>
      <c r="H22" s="3" t="n">
        <v>16350</v>
      </c>
      <c r="I22" s="3" t="s">
        <v>15</v>
      </c>
      <c r="J22" s="3" t="n">
        <f aca="false">SUMIFS($G$2:G22,$B$2:B22,B22,$F$2:F22,"Masuk")-SUMIFS($G$2:G22,$B$2:B22,B22,$F$2:F22,"Keluar")</f>
        <v>278</v>
      </c>
      <c r="K22" s="3" t="n">
        <f aca="false">IF(F22="Masuk",MAX(0,MIN(G22,SUMIFS($G$2:G22,$B$2:B22,B22,$F$2:F22,"Masuk")-SUMIFS($G$2:G22,$B$2:B22,B22,$F$2:F22,"Keluar"))),"")</f>
        <v>79</v>
      </c>
      <c r="L22" s="4" t="n">
        <f aca="false">IF(F22="Masuk",K22*H22,"")</f>
        <v>1291650</v>
      </c>
    </row>
    <row r="23" customFormat="false" ht="15" hidden="false" customHeight="false" outlineLevel="0" collapsed="false">
      <c r="A23" s="2" t="s">
        <v>37</v>
      </c>
      <c r="B23" s="3" t="s">
        <v>10</v>
      </c>
      <c r="C23" s="3" t="s">
        <v>11</v>
      </c>
      <c r="D23" s="3" t="s">
        <v>12</v>
      </c>
      <c r="E23" s="3" t="s">
        <v>13</v>
      </c>
      <c r="F23" s="3" t="s">
        <v>14</v>
      </c>
      <c r="G23" s="3" t="n">
        <v>112</v>
      </c>
      <c r="H23" s="3" t="n">
        <v>19179</v>
      </c>
      <c r="I23" s="3" t="s">
        <v>15</v>
      </c>
      <c r="J23" s="3" t="n">
        <f aca="false">SUMIFS($G$2:G23,$B$2:B23,B23,$F$2:F23,"Masuk")-SUMIFS($G$2:G23,$B$2:B23,B23,$F$2:F23,"Keluar")</f>
        <v>390</v>
      </c>
      <c r="K23" s="3" t="n">
        <f aca="false">IF(F23="Masuk",MAX(0,MIN(G23,SUMIFS($G$2:G23,$B$2:B23,B23,$F$2:F23,"Masuk")-SUMIFS($G$2:G23,$B$2:B23,B23,$F$2:F23,"Keluar"))),"")</f>
        <v>112</v>
      </c>
      <c r="L23" s="4" t="n">
        <f aca="false">IF(F23="Masuk",K23*H23,"")</f>
        <v>2148048</v>
      </c>
    </row>
    <row r="24" customFormat="false" ht="15" hidden="false" customHeight="false" outlineLevel="0" collapsed="false">
      <c r="A24" s="2" t="s">
        <v>38</v>
      </c>
      <c r="B24" s="3" t="s">
        <v>10</v>
      </c>
      <c r="C24" s="3" t="s">
        <v>11</v>
      </c>
      <c r="D24" s="3" t="s">
        <v>12</v>
      </c>
      <c r="E24" s="3" t="s">
        <v>13</v>
      </c>
      <c r="F24" s="3" t="s">
        <v>17</v>
      </c>
      <c r="G24" s="3" t="n">
        <v>15</v>
      </c>
      <c r="H24" s="3"/>
      <c r="I24" s="3" t="s">
        <v>15</v>
      </c>
      <c r="J24" s="3" t="n">
        <f aca="false">SUMIFS($G$2:G24,$B$2:B24,B24,$F$2:F24,"Masuk")-SUMIFS($G$2:G24,$B$2:B24,B24,$F$2:F24,"Keluar")</f>
        <v>375</v>
      </c>
      <c r="K24" s="3" t="str">
        <f aca="false">IF(F24="Masuk",MAX(0,MIN(G24,SUMIFS($G$2:G24,$B$2:B24,B24,$F$2:F24,"Masuk")-SUMIFS($G$2:G24,$B$2:B24,B24,$F$2:F24,"Keluar"))),"")</f>
        <v/>
      </c>
      <c r="L24" s="4" t="str">
        <f aca="false">IF(F24="Masuk",K24*H24,"")</f>
        <v/>
      </c>
    </row>
    <row r="25" customFormat="false" ht="15" hidden="false" customHeight="false" outlineLevel="0" collapsed="false">
      <c r="A25" s="2" t="s">
        <v>39</v>
      </c>
      <c r="B25" s="3" t="s">
        <v>10</v>
      </c>
      <c r="C25" s="3" t="s">
        <v>11</v>
      </c>
      <c r="D25" s="3" t="s">
        <v>12</v>
      </c>
      <c r="E25" s="3" t="s">
        <v>13</v>
      </c>
      <c r="F25" s="3" t="s">
        <v>17</v>
      </c>
      <c r="G25" s="3" t="n">
        <v>51</v>
      </c>
      <c r="H25" s="3"/>
      <c r="I25" s="3" t="s">
        <v>15</v>
      </c>
      <c r="J25" s="3" t="n">
        <f aca="false">SUMIFS($G$2:G25,$B$2:B25,B25,$F$2:F25,"Masuk")-SUMIFS($G$2:G25,$B$2:B25,B25,$F$2:F25,"Keluar")</f>
        <v>324</v>
      </c>
      <c r="K25" s="3" t="str">
        <f aca="false">IF(F25="Masuk",MAX(0,MIN(G25,SUMIFS($G$2:G25,$B$2:B25,B25,$F$2:F25,"Masuk")-SUMIFS($G$2:G25,$B$2:B25,B25,$F$2:F25,"Keluar"))),"")</f>
        <v/>
      </c>
      <c r="L25" s="4" t="str">
        <f aca="false">IF(F25="Masuk",K25*H25,"")</f>
        <v/>
      </c>
    </row>
    <row r="26" customFormat="false" ht="15" hidden="false" customHeight="false" outlineLevel="0" collapsed="false">
      <c r="A26" s="2" t="s">
        <v>40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17</v>
      </c>
      <c r="G26" s="3" t="n">
        <v>76</v>
      </c>
      <c r="H26" s="3"/>
      <c r="I26" s="3" t="s">
        <v>15</v>
      </c>
      <c r="J26" s="3" t="n">
        <f aca="false">SUMIFS($G$2:G26,$B$2:B26,B26,$F$2:F26,"Masuk")-SUMIFS($G$2:G26,$B$2:B26,B26,$F$2:F26,"Keluar")</f>
        <v>248</v>
      </c>
      <c r="K26" s="3" t="str">
        <f aca="false">IF(F26="Masuk",MAX(0,MIN(G26,SUMIFS($G$2:G26,$B$2:B26,B26,$F$2:F26,"Masuk")-SUMIFS($G$2:G26,$B$2:B26,B26,$F$2:F26,"Keluar"))),"")</f>
        <v/>
      </c>
      <c r="L26" s="4" t="str">
        <f aca="false">IF(F26="Masuk",K26*H26,"")</f>
        <v/>
      </c>
    </row>
    <row r="27" customFormat="false" ht="15" hidden="false" customHeight="false" outlineLevel="0" collapsed="false">
      <c r="A27" s="2" t="s">
        <v>41</v>
      </c>
      <c r="B27" s="3" t="s">
        <v>10</v>
      </c>
      <c r="C27" s="3" t="s">
        <v>11</v>
      </c>
      <c r="D27" s="3" t="s">
        <v>12</v>
      </c>
      <c r="E27" s="3" t="s">
        <v>13</v>
      </c>
      <c r="F27" s="3" t="s">
        <v>17</v>
      </c>
      <c r="G27" s="3" t="n">
        <v>116</v>
      </c>
      <c r="H27" s="3"/>
      <c r="I27" s="3" t="s">
        <v>15</v>
      </c>
      <c r="J27" s="3" t="n">
        <f aca="false">SUMIFS($G$2:G27,$B$2:B27,B27,$F$2:F27,"Masuk")-SUMIFS($G$2:G27,$B$2:B27,B27,$F$2:F27,"Keluar")</f>
        <v>132</v>
      </c>
      <c r="K27" s="3" t="str">
        <f aca="false">IF(F27="Masuk",MAX(0,MIN(G27,SUMIFS($G$2:G27,$B$2:B27,B27,$F$2:F27,"Masuk")-SUMIFS($G$2:G27,$B$2:B27,B27,$F$2:F27,"Keluar"))),"")</f>
        <v/>
      </c>
      <c r="L27" s="4" t="str">
        <f aca="false">IF(F27="Masuk",K27*H27,"")</f>
        <v/>
      </c>
    </row>
    <row r="28" customFormat="false" ht="15" hidden="false" customHeight="false" outlineLevel="0" collapsed="false">
      <c r="A28" s="2" t="s">
        <v>42</v>
      </c>
      <c r="B28" s="3" t="s">
        <v>10</v>
      </c>
      <c r="C28" s="3" t="s">
        <v>11</v>
      </c>
      <c r="D28" s="3" t="s">
        <v>12</v>
      </c>
      <c r="E28" s="3" t="s">
        <v>13</v>
      </c>
      <c r="F28" s="3" t="s">
        <v>14</v>
      </c>
      <c r="G28" s="3" t="n">
        <v>159</v>
      </c>
      <c r="H28" s="3" t="n">
        <v>20670</v>
      </c>
      <c r="I28" s="3" t="s">
        <v>15</v>
      </c>
      <c r="J28" s="3" t="n">
        <f aca="false">SUMIFS($G$2:G28,$B$2:B28,B28,$F$2:F28,"Masuk")-SUMIFS($G$2:G28,$B$2:B28,B28,$F$2:F28,"Keluar")</f>
        <v>291</v>
      </c>
      <c r="K28" s="3" t="n">
        <f aca="false">IF(F28="Masuk",MAX(0,MIN(G28,SUMIFS($G$2:G28,$B$2:B28,B28,$F$2:F28,"Masuk")-SUMIFS($G$2:G28,$B$2:B28,B28,$F$2:F28,"Keluar"))),"")</f>
        <v>159</v>
      </c>
      <c r="L28" s="4" t="n">
        <f aca="false">IF(F28="Masuk",K28*H28,"")</f>
        <v>3286530</v>
      </c>
    </row>
    <row r="29" customFormat="false" ht="15" hidden="false" customHeight="false" outlineLevel="0" collapsed="false">
      <c r="A29" s="2" t="s">
        <v>43</v>
      </c>
      <c r="B29" s="3" t="s">
        <v>10</v>
      </c>
      <c r="C29" s="3" t="s">
        <v>11</v>
      </c>
      <c r="D29" s="3" t="s">
        <v>12</v>
      </c>
      <c r="E29" s="3" t="s">
        <v>13</v>
      </c>
      <c r="F29" s="3" t="s">
        <v>14</v>
      </c>
      <c r="G29" s="3" t="n">
        <v>116</v>
      </c>
      <c r="H29" s="3" t="n">
        <v>18992</v>
      </c>
      <c r="I29" s="3" t="s">
        <v>15</v>
      </c>
      <c r="J29" s="3" t="n">
        <f aca="false">SUMIFS($G$2:G29,$B$2:B29,B29,$F$2:F29,"Masuk")-SUMIFS($G$2:G29,$B$2:B29,B29,$F$2:F29,"Keluar")</f>
        <v>407</v>
      </c>
      <c r="K29" s="3" t="n">
        <f aca="false">IF(F29="Masuk",MAX(0,MIN(G29,SUMIFS($G$2:G29,$B$2:B29,B29,$F$2:F29,"Masuk")-SUMIFS($G$2:G29,$B$2:B29,B29,$F$2:F29,"Keluar"))),"")</f>
        <v>116</v>
      </c>
      <c r="L29" s="4" t="n">
        <f aca="false">IF(F29="Masuk",K29*H29,"")</f>
        <v>2203072</v>
      </c>
    </row>
    <row r="30" customFormat="false" ht="15" hidden="false" customHeight="false" outlineLevel="0" collapsed="false">
      <c r="A30" s="2" t="s">
        <v>44</v>
      </c>
      <c r="B30" s="3" t="s">
        <v>10</v>
      </c>
      <c r="C30" s="3" t="s">
        <v>11</v>
      </c>
      <c r="D30" s="3" t="s">
        <v>12</v>
      </c>
      <c r="E30" s="3" t="s">
        <v>13</v>
      </c>
      <c r="F30" s="3" t="s">
        <v>17</v>
      </c>
      <c r="G30" s="3" t="n">
        <v>116</v>
      </c>
      <c r="H30" s="3"/>
      <c r="I30" s="3" t="s">
        <v>15</v>
      </c>
      <c r="J30" s="3" t="n">
        <f aca="false">SUMIFS($G$2:G30,$B$2:B30,B30,$F$2:F30,"Masuk")-SUMIFS($G$2:G30,$B$2:B30,B30,$F$2:F30,"Keluar")</f>
        <v>291</v>
      </c>
      <c r="K30" s="3" t="str">
        <f aca="false">IF(F30="Masuk",MAX(0,MIN(G30,SUMIFS($G$2:G30,$B$2:B30,B30,$F$2:F30,"Masuk")-SUMIFS($G$2:G30,$B$2:B30,B30,$F$2:F30,"Keluar"))),"")</f>
        <v/>
      </c>
      <c r="L30" s="4" t="str">
        <f aca="false">IF(F30="Masuk",K30*H30,"")</f>
        <v/>
      </c>
    </row>
    <row r="31" customFormat="false" ht="15" hidden="false" customHeight="false" outlineLevel="0" collapsed="false">
      <c r="A31" s="2" t="s">
        <v>45</v>
      </c>
      <c r="B31" s="3" t="s">
        <v>10</v>
      </c>
      <c r="C31" s="3" t="s">
        <v>11</v>
      </c>
      <c r="D31" s="3" t="s">
        <v>12</v>
      </c>
      <c r="E31" s="3" t="s">
        <v>13</v>
      </c>
      <c r="F31" s="3" t="s">
        <v>17</v>
      </c>
      <c r="G31" s="3" t="n">
        <v>58</v>
      </c>
      <c r="H31" s="3"/>
      <c r="I31" s="3" t="s">
        <v>15</v>
      </c>
      <c r="J31" s="3" t="n">
        <f aca="false">SUMIFS($G$2:G31,$B$2:B31,B31,$F$2:F31,"Masuk")-SUMIFS($G$2:G31,$B$2:B31,B31,$F$2:F31,"Keluar")</f>
        <v>233</v>
      </c>
      <c r="K31" s="3" t="str">
        <f aca="false">IF(F31="Masuk",MAX(0,MIN(G31,SUMIFS($G$2:G31,$B$2:B31,B31,$F$2:F31,"Masuk")-SUMIFS($G$2:G31,$B$2:B31,B31,$F$2:F31,"Keluar"))),"")</f>
        <v/>
      </c>
      <c r="L31" s="4" t="str">
        <f aca="false">IF(F31="Masuk",K31*H31,"")</f>
        <v/>
      </c>
    </row>
    <row r="32" customFormat="false" ht="15" hidden="false" customHeight="false" outlineLevel="0" collapsed="false">
      <c r="A32" s="2" t="s">
        <v>46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17</v>
      </c>
      <c r="G32" s="3" t="n">
        <v>55</v>
      </c>
      <c r="H32" s="3"/>
      <c r="I32" s="3" t="s">
        <v>15</v>
      </c>
      <c r="J32" s="3" t="n">
        <f aca="false">SUMIFS($G$2:G32,$B$2:B32,B32,$F$2:F32,"Masuk")-SUMIFS($G$2:G32,$B$2:B32,B32,$F$2:F32,"Keluar")</f>
        <v>178</v>
      </c>
      <c r="K32" s="3" t="str">
        <f aca="false">IF(F32="Masuk",MAX(0,MIN(G32,SUMIFS($G$2:G32,$B$2:B32,B32,$F$2:F32,"Masuk")-SUMIFS($G$2:G32,$B$2:B32,B32,$F$2:F32,"Keluar"))),"")</f>
        <v/>
      </c>
      <c r="L32" s="4" t="str">
        <f aca="false">IF(F32="Masuk",K32*H32,"")</f>
        <v/>
      </c>
    </row>
    <row r="33" customFormat="false" ht="15" hidden="false" customHeight="false" outlineLevel="0" collapsed="false">
      <c r="A33" s="2" t="s">
        <v>47</v>
      </c>
      <c r="B33" s="3" t="s">
        <v>10</v>
      </c>
      <c r="C33" s="3" t="s">
        <v>11</v>
      </c>
      <c r="D33" s="3" t="s">
        <v>12</v>
      </c>
      <c r="E33" s="3" t="s">
        <v>13</v>
      </c>
      <c r="F33" s="3" t="s">
        <v>17</v>
      </c>
      <c r="G33" s="3" t="n">
        <v>71</v>
      </c>
      <c r="H33" s="3"/>
      <c r="I33" s="3" t="s">
        <v>15</v>
      </c>
      <c r="J33" s="3" t="n">
        <f aca="false">SUMIFS($G$2:G33,$B$2:B33,B33,$F$2:F33,"Masuk")-SUMIFS($G$2:G33,$B$2:B33,B33,$F$2:F33,"Keluar")</f>
        <v>107</v>
      </c>
      <c r="K33" s="3" t="str">
        <f aca="false">IF(F33="Masuk",MAX(0,MIN(G33,SUMIFS($G$2:G33,$B$2:B33,B33,$F$2:F33,"Masuk")-SUMIFS($G$2:G33,$B$2:B33,B33,$F$2:F33,"Keluar"))),"")</f>
        <v/>
      </c>
      <c r="L33" s="4" t="str">
        <f aca="false">IF(F33="Masuk",K33*H33,"")</f>
        <v/>
      </c>
    </row>
    <row r="34" customFormat="false" ht="15" hidden="false" customHeight="false" outlineLevel="0" collapsed="false">
      <c r="A34" s="2" t="s">
        <v>48</v>
      </c>
      <c r="B34" s="3" t="s">
        <v>10</v>
      </c>
      <c r="C34" s="3" t="s">
        <v>11</v>
      </c>
      <c r="D34" s="3" t="s">
        <v>12</v>
      </c>
      <c r="E34" s="3" t="s">
        <v>13</v>
      </c>
      <c r="F34" s="3" t="s">
        <v>14</v>
      </c>
      <c r="G34" s="3" t="n">
        <v>55</v>
      </c>
      <c r="H34" s="3" t="n">
        <v>19603</v>
      </c>
      <c r="I34" s="3" t="s">
        <v>15</v>
      </c>
      <c r="J34" s="3" t="n">
        <f aca="false">SUMIFS($G$2:G34,$B$2:B34,B34,$F$2:F34,"Masuk")-SUMIFS($G$2:G34,$B$2:B34,B34,$F$2:F34,"Keluar")</f>
        <v>162</v>
      </c>
      <c r="K34" s="3" t="n">
        <f aca="false">IF(F34="Masuk",MAX(0,MIN(G34,SUMIFS($G$2:G34,$B$2:B34,B34,$F$2:F34,"Masuk")-SUMIFS($G$2:G34,$B$2:B34,B34,$F$2:F34,"Keluar"))),"")</f>
        <v>55</v>
      </c>
      <c r="L34" s="4" t="n">
        <f aca="false">IF(F34="Masuk",K34*H34,"")</f>
        <v>1078165</v>
      </c>
    </row>
    <row r="35" customFormat="false" ht="15" hidden="false" customHeight="false" outlineLevel="0" collapsed="false">
      <c r="A35" s="2" t="s">
        <v>49</v>
      </c>
      <c r="B35" s="3" t="s">
        <v>10</v>
      </c>
      <c r="C35" s="3" t="s">
        <v>11</v>
      </c>
      <c r="D35" s="3" t="s">
        <v>12</v>
      </c>
      <c r="E35" s="3" t="s">
        <v>13</v>
      </c>
      <c r="F35" s="3" t="s">
        <v>14</v>
      </c>
      <c r="G35" s="3" t="n">
        <v>151</v>
      </c>
      <c r="H35" s="3" t="n">
        <v>18300</v>
      </c>
      <c r="I35" s="3" t="s">
        <v>15</v>
      </c>
      <c r="J35" s="3" t="n">
        <f aca="false">SUMIFS($G$2:G35,$B$2:B35,B35,$F$2:F35,"Masuk")-SUMIFS($G$2:G35,$B$2:B35,B35,$F$2:F35,"Keluar")</f>
        <v>313</v>
      </c>
      <c r="K35" s="3" t="n">
        <f aca="false">IF(F35="Masuk",MAX(0,MIN(G35,SUMIFS($G$2:G35,$B$2:B35,B35,$F$2:F35,"Masuk")-SUMIFS($G$2:G35,$B$2:B35,B35,$F$2:F35,"Keluar"))),"")</f>
        <v>151</v>
      </c>
      <c r="L35" s="4" t="n">
        <f aca="false">IF(F35="Masuk",K35*H35,"")</f>
        <v>2763300</v>
      </c>
    </row>
    <row r="36" customFormat="false" ht="15" hidden="false" customHeight="false" outlineLevel="0" collapsed="false">
      <c r="A36" s="2" t="s">
        <v>50</v>
      </c>
      <c r="B36" s="3" t="s">
        <v>10</v>
      </c>
      <c r="C36" s="3" t="s">
        <v>11</v>
      </c>
      <c r="D36" s="3" t="s">
        <v>12</v>
      </c>
      <c r="E36" s="3" t="s">
        <v>13</v>
      </c>
      <c r="F36" s="3" t="s">
        <v>14</v>
      </c>
      <c r="G36" s="3" t="n">
        <v>60</v>
      </c>
      <c r="H36" s="3" t="n">
        <v>18967</v>
      </c>
      <c r="I36" s="3" t="s">
        <v>15</v>
      </c>
      <c r="J36" s="3" t="n">
        <f aca="false">SUMIFS($G$2:G36,$B$2:B36,B36,$F$2:F36,"Masuk")-SUMIFS($G$2:G36,$B$2:B36,B36,$F$2:F36,"Keluar")</f>
        <v>373</v>
      </c>
      <c r="K36" s="3" t="n">
        <f aca="false">IF(F36="Masuk",MAX(0,MIN(G36,SUMIFS($G$2:G36,$B$2:B36,B36,$F$2:F36,"Masuk")-SUMIFS($G$2:G36,$B$2:B36,B36,$F$2:F36,"Keluar"))),"")</f>
        <v>60</v>
      </c>
      <c r="L36" s="4" t="n">
        <f aca="false">IF(F36="Masuk",K36*H36,"")</f>
        <v>1138020</v>
      </c>
    </row>
    <row r="37" customFormat="false" ht="15" hidden="false" customHeight="false" outlineLevel="0" collapsed="false">
      <c r="A37" s="2" t="s">
        <v>51</v>
      </c>
      <c r="B37" s="3" t="s">
        <v>10</v>
      </c>
      <c r="C37" s="3" t="s">
        <v>11</v>
      </c>
      <c r="D37" s="3" t="s">
        <v>12</v>
      </c>
      <c r="E37" s="3" t="s">
        <v>13</v>
      </c>
      <c r="F37" s="3" t="s">
        <v>17</v>
      </c>
      <c r="G37" s="3" t="n">
        <v>25</v>
      </c>
      <c r="H37" s="3"/>
      <c r="I37" s="3" t="s">
        <v>15</v>
      </c>
      <c r="J37" s="3" t="n">
        <f aca="false">SUMIFS($G$2:G37,$B$2:B37,B37,$F$2:F37,"Masuk")-SUMIFS($G$2:G37,$B$2:B37,B37,$F$2:F37,"Keluar")</f>
        <v>348</v>
      </c>
      <c r="K37" s="3" t="str">
        <f aca="false">IF(F37="Masuk",MAX(0,MIN(G37,SUMIFS($G$2:G37,$B$2:B37,B37,$F$2:F37,"Masuk")-SUMIFS($G$2:G37,$B$2:B37,B37,$F$2:F37,"Keluar"))),"")</f>
        <v/>
      </c>
      <c r="L37" s="4" t="str">
        <f aca="false">IF(F37="Masuk",K37*H37,"")</f>
        <v/>
      </c>
    </row>
    <row r="38" customFormat="false" ht="15" hidden="false" customHeight="false" outlineLevel="0" collapsed="false">
      <c r="A38" s="2" t="s">
        <v>52</v>
      </c>
      <c r="B38" s="3" t="s">
        <v>10</v>
      </c>
      <c r="C38" s="3" t="s">
        <v>11</v>
      </c>
      <c r="D38" s="3" t="s">
        <v>12</v>
      </c>
      <c r="E38" s="3" t="s">
        <v>13</v>
      </c>
      <c r="F38" s="3" t="s">
        <v>14</v>
      </c>
      <c r="G38" s="3" t="n">
        <v>104</v>
      </c>
      <c r="H38" s="3" t="n">
        <v>16928</v>
      </c>
      <c r="I38" s="3" t="s">
        <v>15</v>
      </c>
      <c r="J38" s="3" t="n">
        <f aca="false">SUMIFS($G$2:G38,$B$2:B38,B38,$F$2:F38,"Masuk")-SUMIFS($G$2:G38,$B$2:B38,B38,$F$2:F38,"Keluar")</f>
        <v>452</v>
      </c>
      <c r="K38" s="3" t="n">
        <f aca="false">IF(F38="Masuk",MAX(0,MIN(G38,SUMIFS($G$2:G38,$B$2:B38,B38,$F$2:F38,"Masuk")-SUMIFS($G$2:G38,$B$2:B38,B38,$F$2:F38,"Keluar"))),"")</f>
        <v>104</v>
      </c>
      <c r="L38" s="4" t="n">
        <f aca="false">IF(F38="Masuk",K38*H38,"")</f>
        <v>1760512</v>
      </c>
    </row>
    <row r="39" customFormat="false" ht="15" hidden="false" customHeight="false" outlineLevel="0" collapsed="false">
      <c r="A39" s="2" t="s">
        <v>53</v>
      </c>
      <c r="B39" s="3" t="s">
        <v>10</v>
      </c>
      <c r="C39" s="3" t="s">
        <v>11</v>
      </c>
      <c r="D39" s="3" t="s">
        <v>12</v>
      </c>
      <c r="E39" s="3" t="s">
        <v>13</v>
      </c>
      <c r="F39" s="3" t="s">
        <v>17</v>
      </c>
      <c r="G39" s="3" t="n">
        <v>71</v>
      </c>
      <c r="H39" s="3"/>
      <c r="I39" s="3" t="s">
        <v>15</v>
      </c>
      <c r="J39" s="3" t="n">
        <f aca="false">SUMIFS($G$2:G39,$B$2:B39,B39,$F$2:F39,"Masuk")-SUMIFS($G$2:G39,$B$2:B39,B39,$F$2:F39,"Keluar")</f>
        <v>381</v>
      </c>
      <c r="K39" s="3" t="str">
        <f aca="false">IF(F39="Masuk",MAX(0,MIN(G39,SUMIFS($G$2:G39,$B$2:B39,B39,$F$2:F39,"Masuk")-SUMIFS($G$2:G39,$B$2:B39,B39,$F$2:F39,"Keluar"))),"")</f>
        <v/>
      </c>
      <c r="L39" s="4" t="str">
        <f aca="false">IF(F39="Masuk",K39*H39,"")</f>
        <v/>
      </c>
    </row>
    <row r="40" customFormat="false" ht="15" hidden="false" customHeight="false" outlineLevel="0" collapsed="false">
      <c r="A40" s="2" t="s">
        <v>54</v>
      </c>
      <c r="B40" s="3" t="s">
        <v>10</v>
      </c>
      <c r="C40" s="3" t="s">
        <v>11</v>
      </c>
      <c r="D40" s="3" t="s">
        <v>12</v>
      </c>
      <c r="E40" s="3" t="s">
        <v>13</v>
      </c>
      <c r="F40" s="3" t="s">
        <v>17</v>
      </c>
      <c r="G40" s="3" t="n">
        <v>92</v>
      </c>
      <c r="H40" s="3"/>
      <c r="I40" s="3" t="s">
        <v>15</v>
      </c>
      <c r="J40" s="3" t="n">
        <f aca="false">SUMIFS($G$2:G40,$B$2:B40,B40,$F$2:F40,"Masuk")-SUMIFS($G$2:G40,$B$2:B40,B40,$F$2:F40,"Keluar")</f>
        <v>289</v>
      </c>
      <c r="K40" s="3" t="str">
        <f aca="false">IF(F40="Masuk",MAX(0,MIN(G40,SUMIFS($G$2:G40,$B$2:B40,B40,$F$2:F40,"Masuk")-SUMIFS($G$2:G40,$B$2:B40,B40,$F$2:F40,"Keluar"))),"")</f>
        <v/>
      </c>
      <c r="L40" s="4" t="str">
        <f aca="false">IF(F40="Masuk",K40*H40,"")</f>
        <v/>
      </c>
    </row>
    <row r="41" customFormat="false" ht="15" hidden="false" customHeight="false" outlineLevel="0" collapsed="false">
      <c r="A41" s="2" t="s">
        <v>55</v>
      </c>
      <c r="B41" s="3" t="s">
        <v>10</v>
      </c>
      <c r="C41" s="3" t="s">
        <v>11</v>
      </c>
      <c r="D41" s="3" t="s">
        <v>12</v>
      </c>
      <c r="E41" s="3" t="s">
        <v>13</v>
      </c>
      <c r="F41" s="3" t="s">
        <v>14</v>
      </c>
      <c r="G41" s="3" t="n">
        <v>31</v>
      </c>
      <c r="H41" s="3" t="n">
        <v>17047</v>
      </c>
      <c r="I41" s="3" t="s">
        <v>15</v>
      </c>
      <c r="J41" s="3" t="n">
        <f aca="false">SUMIFS($G$2:G41,$B$2:B41,B41,$F$2:F41,"Masuk")-SUMIFS($G$2:G41,$B$2:B41,B41,$F$2:F41,"Keluar")</f>
        <v>320</v>
      </c>
      <c r="K41" s="3" t="n">
        <f aca="false">IF(F41="Masuk",MAX(0,MIN(G41,SUMIFS($G$2:G41,$B$2:B41,B41,$F$2:F41,"Masuk")-SUMIFS($G$2:G41,$B$2:B41,B41,$F$2:F41,"Keluar"))),"")</f>
        <v>31</v>
      </c>
      <c r="L41" s="4" t="n">
        <f aca="false">IF(F41="Masuk",K41*H41,"")</f>
        <v>528457</v>
      </c>
    </row>
    <row r="42" customFormat="false" ht="15" hidden="false" customHeight="false" outlineLevel="0" collapsed="false">
      <c r="A42" s="2" t="s">
        <v>56</v>
      </c>
      <c r="B42" s="3" t="s">
        <v>10</v>
      </c>
      <c r="C42" s="3" t="s">
        <v>11</v>
      </c>
      <c r="D42" s="3" t="s">
        <v>12</v>
      </c>
      <c r="E42" s="3" t="s">
        <v>13</v>
      </c>
      <c r="F42" s="3" t="s">
        <v>17</v>
      </c>
      <c r="G42" s="3" t="n">
        <v>27</v>
      </c>
      <c r="H42" s="3"/>
      <c r="I42" s="3" t="s">
        <v>15</v>
      </c>
      <c r="J42" s="3" t="n">
        <f aca="false">SUMIFS($G$2:G42,$B$2:B42,B42,$F$2:F42,"Masuk")-SUMIFS($G$2:G42,$B$2:B42,B42,$F$2:F42,"Keluar")</f>
        <v>293</v>
      </c>
      <c r="K42" s="3" t="str">
        <f aca="false">IF(F42="Masuk",MAX(0,MIN(G42,SUMIFS($G$2:G42,$B$2:B42,B42,$F$2:F42,"Masuk")-SUMIFS($G$2:G42,$B$2:B42,B42,$F$2:F42,"Keluar"))),"")</f>
        <v/>
      </c>
      <c r="L42" s="4" t="str">
        <f aca="false">IF(F42="Masuk",K42*H42,"")</f>
        <v/>
      </c>
    </row>
    <row r="43" customFormat="false" ht="15" hidden="false" customHeight="false" outlineLevel="0" collapsed="false">
      <c r="A43" s="2" t="s">
        <v>57</v>
      </c>
      <c r="B43" s="3" t="s">
        <v>10</v>
      </c>
      <c r="C43" s="3" t="s">
        <v>11</v>
      </c>
      <c r="D43" s="3" t="s">
        <v>12</v>
      </c>
      <c r="E43" s="3" t="s">
        <v>13</v>
      </c>
      <c r="F43" s="3" t="s">
        <v>17</v>
      </c>
      <c r="G43" s="3" t="n">
        <v>83</v>
      </c>
      <c r="H43" s="3"/>
      <c r="I43" s="3" t="s">
        <v>15</v>
      </c>
      <c r="J43" s="3" t="n">
        <f aca="false">SUMIFS($G$2:G43,$B$2:B43,B43,$F$2:F43,"Masuk")-SUMIFS($G$2:G43,$B$2:B43,B43,$F$2:F43,"Keluar")</f>
        <v>210</v>
      </c>
      <c r="K43" s="3" t="str">
        <f aca="false">IF(F43="Masuk",MAX(0,MIN(G43,SUMIFS($G$2:G43,$B$2:B43,B43,$F$2:F43,"Masuk")-SUMIFS($G$2:G43,$B$2:B43,B43,$F$2:F43,"Keluar"))),"")</f>
        <v/>
      </c>
      <c r="L43" s="4" t="str">
        <f aca="false">IF(F43="Masuk",K43*H43,"")</f>
        <v/>
      </c>
    </row>
    <row r="44" customFormat="false" ht="15" hidden="false" customHeight="false" outlineLevel="0" collapsed="false">
      <c r="A44" s="2" t="s">
        <v>58</v>
      </c>
      <c r="B44" s="3" t="s">
        <v>10</v>
      </c>
      <c r="C44" s="3" t="s">
        <v>11</v>
      </c>
      <c r="D44" s="3" t="s">
        <v>12</v>
      </c>
      <c r="E44" s="3" t="s">
        <v>13</v>
      </c>
      <c r="F44" s="3" t="s">
        <v>14</v>
      </c>
      <c r="G44" s="3" t="n">
        <v>86</v>
      </c>
      <c r="H44" s="3" t="n">
        <v>17474</v>
      </c>
      <c r="I44" s="3" t="s">
        <v>15</v>
      </c>
      <c r="J44" s="3" t="n">
        <f aca="false">SUMIFS($G$2:G44,$B$2:B44,B44,$F$2:F44,"Masuk")-SUMIFS($G$2:G44,$B$2:B44,B44,$F$2:F44,"Keluar")</f>
        <v>296</v>
      </c>
      <c r="K44" s="3" t="n">
        <f aca="false">IF(F44="Masuk",MAX(0,MIN(G44,SUMIFS($G$2:G44,$B$2:B44,B44,$F$2:F44,"Masuk")-SUMIFS($G$2:G44,$B$2:B44,B44,$F$2:F44,"Keluar"))),"")</f>
        <v>86</v>
      </c>
      <c r="L44" s="4" t="n">
        <f aca="false">IF(F44="Masuk",K44*H44,"")</f>
        <v>1502764</v>
      </c>
    </row>
    <row r="45" customFormat="false" ht="15" hidden="false" customHeight="false" outlineLevel="0" collapsed="false">
      <c r="A45" s="2" t="s">
        <v>59</v>
      </c>
      <c r="B45" s="3" t="s">
        <v>10</v>
      </c>
      <c r="C45" s="3" t="s">
        <v>11</v>
      </c>
      <c r="D45" s="3" t="s">
        <v>12</v>
      </c>
      <c r="E45" s="3" t="s">
        <v>13</v>
      </c>
      <c r="F45" s="3" t="s">
        <v>17</v>
      </c>
      <c r="G45" s="3" t="n">
        <v>86</v>
      </c>
      <c r="H45" s="3"/>
      <c r="I45" s="3" t="s">
        <v>15</v>
      </c>
      <c r="J45" s="3" t="n">
        <f aca="false">SUMIFS($G$2:G45,$B$2:B45,B45,$F$2:F45,"Masuk")-SUMIFS($G$2:G45,$B$2:B45,B45,$F$2:F45,"Keluar")</f>
        <v>210</v>
      </c>
      <c r="K45" s="3" t="str">
        <f aca="false">IF(F45="Masuk",MAX(0,MIN(G45,SUMIFS($G$2:G45,$B$2:B45,B45,$F$2:F45,"Masuk")-SUMIFS($G$2:G45,$B$2:B45,B45,$F$2:F45,"Keluar"))),"")</f>
        <v/>
      </c>
      <c r="L45" s="4" t="str">
        <f aca="false">IF(F45="Masuk",K45*H45,"")</f>
        <v/>
      </c>
    </row>
    <row r="46" customFormat="false" ht="15" hidden="false" customHeight="false" outlineLevel="0" collapsed="false">
      <c r="A46" s="2" t="s">
        <v>60</v>
      </c>
      <c r="B46" s="3" t="s">
        <v>10</v>
      </c>
      <c r="C46" s="3" t="s">
        <v>11</v>
      </c>
      <c r="D46" s="3" t="s">
        <v>12</v>
      </c>
      <c r="E46" s="3" t="s">
        <v>13</v>
      </c>
      <c r="F46" s="3" t="s">
        <v>17</v>
      </c>
      <c r="G46" s="3" t="n">
        <v>102</v>
      </c>
      <c r="H46" s="3"/>
      <c r="I46" s="3" t="s">
        <v>15</v>
      </c>
      <c r="J46" s="3" t="n">
        <f aca="false">SUMIFS($G$2:G46,$B$2:B46,B46,$F$2:F46,"Masuk")-SUMIFS($G$2:G46,$B$2:B46,B46,$F$2:F46,"Keluar")</f>
        <v>108</v>
      </c>
      <c r="K46" s="3" t="str">
        <f aca="false">IF(F46="Masuk",MAX(0,MIN(G46,SUMIFS($G$2:G46,$B$2:B46,B46,$F$2:F46,"Masuk")-SUMIFS($G$2:G46,$B$2:B46,B46,$F$2:F46,"Keluar"))),"")</f>
        <v/>
      </c>
      <c r="L46" s="4" t="str">
        <f aca="false">IF(F46="Masuk",K46*H46,"")</f>
        <v/>
      </c>
    </row>
    <row r="47" customFormat="false" ht="15" hidden="false" customHeight="false" outlineLevel="0" collapsed="false">
      <c r="A47" s="2" t="s">
        <v>61</v>
      </c>
      <c r="B47" s="3" t="s">
        <v>62</v>
      </c>
      <c r="C47" s="3" t="s">
        <v>63</v>
      </c>
      <c r="D47" s="3" t="s">
        <v>12</v>
      </c>
      <c r="E47" s="3" t="s">
        <v>13</v>
      </c>
      <c r="F47" s="3" t="s">
        <v>14</v>
      </c>
      <c r="G47" s="3" t="n">
        <v>41</v>
      </c>
      <c r="H47" s="3" t="n">
        <v>24774</v>
      </c>
      <c r="I47" s="3" t="s">
        <v>15</v>
      </c>
      <c r="J47" s="3" t="n">
        <f aca="false">SUMIFS($G$2:G47,$B$2:B47,B47,$F$2:F47,"Masuk")-SUMIFS($G$2:G47,$B$2:B47,B47,$F$2:F47,"Keluar")</f>
        <v>41</v>
      </c>
      <c r="K47" s="3" t="n">
        <f aca="false">IF(F47="Masuk",MAX(0,MIN(G47,SUMIFS($G$2:G47,$B$2:B47,B47,$F$2:F47,"Masuk")-SUMIFS($G$2:G47,$B$2:B47,B47,$F$2:F47,"Keluar"))),"")</f>
        <v>41</v>
      </c>
      <c r="L47" s="4" t="n">
        <f aca="false">IF(F47="Masuk",K47*H47,"")</f>
        <v>1015734</v>
      </c>
    </row>
    <row r="48" customFormat="false" ht="15" hidden="false" customHeight="false" outlineLevel="0" collapsed="false">
      <c r="A48" s="2" t="s">
        <v>64</v>
      </c>
      <c r="B48" s="3" t="s">
        <v>62</v>
      </c>
      <c r="C48" s="3" t="s">
        <v>63</v>
      </c>
      <c r="D48" s="3" t="s">
        <v>12</v>
      </c>
      <c r="E48" s="3" t="s">
        <v>13</v>
      </c>
      <c r="F48" s="3" t="s">
        <v>17</v>
      </c>
      <c r="G48" s="3" t="n">
        <v>40</v>
      </c>
      <c r="H48" s="3"/>
      <c r="I48" s="3" t="s">
        <v>15</v>
      </c>
      <c r="J48" s="3" t="n">
        <f aca="false">SUMIFS($G$2:G48,$B$2:B48,B48,$F$2:F48,"Masuk")-SUMIFS($G$2:G48,$B$2:B48,B48,$F$2:F48,"Keluar")</f>
        <v>1</v>
      </c>
      <c r="K48" s="3" t="str">
        <f aca="false">IF(F48="Masuk",MAX(0,MIN(G48,SUMIFS($G$2:G48,$B$2:B48,B48,$F$2:F48,"Masuk")-SUMIFS($G$2:G48,$B$2:B48,B48,$F$2:F48,"Keluar"))),"")</f>
        <v/>
      </c>
      <c r="L48" s="4" t="str">
        <f aca="false">IF(F48="Masuk",K48*H48,"")</f>
        <v/>
      </c>
    </row>
    <row r="49" customFormat="false" ht="15" hidden="false" customHeight="false" outlineLevel="0" collapsed="false">
      <c r="A49" s="2" t="s">
        <v>19</v>
      </c>
      <c r="B49" s="3" t="s">
        <v>62</v>
      </c>
      <c r="C49" s="3" t="s">
        <v>63</v>
      </c>
      <c r="D49" s="3" t="s">
        <v>12</v>
      </c>
      <c r="E49" s="3" t="s">
        <v>13</v>
      </c>
      <c r="F49" s="3" t="s">
        <v>14</v>
      </c>
      <c r="G49" s="3" t="n">
        <v>63</v>
      </c>
      <c r="H49" s="3" t="n">
        <v>24797</v>
      </c>
      <c r="I49" s="3" t="s">
        <v>15</v>
      </c>
      <c r="J49" s="3" t="n">
        <f aca="false">SUMIFS($G$2:G49,$B$2:B49,B49,$F$2:F49,"Masuk")-SUMIFS($G$2:G49,$B$2:B49,B49,$F$2:F49,"Keluar")</f>
        <v>64</v>
      </c>
      <c r="K49" s="3" t="n">
        <f aca="false">IF(F49="Masuk",MAX(0,MIN(G49,SUMIFS($G$2:G49,$B$2:B49,B49,$F$2:F49,"Masuk")-SUMIFS($G$2:G49,$B$2:B49,B49,$F$2:F49,"Keluar"))),"")</f>
        <v>63</v>
      </c>
      <c r="L49" s="4" t="n">
        <f aca="false">IF(F49="Masuk",K49*H49,"")</f>
        <v>1562211</v>
      </c>
    </row>
    <row r="50" customFormat="false" ht="15" hidden="false" customHeight="false" outlineLevel="0" collapsed="false">
      <c r="A50" s="2" t="s">
        <v>65</v>
      </c>
      <c r="B50" s="3" t="s">
        <v>62</v>
      </c>
      <c r="C50" s="3" t="s">
        <v>63</v>
      </c>
      <c r="D50" s="3" t="s">
        <v>12</v>
      </c>
      <c r="E50" s="3" t="s">
        <v>13</v>
      </c>
      <c r="F50" s="3" t="s">
        <v>17</v>
      </c>
      <c r="G50" s="3" t="n">
        <v>60</v>
      </c>
      <c r="H50" s="3"/>
      <c r="I50" s="3" t="s">
        <v>15</v>
      </c>
      <c r="J50" s="3" t="n">
        <f aca="false">SUMIFS($G$2:G50,$B$2:B50,B50,$F$2:F50,"Masuk")-SUMIFS($G$2:G50,$B$2:B50,B50,$F$2:F50,"Keluar")</f>
        <v>4</v>
      </c>
      <c r="K50" s="3" t="str">
        <f aca="false">IF(F50="Masuk",MAX(0,MIN(G50,SUMIFS($G$2:G50,$B$2:B50,B50,$F$2:F50,"Masuk")-SUMIFS($G$2:G50,$B$2:B50,B50,$F$2:F50,"Keluar"))),"")</f>
        <v/>
      </c>
      <c r="L50" s="4" t="str">
        <f aca="false">IF(F50="Masuk",K50*H50,"")</f>
        <v/>
      </c>
    </row>
    <row r="51" customFormat="false" ht="15" hidden="false" customHeight="false" outlineLevel="0" collapsed="false">
      <c r="A51" s="2" t="s">
        <v>66</v>
      </c>
      <c r="B51" s="3" t="s">
        <v>62</v>
      </c>
      <c r="C51" s="3" t="s">
        <v>63</v>
      </c>
      <c r="D51" s="3" t="s">
        <v>12</v>
      </c>
      <c r="E51" s="3" t="s">
        <v>13</v>
      </c>
      <c r="F51" s="3" t="s">
        <v>14</v>
      </c>
      <c r="G51" s="3" t="n">
        <v>66</v>
      </c>
      <c r="H51" s="3" t="n">
        <v>27184</v>
      </c>
      <c r="I51" s="3" t="s">
        <v>15</v>
      </c>
      <c r="J51" s="3" t="n">
        <f aca="false">SUMIFS($G$2:G51,$B$2:B51,B51,$F$2:F51,"Masuk")-SUMIFS($G$2:G51,$B$2:B51,B51,$F$2:F51,"Keluar")</f>
        <v>70</v>
      </c>
      <c r="K51" s="3" t="n">
        <f aca="false">IF(F51="Masuk",MAX(0,MIN(G51,SUMIFS($G$2:G51,$B$2:B51,B51,$F$2:F51,"Masuk")-SUMIFS($G$2:G51,$B$2:B51,B51,$F$2:F51,"Keluar"))),"")</f>
        <v>66</v>
      </c>
      <c r="L51" s="4" t="n">
        <f aca="false">IF(F51="Masuk",K51*H51,"")</f>
        <v>1794144</v>
      </c>
    </row>
    <row r="52" customFormat="false" ht="15" hidden="false" customHeight="false" outlineLevel="0" collapsed="false">
      <c r="A52" s="2" t="s">
        <v>67</v>
      </c>
      <c r="B52" s="3" t="s">
        <v>62</v>
      </c>
      <c r="C52" s="3" t="s">
        <v>63</v>
      </c>
      <c r="D52" s="3" t="s">
        <v>12</v>
      </c>
      <c r="E52" s="3" t="s">
        <v>13</v>
      </c>
      <c r="F52" s="3" t="s">
        <v>14</v>
      </c>
      <c r="G52" s="3" t="n">
        <v>195</v>
      </c>
      <c r="H52" s="3" t="n">
        <v>25807</v>
      </c>
      <c r="I52" s="3" t="s">
        <v>15</v>
      </c>
      <c r="J52" s="3" t="n">
        <f aca="false">SUMIFS($G$2:G52,$B$2:B52,B52,$F$2:F52,"Masuk")-SUMIFS($G$2:G52,$B$2:B52,B52,$F$2:F52,"Keluar")</f>
        <v>265</v>
      </c>
      <c r="K52" s="3" t="n">
        <f aca="false">IF(F52="Masuk",MAX(0,MIN(G52,SUMIFS($G$2:G52,$B$2:B52,B52,$F$2:F52,"Masuk")-SUMIFS($G$2:G52,$B$2:B52,B52,$F$2:F52,"Keluar"))),"")</f>
        <v>195</v>
      </c>
      <c r="L52" s="4" t="n">
        <f aca="false">IF(F52="Masuk",K52*H52,"")</f>
        <v>5032365</v>
      </c>
    </row>
    <row r="53" customFormat="false" ht="15" hidden="false" customHeight="false" outlineLevel="0" collapsed="false">
      <c r="A53" s="2" t="s">
        <v>68</v>
      </c>
      <c r="B53" s="3" t="s">
        <v>62</v>
      </c>
      <c r="C53" s="3" t="s">
        <v>63</v>
      </c>
      <c r="D53" s="3" t="s">
        <v>12</v>
      </c>
      <c r="E53" s="3" t="s">
        <v>13</v>
      </c>
      <c r="F53" s="3" t="s">
        <v>17</v>
      </c>
      <c r="G53" s="3" t="n">
        <v>18</v>
      </c>
      <c r="H53" s="3"/>
      <c r="I53" s="3" t="s">
        <v>15</v>
      </c>
      <c r="J53" s="3" t="n">
        <f aca="false">SUMIFS($G$2:G53,$B$2:B53,B53,$F$2:F53,"Masuk")-SUMIFS($G$2:G53,$B$2:B53,B53,$F$2:F53,"Keluar")</f>
        <v>247</v>
      </c>
      <c r="K53" s="3" t="str">
        <f aca="false">IF(F53="Masuk",MAX(0,MIN(G53,SUMIFS($G$2:G53,$B$2:B53,B53,$F$2:F53,"Masuk")-SUMIFS($G$2:G53,$B$2:B53,B53,$F$2:F53,"Keluar"))),"")</f>
        <v/>
      </c>
      <c r="L53" s="4" t="str">
        <f aca="false">IF(F53="Masuk",K53*H53,"")</f>
        <v/>
      </c>
    </row>
    <row r="54" customFormat="false" ht="15" hidden="false" customHeight="false" outlineLevel="0" collapsed="false">
      <c r="A54" s="2" t="s">
        <v>69</v>
      </c>
      <c r="B54" s="3" t="s">
        <v>62</v>
      </c>
      <c r="C54" s="3" t="s">
        <v>63</v>
      </c>
      <c r="D54" s="3" t="s">
        <v>12</v>
      </c>
      <c r="E54" s="3" t="s">
        <v>13</v>
      </c>
      <c r="F54" s="3" t="s">
        <v>14</v>
      </c>
      <c r="G54" s="3" t="n">
        <v>53</v>
      </c>
      <c r="H54" s="3" t="n">
        <v>23889</v>
      </c>
      <c r="I54" s="3" t="s">
        <v>15</v>
      </c>
      <c r="J54" s="3" t="n">
        <f aca="false">SUMIFS($G$2:G54,$B$2:B54,B54,$F$2:F54,"Masuk")-SUMIFS($G$2:G54,$B$2:B54,B54,$F$2:F54,"Keluar")</f>
        <v>300</v>
      </c>
      <c r="K54" s="3" t="n">
        <f aca="false">IF(F54="Masuk",MAX(0,MIN(G54,SUMIFS($G$2:G54,$B$2:B54,B54,$F$2:F54,"Masuk")-SUMIFS($G$2:G54,$B$2:B54,B54,$F$2:F54,"Keluar"))),"")</f>
        <v>53</v>
      </c>
      <c r="L54" s="4" t="n">
        <f aca="false">IF(F54="Masuk",K54*H54,"")</f>
        <v>1266117</v>
      </c>
    </row>
    <row r="55" customFormat="false" ht="15" hidden="false" customHeight="false" outlineLevel="0" collapsed="false">
      <c r="A55" s="2" t="s">
        <v>70</v>
      </c>
      <c r="B55" s="3" t="s">
        <v>62</v>
      </c>
      <c r="C55" s="3" t="s">
        <v>63</v>
      </c>
      <c r="D55" s="3" t="s">
        <v>12</v>
      </c>
      <c r="E55" s="3" t="s">
        <v>13</v>
      </c>
      <c r="F55" s="3" t="s">
        <v>14</v>
      </c>
      <c r="G55" s="3" t="n">
        <v>149</v>
      </c>
      <c r="H55" s="3" t="n">
        <v>26438</v>
      </c>
      <c r="I55" s="3" t="s">
        <v>15</v>
      </c>
      <c r="J55" s="3" t="n">
        <f aca="false">SUMIFS($G$2:G55,$B$2:B55,B55,$F$2:F55,"Masuk")-SUMIFS($G$2:G55,$B$2:B55,B55,$F$2:F55,"Keluar")</f>
        <v>449</v>
      </c>
      <c r="K55" s="3" t="n">
        <f aca="false">IF(F55="Masuk",MAX(0,MIN(G55,SUMIFS($G$2:G55,$B$2:B55,B55,$F$2:F55,"Masuk")-SUMIFS($G$2:G55,$B$2:B55,B55,$F$2:F55,"Keluar"))),"")</f>
        <v>149</v>
      </c>
      <c r="L55" s="4" t="n">
        <f aca="false">IF(F55="Masuk",K55*H55,"")</f>
        <v>3939262</v>
      </c>
    </row>
    <row r="56" customFormat="false" ht="15" hidden="false" customHeight="false" outlineLevel="0" collapsed="false">
      <c r="A56" s="2" t="s">
        <v>71</v>
      </c>
      <c r="B56" s="3" t="s">
        <v>62</v>
      </c>
      <c r="C56" s="3" t="s">
        <v>63</v>
      </c>
      <c r="D56" s="3" t="s">
        <v>12</v>
      </c>
      <c r="E56" s="3" t="s">
        <v>13</v>
      </c>
      <c r="F56" s="3" t="s">
        <v>17</v>
      </c>
      <c r="G56" s="3" t="n">
        <v>32</v>
      </c>
      <c r="H56" s="3"/>
      <c r="I56" s="3" t="s">
        <v>15</v>
      </c>
      <c r="J56" s="3" t="n">
        <f aca="false">SUMIFS($G$2:G56,$B$2:B56,B56,$F$2:F56,"Masuk")-SUMIFS($G$2:G56,$B$2:B56,B56,$F$2:F56,"Keluar")</f>
        <v>417</v>
      </c>
      <c r="K56" s="3" t="str">
        <f aca="false">IF(F56="Masuk",MAX(0,MIN(G56,SUMIFS($G$2:G56,$B$2:B56,B56,$F$2:F56,"Masuk")-SUMIFS($G$2:G56,$B$2:B56,B56,$F$2:F56,"Keluar"))),"")</f>
        <v/>
      </c>
      <c r="L56" s="4" t="str">
        <f aca="false">IF(F56="Masuk",K56*H56,"")</f>
        <v/>
      </c>
    </row>
    <row r="57" customFormat="false" ht="15" hidden="false" customHeight="false" outlineLevel="0" collapsed="false">
      <c r="A57" s="2" t="s">
        <v>25</v>
      </c>
      <c r="B57" s="3" t="s">
        <v>62</v>
      </c>
      <c r="C57" s="3" t="s">
        <v>63</v>
      </c>
      <c r="D57" s="3" t="s">
        <v>12</v>
      </c>
      <c r="E57" s="3" t="s">
        <v>13</v>
      </c>
      <c r="F57" s="3" t="s">
        <v>17</v>
      </c>
      <c r="G57" s="3" t="n">
        <v>86</v>
      </c>
      <c r="H57" s="3"/>
      <c r="I57" s="3" t="s">
        <v>15</v>
      </c>
      <c r="J57" s="3" t="n">
        <f aca="false">SUMIFS($G$2:G57,$B$2:B57,B57,$F$2:F57,"Masuk")-SUMIFS($G$2:G57,$B$2:B57,B57,$F$2:F57,"Keluar")</f>
        <v>331</v>
      </c>
      <c r="K57" s="3" t="str">
        <f aca="false">IF(F57="Masuk",MAX(0,MIN(G57,SUMIFS($G$2:G57,$B$2:B57,B57,$F$2:F57,"Masuk")-SUMIFS($G$2:G57,$B$2:B57,B57,$F$2:F57,"Keluar"))),"")</f>
        <v/>
      </c>
      <c r="L57" s="4" t="str">
        <f aca="false">IF(F57="Masuk",K57*H57,"")</f>
        <v/>
      </c>
    </row>
    <row r="58" customFormat="false" ht="15" hidden="false" customHeight="false" outlineLevel="0" collapsed="false">
      <c r="A58" s="2" t="s">
        <v>72</v>
      </c>
      <c r="B58" s="3" t="s">
        <v>62</v>
      </c>
      <c r="C58" s="3" t="s">
        <v>63</v>
      </c>
      <c r="D58" s="3" t="s">
        <v>12</v>
      </c>
      <c r="E58" s="3" t="s">
        <v>13</v>
      </c>
      <c r="F58" s="3" t="s">
        <v>17</v>
      </c>
      <c r="G58" s="3" t="n">
        <v>78</v>
      </c>
      <c r="H58" s="3"/>
      <c r="I58" s="3" t="s">
        <v>15</v>
      </c>
      <c r="J58" s="3" t="n">
        <f aca="false">SUMIFS($G$2:G58,$B$2:B58,B58,$F$2:F58,"Masuk")-SUMIFS($G$2:G58,$B$2:B58,B58,$F$2:F58,"Keluar")</f>
        <v>253</v>
      </c>
      <c r="K58" s="3" t="str">
        <f aca="false">IF(F58="Masuk",MAX(0,MIN(G58,SUMIFS($G$2:G58,$B$2:B58,B58,$F$2:F58,"Masuk")-SUMIFS($G$2:G58,$B$2:B58,B58,$F$2:F58,"Keluar"))),"")</f>
        <v/>
      </c>
      <c r="L58" s="4" t="str">
        <f aca="false">IF(F58="Masuk",K58*H58,"")</f>
        <v/>
      </c>
    </row>
    <row r="59" customFormat="false" ht="15" hidden="false" customHeight="false" outlineLevel="0" collapsed="false">
      <c r="A59" s="2" t="s">
        <v>73</v>
      </c>
      <c r="B59" s="3" t="s">
        <v>62</v>
      </c>
      <c r="C59" s="3" t="s">
        <v>63</v>
      </c>
      <c r="D59" s="3" t="s">
        <v>12</v>
      </c>
      <c r="E59" s="3" t="s">
        <v>13</v>
      </c>
      <c r="F59" s="3" t="s">
        <v>17</v>
      </c>
      <c r="G59" s="3" t="n">
        <v>21</v>
      </c>
      <c r="H59" s="3"/>
      <c r="I59" s="3" t="s">
        <v>15</v>
      </c>
      <c r="J59" s="3" t="n">
        <f aca="false">SUMIFS($G$2:G59,$B$2:B59,B59,$F$2:F59,"Masuk")-SUMIFS($G$2:G59,$B$2:B59,B59,$F$2:F59,"Keluar")</f>
        <v>232</v>
      </c>
      <c r="K59" s="3" t="str">
        <f aca="false">IF(F59="Masuk",MAX(0,MIN(G59,SUMIFS($G$2:G59,$B$2:B59,B59,$F$2:F59,"Masuk")-SUMIFS($G$2:G59,$B$2:B59,B59,$F$2:F59,"Keluar"))),"")</f>
        <v/>
      </c>
      <c r="L59" s="4" t="str">
        <f aca="false">IF(F59="Masuk",K59*H59,"")</f>
        <v/>
      </c>
    </row>
    <row r="60" customFormat="false" ht="15" hidden="false" customHeight="false" outlineLevel="0" collapsed="false">
      <c r="A60" s="2" t="s">
        <v>74</v>
      </c>
      <c r="B60" s="3" t="s">
        <v>62</v>
      </c>
      <c r="C60" s="3" t="s">
        <v>63</v>
      </c>
      <c r="D60" s="3" t="s">
        <v>12</v>
      </c>
      <c r="E60" s="3" t="s">
        <v>13</v>
      </c>
      <c r="F60" s="3" t="s">
        <v>17</v>
      </c>
      <c r="G60" s="3" t="n">
        <v>87</v>
      </c>
      <c r="H60" s="3"/>
      <c r="I60" s="3" t="s">
        <v>15</v>
      </c>
      <c r="J60" s="3" t="n">
        <f aca="false">SUMIFS($G$2:G60,$B$2:B60,B60,$F$2:F60,"Masuk")-SUMIFS($G$2:G60,$B$2:B60,B60,$F$2:F60,"Keluar")</f>
        <v>145</v>
      </c>
      <c r="K60" s="3" t="str">
        <f aca="false">IF(F60="Masuk",MAX(0,MIN(G60,SUMIFS($G$2:G60,$B$2:B60,B60,$F$2:F60,"Masuk")-SUMIFS($G$2:G60,$B$2:B60,B60,$F$2:F60,"Keluar"))),"")</f>
        <v/>
      </c>
      <c r="L60" s="4" t="str">
        <f aca="false">IF(F60="Masuk",K60*H60,"")</f>
        <v/>
      </c>
    </row>
    <row r="61" customFormat="false" ht="15" hidden="false" customHeight="false" outlineLevel="0" collapsed="false">
      <c r="A61" s="2" t="s">
        <v>75</v>
      </c>
      <c r="B61" s="3" t="s">
        <v>62</v>
      </c>
      <c r="C61" s="3" t="s">
        <v>63</v>
      </c>
      <c r="D61" s="3" t="s">
        <v>12</v>
      </c>
      <c r="E61" s="3" t="s">
        <v>13</v>
      </c>
      <c r="F61" s="3" t="s">
        <v>17</v>
      </c>
      <c r="G61" s="3" t="n">
        <v>109</v>
      </c>
      <c r="H61" s="3"/>
      <c r="I61" s="3" t="s">
        <v>15</v>
      </c>
      <c r="J61" s="3" t="n">
        <f aca="false">SUMIFS($G$2:G61,$B$2:B61,B61,$F$2:F61,"Masuk")-SUMIFS($G$2:G61,$B$2:B61,B61,$F$2:F61,"Keluar")</f>
        <v>36</v>
      </c>
      <c r="K61" s="3" t="str">
        <f aca="false">IF(F61="Masuk",MAX(0,MIN(G61,SUMIFS($G$2:G61,$B$2:B61,B61,$F$2:F61,"Masuk")-SUMIFS($G$2:G61,$B$2:B61,B61,$F$2:F61,"Keluar"))),"")</f>
        <v/>
      </c>
      <c r="L61" s="4" t="str">
        <f aca="false">IF(F61="Masuk",K61*H61,"")</f>
        <v/>
      </c>
    </row>
    <row r="62" customFormat="false" ht="15" hidden="false" customHeight="false" outlineLevel="0" collapsed="false">
      <c r="A62" s="2" t="s">
        <v>30</v>
      </c>
      <c r="B62" s="3" t="s">
        <v>62</v>
      </c>
      <c r="C62" s="3" t="s">
        <v>63</v>
      </c>
      <c r="D62" s="3" t="s">
        <v>12</v>
      </c>
      <c r="E62" s="3" t="s">
        <v>13</v>
      </c>
      <c r="F62" s="3" t="s">
        <v>17</v>
      </c>
      <c r="G62" s="3" t="n">
        <v>26</v>
      </c>
      <c r="H62" s="3"/>
      <c r="I62" s="3" t="s">
        <v>15</v>
      </c>
      <c r="J62" s="3" t="n">
        <f aca="false">SUMIFS($G$2:G62,$B$2:B62,B62,$F$2:F62,"Masuk")-SUMIFS($G$2:G62,$B$2:B62,B62,$F$2:F62,"Keluar")</f>
        <v>10</v>
      </c>
      <c r="K62" s="3" t="str">
        <f aca="false">IF(F62="Masuk",MAX(0,MIN(G62,SUMIFS($G$2:G62,$B$2:B62,B62,$F$2:F62,"Masuk")-SUMIFS($G$2:G62,$B$2:B62,B62,$F$2:F62,"Keluar"))),"")</f>
        <v/>
      </c>
      <c r="L62" s="4" t="str">
        <f aca="false">IF(F62="Masuk",K62*H62,"")</f>
        <v/>
      </c>
    </row>
    <row r="63" customFormat="false" ht="15" hidden="false" customHeight="false" outlineLevel="0" collapsed="false">
      <c r="A63" s="2" t="s">
        <v>76</v>
      </c>
      <c r="B63" s="3" t="s">
        <v>62</v>
      </c>
      <c r="C63" s="3" t="s">
        <v>63</v>
      </c>
      <c r="D63" s="3" t="s">
        <v>12</v>
      </c>
      <c r="E63" s="3" t="s">
        <v>13</v>
      </c>
      <c r="F63" s="3" t="s">
        <v>14</v>
      </c>
      <c r="G63" s="3" t="n">
        <v>114</v>
      </c>
      <c r="H63" s="3" t="n">
        <v>23355</v>
      </c>
      <c r="I63" s="3" t="s">
        <v>15</v>
      </c>
      <c r="J63" s="3" t="n">
        <f aca="false">SUMIFS($G$2:G63,$B$2:B63,B63,$F$2:F63,"Masuk")-SUMIFS($G$2:G63,$B$2:B63,B63,$F$2:F63,"Keluar")</f>
        <v>124</v>
      </c>
      <c r="K63" s="3" t="n">
        <f aca="false">IF(F63="Masuk",MAX(0,MIN(G63,SUMIFS($G$2:G63,$B$2:B63,B63,$F$2:F63,"Masuk")-SUMIFS($G$2:G63,$B$2:B63,B63,$F$2:F63,"Keluar"))),"")</f>
        <v>114</v>
      </c>
      <c r="L63" s="4" t="n">
        <f aca="false">IF(F63="Masuk",K63*H63,"")</f>
        <v>2662470</v>
      </c>
    </row>
    <row r="64" customFormat="false" ht="15" hidden="false" customHeight="false" outlineLevel="0" collapsed="false">
      <c r="A64" s="2" t="s">
        <v>32</v>
      </c>
      <c r="B64" s="3" t="s">
        <v>62</v>
      </c>
      <c r="C64" s="3" t="s">
        <v>63</v>
      </c>
      <c r="D64" s="3" t="s">
        <v>12</v>
      </c>
      <c r="E64" s="3" t="s">
        <v>13</v>
      </c>
      <c r="F64" s="3" t="s">
        <v>17</v>
      </c>
      <c r="G64" s="3" t="n">
        <v>39</v>
      </c>
      <c r="H64" s="3"/>
      <c r="I64" s="3" t="s">
        <v>15</v>
      </c>
      <c r="J64" s="3" t="n">
        <f aca="false">SUMIFS($G$2:G64,$B$2:B64,B64,$F$2:F64,"Masuk")-SUMIFS($G$2:G64,$B$2:B64,B64,$F$2:F64,"Keluar")</f>
        <v>85</v>
      </c>
      <c r="K64" s="3" t="str">
        <f aca="false">IF(F64="Masuk",MAX(0,MIN(G64,SUMIFS($G$2:G64,$B$2:B64,B64,$F$2:F64,"Masuk")-SUMIFS($G$2:G64,$B$2:B64,B64,$F$2:F64,"Keluar"))),"")</f>
        <v/>
      </c>
      <c r="L64" s="4" t="str">
        <f aca="false">IF(F64="Masuk",K64*H64,"")</f>
        <v/>
      </c>
    </row>
    <row r="65" customFormat="false" ht="15" hidden="false" customHeight="false" outlineLevel="0" collapsed="false">
      <c r="A65" s="2" t="s">
        <v>77</v>
      </c>
      <c r="B65" s="3" t="s">
        <v>62</v>
      </c>
      <c r="C65" s="3" t="s">
        <v>63</v>
      </c>
      <c r="D65" s="3" t="s">
        <v>12</v>
      </c>
      <c r="E65" s="3" t="s">
        <v>13</v>
      </c>
      <c r="F65" s="3" t="s">
        <v>17</v>
      </c>
      <c r="G65" s="3" t="n">
        <v>58</v>
      </c>
      <c r="H65" s="3"/>
      <c r="I65" s="3" t="s">
        <v>15</v>
      </c>
      <c r="J65" s="3" t="n">
        <f aca="false">SUMIFS($G$2:G65,$B$2:B65,B65,$F$2:F65,"Masuk")-SUMIFS($G$2:G65,$B$2:B65,B65,$F$2:F65,"Keluar")</f>
        <v>27</v>
      </c>
      <c r="K65" s="3" t="str">
        <f aca="false">IF(F65="Masuk",MAX(0,MIN(G65,SUMIFS($G$2:G65,$B$2:B65,B65,$F$2:F65,"Masuk")-SUMIFS($G$2:G65,$B$2:B65,B65,$F$2:F65,"Keluar"))),"")</f>
        <v/>
      </c>
      <c r="L65" s="4" t="str">
        <f aca="false">IF(F65="Masuk",K65*H65,"")</f>
        <v/>
      </c>
    </row>
    <row r="66" customFormat="false" ht="15" hidden="false" customHeight="false" outlineLevel="0" collapsed="false">
      <c r="A66" s="2" t="s">
        <v>34</v>
      </c>
      <c r="B66" s="3" t="s">
        <v>62</v>
      </c>
      <c r="C66" s="3" t="s">
        <v>63</v>
      </c>
      <c r="D66" s="3" t="s">
        <v>12</v>
      </c>
      <c r="E66" s="3" t="s">
        <v>13</v>
      </c>
      <c r="F66" s="3" t="s">
        <v>14</v>
      </c>
      <c r="G66" s="3" t="n">
        <v>170</v>
      </c>
      <c r="H66" s="3" t="n">
        <v>27719</v>
      </c>
      <c r="I66" s="3" t="s">
        <v>15</v>
      </c>
      <c r="J66" s="3" t="n">
        <f aca="false">SUMIFS($G$2:G66,$B$2:B66,B66,$F$2:F66,"Masuk")-SUMIFS($G$2:G66,$B$2:B66,B66,$F$2:F66,"Keluar")</f>
        <v>197</v>
      </c>
      <c r="K66" s="3" t="n">
        <f aca="false">IF(F66="Masuk",MAX(0,MIN(G66,SUMIFS($G$2:G66,$B$2:B66,B66,$F$2:F66,"Masuk")-SUMIFS($G$2:G66,$B$2:B66,B66,$F$2:F66,"Keluar"))),"")</f>
        <v>170</v>
      </c>
      <c r="L66" s="4" t="n">
        <f aca="false">IF(F66="Masuk",K66*H66,"")</f>
        <v>4712230</v>
      </c>
    </row>
    <row r="67" customFormat="false" ht="15" hidden="false" customHeight="false" outlineLevel="0" collapsed="false">
      <c r="A67" s="2" t="s">
        <v>78</v>
      </c>
      <c r="B67" s="3" t="s">
        <v>62</v>
      </c>
      <c r="C67" s="3" t="s">
        <v>63</v>
      </c>
      <c r="D67" s="3" t="s">
        <v>12</v>
      </c>
      <c r="E67" s="3" t="s">
        <v>13</v>
      </c>
      <c r="F67" s="3" t="s">
        <v>14</v>
      </c>
      <c r="G67" s="3" t="n">
        <v>85</v>
      </c>
      <c r="H67" s="3" t="n">
        <v>26908</v>
      </c>
      <c r="I67" s="3" t="s">
        <v>15</v>
      </c>
      <c r="J67" s="3" t="n">
        <f aca="false">SUMIFS($G$2:G67,$B$2:B67,B67,$F$2:F67,"Masuk")-SUMIFS($G$2:G67,$B$2:B67,B67,$F$2:F67,"Keluar")</f>
        <v>282</v>
      </c>
      <c r="K67" s="3" t="n">
        <f aca="false">IF(F67="Masuk",MAX(0,MIN(G67,SUMIFS($G$2:G67,$B$2:B67,B67,$F$2:F67,"Masuk")-SUMIFS($G$2:G67,$B$2:B67,B67,$F$2:F67,"Keluar"))),"")</f>
        <v>85</v>
      </c>
      <c r="L67" s="4" t="n">
        <f aca="false">IF(F67="Masuk",K67*H67,"")</f>
        <v>2287180</v>
      </c>
    </row>
    <row r="68" customFormat="false" ht="15" hidden="false" customHeight="false" outlineLevel="0" collapsed="false">
      <c r="A68" s="2" t="s">
        <v>35</v>
      </c>
      <c r="B68" s="3" t="s">
        <v>62</v>
      </c>
      <c r="C68" s="3" t="s">
        <v>63</v>
      </c>
      <c r="D68" s="3" t="s">
        <v>12</v>
      </c>
      <c r="E68" s="3" t="s">
        <v>13</v>
      </c>
      <c r="F68" s="3" t="s">
        <v>17</v>
      </c>
      <c r="G68" s="3" t="n">
        <v>20</v>
      </c>
      <c r="H68" s="3"/>
      <c r="I68" s="3" t="s">
        <v>15</v>
      </c>
      <c r="J68" s="3" t="n">
        <f aca="false">SUMIFS($G$2:G68,$B$2:B68,B68,$F$2:F68,"Masuk")-SUMIFS($G$2:G68,$B$2:B68,B68,$F$2:F68,"Keluar")</f>
        <v>262</v>
      </c>
      <c r="K68" s="3" t="str">
        <f aca="false">IF(F68="Masuk",MAX(0,MIN(G68,SUMIFS($G$2:G68,$B$2:B68,B68,$F$2:F68,"Masuk")-SUMIFS($G$2:G68,$B$2:B68,B68,$F$2:F68,"Keluar"))),"")</f>
        <v/>
      </c>
      <c r="L68" s="4" t="str">
        <f aca="false">IF(F68="Masuk",K68*H68,"")</f>
        <v/>
      </c>
    </row>
    <row r="69" customFormat="false" ht="15" hidden="false" customHeight="false" outlineLevel="0" collapsed="false">
      <c r="A69" s="2" t="s">
        <v>79</v>
      </c>
      <c r="B69" s="3" t="s">
        <v>62</v>
      </c>
      <c r="C69" s="3" t="s">
        <v>63</v>
      </c>
      <c r="D69" s="3" t="s">
        <v>12</v>
      </c>
      <c r="E69" s="3" t="s">
        <v>13</v>
      </c>
      <c r="F69" s="3" t="s">
        <v>17</v>
      </c>
      <c r="G69" s="3" t="n">
        <v>79</v>
      </c>
      <c r="H69" s="3"/>
      <c r="I69" s="3" t="s">
        <v>15</v>
      </c>
      <c r="J69" s="3" t="n">
        <f aca="false">SUMIFS($G$2:G69,$B$2:B69,B69,$F$2:F69,"Masuk")-SUMIFS($G$2:G69,$B$2:B69,B69,$F$2:F69,"Keluar")</f>
        <v>183</v>
      </c>
      <c r="K69" s="3" t="str">
        <f aca="false">IF(F69="Masuk",MAX(0,MIN(G69,SUMIFS($G$2:G69,$B$2:B69,B69,$F$2:F69,"Masuk")-SUMIFS($G$2:G69,$B$2:B69,B69,$F$2:F69,"Keluar"))),"")</f>
        <v/>
      </c>
      <c r="L69" s="4" t="str">
        <f aca="false">IF(F69="Masuk",K69*H69,"")</f>
        <v/>
      </c>
    </row>
    <row r="70" customFormat="false" ht="15" hidden="false" customHeight="false" outlineLevel="0" collapsed="false">
      <c r="A70" s="2" t="s">
        <v>37</v>
      </c>
      <c r="B70" s="3" t="s">
        <v>62</v>
      </c>
      <c r="C70" s="3" t="s">
        <v>63</v>
      </c>
      <c r="D70" s="3" t="s">
        <v>12</v>
      </c>
      <c r="E70" s="3" t="s">
        <v>13</v>
      </c>
      <c r="F70" s="3" t="s">
        <v>14</v>
      </c>
      <c r="G70" s="3" t="n">
        <v>21</v>
      </c>
      <c r="H70" s="3" t="n">
        <v>23058</v>
      </c>
      <c r="I70" s="3" t="s">
        <v>15</v>
      </c>
      <c r="J70" s="3" t="n">
        <f aca="false">SUMIFS($G$2:G70,$B$2:B70,B70,$F$2:F70,"Masuk")-SUMIFS($G$2:G70,$B$2:B70,B70,$F$2:F70,"Keluar")</f>
        <v>204</v>
      </c>
      <c r="K70" s="3" t="n">
        <f aca="false">IF(F70="Masuk",MAX(0,MIN(G70,SUMIFS($G$2:G70,$B$2:B70,B70,$F$2:F70,"Masuk")-SUMIFS($G$2:G70,$B$2:B70,B70,$F$2:F70,"Keluar"))),"")</f>
        <v>21</v>
      </c>
      <c r="L70" s="4" t="n">
        <f aca="false">IF(F70="Masuk",K70*H70,"")</f>
        <v>484218</v>
      </c>
    </row>
    <row r="71" customFormat="false" ht="15" hidden="false" customHeight="false" outlineLevel="0" collapsed="false">
      <c r="A71" s="2" t="s">
        <v>39</v>
      </c>
      <c r="B71" s="3" t="s">
        <v>62</v>
      </c>
      <c r="C71" s="3" t="s">
        <v>63</v>
      </c>
      <c r="D71" s="3" t="s">
        <v>12</v>
      </c>
      <c r="E71" s="3" t="s">
        <v>13</v>
      </c>
      <c r="F71" s="3" t="s">
        <v>17</v>
      </c>
      <c r="G71" s="3" t="n">
        <v>76</v>
      </c>
      <c r="H71" s="3"/>
      <c r="I71" s="3" t="s">
        <v>15</v>
      </c>
      <c r="J71" s="3" t="n">
        <f aca="false">SUMIFS($G$2:G71,$B$2:B71,B71,$F$2:F71,"Masuk")-SUMIFS($G$2:G71,$B$2:B71,B71,$F$2:F71,"Keluar")</f>
        <v>128</v>
      </c>
      <c r="K71" s="3" t="str">
        <f aca="false">IF(F71="Masuk",MAX(0,MIN(G71,SUMIFS($G$2:G71,$B$2:B71,B71,$F$2:F71,"Masuk")-SUMIFS($G$2:G71,$B$2:B71,B71,$F$2:F71,"Keluar"))),"")</f>
        <v/>
      </c>
      <c r="L71" s="4" t="str">
        <f aca="false">IF(F71="Masuk",K71*H71,"")</f>
        <v/>
      </c>
    </row>
    <row r="72" customFormat="false" ht="15" hidden="false" customHeight="false" outlineLevel="0" collapsed="false">
      <c r="A72" s="2" t="s">
        <v>40</v>
      </c>
      <c r="B72" s="3" t="s">
        <v>62</v>
      </c>
      <c r="C72" s="3" t="s">
        <v>63</v>
      </c>
      <c r="D72" s="3" t="s">
        <v>12</v>
      </c>
      <c r="E72" s="3" t="s">
        <v>13</v>
      </c>
      <c r="F72" s="3" t="s">
        <v>14</v>
      </c>
      <c r="G72" s="3" t="n">
        <v>72</v>
      </c>
      <c r="H72" s="3" t="n">
        <v>25587</v>
      </c>
      <c r="I72" s="3" t="s">
        <v>15</v>
      </c>
      <c r="J72" s="3" t="n">
        <f aca="false">SUMIFS($G$2:G72,$B$2:B72,B72,$F$2:F72,"Masuk")-SUMIFS($G$2:G72,$B$2:B72,B72,$F$2:F72,"Keluar")</f>
        <v>200</v>
      </c>
      <c r="K72" s="3" t="n">
        <f aca="false">IF(F72="Masuk",MAX(0,MIN(G72,SUMIFS($G$2:G72,$B$2:B72,B72,$F$2:F72,"Masuk")-SUMIFS($G$2:G72,$B$2:B72,B72,$F$2:F72,"Keluar"))),"")</f>
        <v>72</v>
      </c>
      <c r="L72" s="4" t="n">
        <f aca="false">IF(F72="Masuk",K72*H72,"")</f>
        <v>1842264</v>
      </c>
    </row>
    <row r="73" customFormat="false" ht="15" hidden="false" customHeight="false" outlineLevel="0" collapsed="false">
      <c r="A73" s="2" t="s">
        <v>80</v>
      </c>
      <c r="B73" s="3" t="s">
        <v>62</v>
      </c>
      <c r="C73" s="3" t="s">
        <v>63</v>
      </c>
      <c r="D73" s="3" t="s">
        <v>12</v>
      </c>
      <c r="E73" s="3" t="s">
        <v>13</v>
      </c>
      <c r="F73" s="3" t="s">
        <v>14</v>
      </c>
      <c r="G73" s="3" t="n">
        <v>59</v>
      </c>
      <c r="H73" s="3" t="n">
        <v>26490</v>
      </c>
      <c r="I73" s="3" t="s">
        <v>15</v>
      </c>
      <c r="J73" s="3" t="n">
        <f aca="false">SUMIFS($G$2:G73,$B$2:B73,B73,$F$2:F73,"Masuk")-SUMIFS($G$2:G73,$B$2:B73,B73,$F$2:F73,"Keluar")</f>
        <v>259</v>
      </c>
      <c r="K73" s="3" t="n">
        <f aca="false">IF(F73="Masuk",MAX(0,MIN(G73,SUMIFS($G$2:G73,$B$2:B73,B73,$F$2:F73,"Masuk")-SUMIFS($G$2:G73,$B$2:B73,B73,$F$2:F73,"Keluar"))),"")</f>
        <v>59</v>
      </c>
      <c r="L73" s="4" t="n">
        <f aca="false">IF(F73="Masuk",K73*H73,"")</f>
        <v>1562910</v>
      </c>
    </row>
    <row r="74" customFormat="false" ht="15" hidden="false" customHeight="false" outlineLevel="0" collapsed="false">
      <c r="A74" s="2" t="s">
        <v>81</v>
      </c>
      <c r="B74" s="3" t="s">
        <v>62</v>
      </c>
      <c r="C74" s="3" t="s">
        <v>63</v>
      </c>
      <c r="D74" s="3" t="s">
        <v>12</v>
      </c>
      <c r="E74" s="3" t="s">
        <v>13</v>
      </c>
      <c r="F74" s="3" t="s">
        <v>17</v>
      </c>
      <c r="G74" s="3" t="n">
        <v>43</v>
      </c>
      <c r="H74" s="3"/>
      <c r="I74" s="3" t="s">
        <v>15</v>
      </c>
      <c r="J74" s="3" t="n">
        <f aca="false">SUMIFS($G$2:G74,$B$2:B74,B74,$F$2:F74,"Masuk")-SUMIFS($G$2:G74,$B$2:B74,B74,$F$2:F74,"Keluar")</f>
        <v>216</v>
      </c>
      <c r="K74" s="3" t="str">
        <f aca="false">IF(F74="Masuk",MAX(0,MIN(G74,SUMIFS($G$2:G74,$B$2:B74,B74,$F$2:F74,"Masuk")-SUMIFS($G$2:G74,$B$2:B74,B74,$F$2:F74,"Keluar"))),"")</f>
        <v/>
      </c>
      <c r="L74" s="4" t="str">
        <f aca="false">IF(F74="Masuk",K74*H74,"")</f>
        <v/>
      </c>
    </row>
    <row r="75" customFormat="false" ht="15" hidden="false" customHeight="false" outlineLevel="0" collapsed="false">
      <c r="A75" s="2" t="s">
        <v>82</v>
      </c>
      <c r="B75" s="3" t="s">
        <v>62</v>
      </c>
      <c r="C75" s="3" t="s">
        <v>63</v>
      </c>
      <c r="D75" s="3" t="s">
        <v>12</v>
      </c>
      <c r="E75" s="3" t="s">
        <v>13</v>
      </c>
      <c r="F75" s="3" t="s">
        <v>14</v>
      </c>
      <c r="G75" s="3" t="n">
        <v>113</v>
      </c>
      <c r="H75" s="3" t="n">
        <v>25257</v>
      </c>
      <c r="I75" s="3" t="s">
        <v>15</v>
      </c>
      <c r="J75" s="3" t="n">
        <f aca="false">SUMIFS($G$2:G75,$B$2:B75,B75,$F$2:F75,"Masuk")-SUMIFS($G$2:G75,$B$2:B75,B75,$F$2:F75,"Keluar")</f>
        <v>329</v>
      </c>
      <c r="K75" s="3" t="n">
        <f aca="false">IF(F75="Masuk",MAX(0,MIN(G75,SUMIFS($G$2:G75,$B$2:B75,B75,$F$2:F75,"Masuk")-SUMIFS($G$2:G75,$B$2:B75,B75,$F$2:F75,"Keluar"))),"")</f>
        <v>113</v>
      </c>
      <c r="L75" s="4" t="n">
        <f aca="false">IF(F75="Masuk",K75*H75,"")</f>
        <v>2854041</v>
      </c>
    </row>
    <row r="76" customFormat="false" ht="15" hidden="false" customHeight="false" outlineLevel="0" collapsed="false">
      <c r="A76" s="2" t="s">
        <v>83</v>
      </c>
      <c r="B76" s="3" t="s">
        <v>62</v>
      </c>
      <c r="C76" s="3" t="s">
        <v>63</v>
      </c>
      <c r="D76" s="3" t="s">
        <v>12</v>
      </c>
      <c r="E76" s="3" t="s">
        <v>13</v>
      </c>
      <c r="F76" s="3" t="s">
        <v>14</v>
      </c>
      <c r="G76" s="3" t="n">
        <v>72</v>
      </c>
      <c r="H76" s="3" t="n">
        <v>26385</v>
      </c>
      <c r="I76" s="3" t="s">
        <v>15</v>
      </c>
      <c r="J76" s="3" t="n">
        <f aca="false">SUMIFS($G$2:G76,$B$2:B76,B76,$F$2:F76,"Masuk")-SUMIFS($G$2:G76,$B$2:B76,B76,$F$2:F76,"Keluar")</f>
        <v>401</v>
      </c>
      <c r="K76" s="3" t="n">
        <f aca="false">IF(F76="Masuk",MAX(0,MIN(G76,SUMIFS($G$2:G76,$B$2:B76,B76,$F$2:F76,"Masuk")-SUMIFS($G$2:G76,$B$2:B76,B76,$F$2:F76,"Keluar"))),"")</f>
        <v>72</v>
      </c>
      <c r="L76" s="4" t="n">
        <f aca="false">IF(F76="Masuk",K76*H76,"")</f>
        <v>1899720</v>
      </c>
    </row>
    <row r="77" customFormat="false" ht="15" hidden="false" customHeight="false" outlineLevel="0" collapsed="false">
      <c r="A77" s="2" t="s">
        <v>84</v>
      </c>
      <c r="B77" s="3" t="s">
        <v>62</v>
      </c>
      <c r="C77" s="3" t="s">
        <v>63</v>
      </c>
      <c r="D77" s="3" t="s">
        <v>12</v>
      </c>
      <c r="E77" s="3" t="s">
        <v>13</v>
      </c>
      <c r="F77" s="3" t="s">
        <v>17</v>
      </c>
      <c r="G77" s="3" t="n">
        <v>71</v>
      </c>
      <c r="H77" s="3"/>
      <c r="I77" s="3" t="s">
        <v>15</v>
      </c>
      <c r="J77" s="3" t="n">
        <f aca="false">SUMIFS($G$2:G77,$B$2:B77,B77,$F$2:F77,"Masuk")-SUMIFS($G$2:G77,$B$2:B77,B77,$F$2:F77,"Keluar")</f>
        <v>330</v>
      </c>
      <c r="K77" s="3" t="str">
        <f aca="false">IF(F77="Masuk",MAX(0,MIN(G77,SUMIFS($G$2:G77,$B$2:B77,B77,$F$2:F77,"Masuk")-SUMIFS($G$2:G77,$B$2:B77,B77,$F$2:F77,"Keluar"))),"")</f>
        <v/>
      </c>
      <c r="L77" s="4" t="str">
        <f aca="false">IF(F77="Masuk",K77*H77,"")</f>
        <v/>
      </c>
    </row>
    <row r="78" customFormat="false" ht="15" hidden="false" customHeight="false" outlineLevel="0" collapsed="false">
      <c r="A78" s="2" t="s">
        <v>85</v>
      </c>
      <c r="B78" s="3" t="s">
        <v>62</v>
      </c>
      <c r="C78" s="3" t="s">
        <v>63</v>
      </c>
      <c r="D78" s="3" t="s">
        <v>12</v>
      </c>
      <c r="E78" s="3" t="s">
        <v>13</v>
      </c>
      <c r="F78" s="3" t="s">
        <v>14</v>
      </c>
      <c r="G78" s="3" t="n">
        <v>162</v>
      </c>
      <c r="H78" s="3" t="n">
        <v>26962</v>
      </c>
      <c r="I78" s="3" t="s">
        <v>15</v>
      </c>
      <c r="J78" s="3" t="n">
        <f aca="false">SUMIFS($G$2:G78,$B$2:B78,B78,$F$2:F78,"Masuk")-SUMIFS($G$2:G78,$B$2:B78,B78,$F$2:F78,"Keluar")</f>
        <v>492</v>
      </c>
      <c r="K78" s="3" t="n">
        <f aca="false">IF(F78="Masuk",MAX(0,MIN(G78,SUMIFS($G$2:G78,$B$2:B78,B78,$F$2:F78,"Masuk")-SUMIFS($G$2:G78,$B$2:B78,B78,$F$2:F78,"Keluar"))),"")</f>
        <v>162</v>
      </c>
      <c r="L78" s="4" t="n">
        <f aca="false">IF(F78="Masuk",K78*H78,"")</f>
        <v>4367844</v>
      </c>
    </row>
    <row r="79" customFormat="false" ht="15" hidden="false" customHeight="false" outlineLevel="0" collapsed="false">
      <c r="A79" s="2" t="s">
        <v>86</v>
      </c>
      <c r="B79" s="3" t="s">
        <v>62</v>
      </c>
      <c r="C79" s="3" t="s">
        <v>63</v>
      </c>
      <c r="D79" s="3" t="s">
        <v>12</v>
      </c>
      <c r="E79" s="3" t="s">
        <v>13</v>
      </c>
      <c r="F79" s="3" t="s">
        <v>17</v>
      </c>
      <c r="G79" s="3" t="n">
        <v>83</v>
      </c>
      <c r="H79" s="3"/>
      <c r="I79" s="3" t="s">
        <v>15</v>
      </c>
      <c r="J79" s="3" t="n">
        <f aca="false">SUMIFS($G$2:G79,$B$2:B79,B79,$F$2:F79,"Masuk")-SUMIFS($G$2:G79,$B$2:B79,B79,$F$2:F79,"Keluar")</f>
        <v>409</v>
      </c>
      <c r="K79" s="3" t="str">
        <f aca="false">IF(F79="Masuk",MAX(0,MIN(G79,SUMIFS($G$2:G79,$B$2:B79,B79,$F$2:F79,"Masuk")-SUMIFS($G$2:G79,$B$2:B79,B79,$F$2:F79,"Keluar"))),"")</f>
        <v/>
      </c>
      <c r="L79" s="4" t="str">
        <f aca="false">IF(F79="Masuk",K79*H79,"")</f>
        <v/>
      </c>
    </row>
    <row r="80" customFormat="false" ht="15" hidden="false" customHeight="false" outlineLevel="0" collapsed="false">
      <c r="A80" s="2" t="s">
        <v>50</v>
      </c>
      <c r="B80" s="3" t="s">
        <v>62</v>
      </c>
      <c r="C80" s="3" t="s">
        <v>63</v>
      </c>
      <c r="D80" s="3" t="s">
        <v>12</v>
      </c>
      <c r="E80" s="3" t="s">
        <v>13</v>
      </c>
      <c r="F80" s="3" t="s">
        <v>17</v>
      </c>
      <c r="G80" s="3" t="n">
        <v>60</v>
      </c>
      <c r="H80" s="3"/>
      <c r="I80" s="3" t="s">
        <v>15</v>
      </c>
      <c r="J80" s="3" t="n">
        <f aca="false">SUMIFS($G$2:G80,$B$2:B80,B80,$F$2:F80,"Masuk")-SUMIFS($G$2:G80,$B$2:B80,B80,$F$2:F80,"Keluar")</f>
        <v>349</v>
      </c>
      <c r="K80" s="3" t="str">
        <f aca="false">IF(F80="Masuk",MAX(0,MIN(G80,SUMIFS($G$2:G80,$B$2:B80,B80,$F$2:F80,"Masuk")-SUMIFS($G$2:G80,$B$2:B80,B80,$F$2:F80,"Keluar"))),"")</f>
        <v/>
      </c>
      <c r="L80" s="4" t="str">
        <f aca="false">IF(F80="Masuk",K80*H80,"")</f>
        <v/>
      </c>
    </row>
    <row r="81" customFormat="false" ht="15" hidden="false" customHeight="false" outlineLevel="0" collapsed="false">
      <c r="A81" s="2" t="s">
        <v>87</v>
      </c>
      <c r="B81" s="3" t="s">
        <v>62</v>
      </c>
      <c r="C81" s="3" t="s">
        <v>63</v>
      </c>
      <c r="D81" s="3" t="s">
        <v>12</v>
      </c>
      <c r="E81" s="3" t="s">
        <v>13</v>
      </c>
      <c r="F81" s="3" t="s">
        <v>14</v>
      </c>
      <c r="G81" s="3" t="n">
        <v>188</v>
      </c>
      <c r="H81" s="3" t="n">
        <v>23975</v>
      </c>
      <c r="I81" s="3" t="s">
        <v>15</v>
      </c>
      <c r="J81" s="3" t="n">
        <f aca="false">SUMIFS($G$2:G81,$B$2:B81,B81,$F$2:F81,"Masuk")-SUMIFS($G$2:G81,$B$2:B81,B81,$F$2:F81,"Keluar")</f>
        <v>537</v>
      </c>
      <c r="K81" s="3" t="n">
        <f aca="false">IF(F81="Masuk",MAX(0,MIN(G81,SUMIFS($G$2:G81,$B$2:B81,B81,$F$2:F81,"Masuk")-SUMIFS($G$2:G81,$B$2:B81,B81,$F$2:F81,"Keluar"))),"")</f>
        <v>188</v>
      </c>
      <c r="L81" s="4" t="n">
        <f aca="false">IF(F81="Masuk",K81*H81,"")</f>
        <v>4507300</v>
      </c>
    </row>
    <row r="82" customFormat="false" ht="15" hidden="false" customHeight="false" outlineLevel="0" collapsed="false">
      <c r="A82" s="2" t="s">
        <v>88</v>
      </c>
      <c r="B82" s="3" t="s">
        <v>62</v>
      </c>
      <c r="C82" s="3" t="s">
        <v>63</v>
      </c>
      <c r="D82" s="3" t="s">
        <v>12</v>
      </c>
      <c r="E82" s="3" t="s">
        <v>13</v>
      </c>
      <c r="F82" s="3" t="s">
        <v>14</v>
      </c>
      <c r="G82" s="3" t="n">
        <v>199</v>
      </c>
      <c r="H82" s="3" t="n">
        <v>24325</v>
      </c>
      <c r="I82" s="3" t="s">
        <v>15</v>
      </c>
      <c r="J82" s="3" t="n">
        <f aca="false">SUMIFS($G$2:G82,$B$2:B82,B82,$F$2:F82,"Masuk")-SUMIFS($G$2:G82,$B$2:B82,B82,$F$2:F82,"Keluar")</f>
        <v>736</v>
      </c>
      <c r="K82" s="3" t="n">
        <f aca="false">IF(F82="Masuk",MAX(0,MIN(G82,SUMIFS($G$2:G82,$B$2:B82,B82,$F$2:F82,"Masuk")-SUMIFS($G$2:G82,$B$2:B82,B82,$F$2:F82,"Keluar"))),"")</f>
        <v>199</v>
      </c>
      <c r="L82" s="4" t="n">
        <f aca="false">IF(F82="Masuk",K82*H82,"")</f>
        <v>4840675</v>
      </c>
    </row>
    <row r="83" customFormat="false" ht="15" hidden="false" customHeight="false" outlineLevel="0" collapsed="false">
      <c r="A83" s="2" t="s">
        <v>89</v>
      </c>
      <c r="B83" s="3" t="s">
        <v>62</v>
      </c>
      <c r="C83" s="3" t="s">
        <v>63</v>
      </c>
      <c r="D83" s="3" t="s">
        <v>12</v>
      </c>
      <c r="E83" s="3" t="s">
        <v>13</v>
      </c>
      <c r="F83" s="3" t="s">
        <v>14</v>
      </c>
      <c r="G83" s="3" t="n">
        <v>122</v>
      </c>
      <c r="H83" s="3" t="n">
        <v>25772</v>
      </c>
      <c r="I83" s="3" t="s">
        <v>15</v>
      </c>
      <c r="J83" s="3" t="n">
        <f aca="false">SUMIFS($G$2:G83,$B$2:B83,B83,$F$2:F83,"Masuk")-SUMIFS($G$2:G83,$B$2:B83,B83,$F$2:F83,"Keluar")</f>
        <v>858</v>
      </c>
      <c r="K83" s="3" t="n">
        <f aca="false">IF(F83="Masuk",MAX(0,MIN(G83,SUMIFS($G$2:G83,$B$2:B83,B83,$F$2:F83,"Masuk")-SUMIFS($G$2:G83,$B$2:B83,B83,$F$2:F83,"Keluar"))),"")</f>
        <v>122</v>
      </c>
      <c r="L83" s="4" t="n">
        <f aca="false">IF(F83="Masuk",K83*H83,"")</f>
        <v>3144184</v>
      </c>
    </row>
    <row r="84" customFormat="false" ht="15" hidden="false" customHeight="false" outlineLevel="0" collapsed="false">
      <c r="A84" s="2" t="s">
        <v>90</v>
      </c>
      <c r="B84" s="3" t="s">
        <v>62</v>
      </c>
      <c r="C84" s="3" t="s">
        <v>63</v>
      </c>
      <c r="D84" s="3" t="s">
        <v>12</v>
      </c>
      <c r="E84" s="3" t="s">
        <v>13</v>
      </c>
      <c r="F84" s="3" t="s">
        <v>17</v>
      </c>
      <c r="G84" s="3" t="n">
        <v>97</v>
      </c>
      <c r="H84" s="3"/>
      <c r="I84" s="3" t="s">
        <v>15</v>
      </c>
      <c r="J84" s="3" t="n">
        <f aca="false">SUMIFS($G$2:G84,$B$2:B84,B84,$F$2:F84,"Masuk")-SUMIFS($G$2:G84,$B$2:B84,B84,$F$2:F84,"Keluar")</f>
        <v>761</v>
      </c>
      <c r="K84" s="3" t="str">
        <f aca="false">IF(F84="Masuk",MAX(0,MIN(G84,SUMIFS($G$2:G84,$B$2:B84,B84,$F$2:F84,"Masuk")-SUMIFS($G$2:G84,$B$2:B84,B84,$F$2:F84,"Keluar"))),"")</f>
        <v/>
      </c>
      <c r="L84" s="4" t="str">
        <f aca="false">IF(F84="Masuk",K84*H84,"")</f>
        <v/>
      </c>
    </row>
    <row r="85" customFormat="false" ht="15" hidden="false" customHeight="false" outlineLevel="0" collapsed="false">
      <c r="A85" s="2" t="s">
        <v>91</v>
      </c>
      <c r="B85" s="3" t="s">
        <v>62</v>
      </c>
      <c r="C85" s="3" t="s">
        <v>63</v>
      </c>
      <c r="D85" s="3" t="s">
        <v>12</v>
      </c>
      <c r="E85" s="3" t="s">
        <v>13</v>
      </c>
      <c r="F85" s="3" t="s">
        <v>14</v>
      </c>
      <c r="G85" s="3" t="n">
        <v>119</v>
      </c>
      <c r="H85" s="3" t="n">
        <v>23043</v>
      </c>
      <c r="I85" s="3" t="s">
        <v>15</v>
      </c>
      <c r="J85" s="3" t="n">
        <f aca="false">SUMIFS($G$2:G85,$B$2:B85,B85,$F$2:F85,"Masuk")-SUMIFS($G$2:G85,$B$2:B85,B85,$F$2:F85,"Keluar")</f>
        <v>880</v>
      </c>
      <c r="K85" s="3" t="n">
        <f aca="false">IF(F85="Masuk",MAX(0,MIN(G85,SUMIFS($G$2:G85,$B$2:B85,B85,$F$2:F85,"Masuk")-SUMIFS($G$2:G85,$B$2:B85,B85,$F$2:F85,"Keluar"))),"")</f>
        <v>119</v>
      </c>
      <c r="L85" s="4" t="n">
        <f aca="false">IF(F85="Masuk",K85*H85,"")</f>
        <v>2742117</v>
      </c>
    </row>
    <row r="86" customFormat="false" ht="15" hidden="false" customHeight="false" outlineLevel="0" collapsed="false">
      <c r="A86" s="2" t="s">
        <v>92</v>
      </c>
      <c r="B86" s="3" t="s">
        <v>62</v>
      </c>
      <c r="C86" s="3" t="s">
        <v>63</v>
      </c>
      <c r="D86" s="3" t="s">
        <v>12</v>
      </c>
      <c r="E86" s="3" t="s">
        <v>13</v>
      </c>
      <c r="F86" s="3" t="s">
        <v>17</v>
      </c>
      <c r="G86" s="3" t="n">
        <v>70</v>
      </c>
      <c r="H86" s="3"/>
      <c r="I86" s="3" t="s">
        <v>15</v>
      </c>
      <c r="J86" s="3" t="n">
        <f aca="false">SUMIFS($G$2:G86,$B$2:B86,B86,$F$2:F86,"Masuk")-SUMIFS($G$2:G86,$B$2:B86,B86,$F$2:F86,"Keluar")</f>
        <v>810</v>
      </c>
      <c r="K86" s="3" t="str">
        <f aca="false">IF(F86="Masuk",MAX(0,MIN(G86,SUMIFS($G$2:G86,$B$2:B86,B86,$F$2:F86,"Masuk")-SUMIFS($G$2:G86,$B$2:B86,B86,$F$2:F86,"Keluar"))),"")</f>
        <v/>
      </c>
      <c r="L86" s="4" t="str">
        <f aca="false">IF(F86="Masuk",K86*H86,"")</f>
        <v/>
      </c>
    </row>
    <row r="87" customFormat="false" ht="15" hidden="false" customHeight="false" outlineLevel="0" collapsed="false">
      <c r="A87" s="2" t="s">
        <v>93</v>
      </c>
      <c r="B87" s="3" t="s">
        <v>62</v>
      </c>
      <c r="C87" s="3" t="s">
        <v>63</v>
      </c>
      <c r="D87" s="3" t="s">
        <v>12</v>
      </c>
      <c r="E87" s="3" t="s">
        <v>13</v>
      </c>
      <c r="F87" s="3" t="s">
        <v>14</v>
      </c>
      <c r="G87" s="3" t="n">
        <v>36</v>
      </c>
      <c r="H87" s="3" t="n">
        <v>25155</v>
      </c>
      <c r="I87" s="3" t="s">
        <v>15</v>
      </c>
      <c r="J87" s="3" t="n">
        <f aca="false">SUMIFS($G$2:G87,$B$2:B87,B87,$F$2:F87,"Masuk")-SUMIFS($G$2:G87,$B$2:B87,B87,$F$2:F87,"Keluar")</f>
        <v>846</v>
      </c>
      <c r="K87" s="3" t="n">
        <f aca="false">IF(F87="Masuk",MAX(0,MIN(G87,SUMIFS($G$2:G87,$B$2:B87,B87,$F$2:F87,"Masuk")-SUMIFS($G$2:G87,$B$2:B87,B87,$F$2:F87,"Keluar"))),"")</f>
        <v>36</v>
      </c>
      <c r="L87" s="4" t="n">
        <f aca="false">IF(F87="Masuk",K87*H87,"")</f>
        <v>905580</v>
      </c>
    </row>
    <row r="88" customFormat="false" ht="15" hidden="false" customHeight="false" outlineLevel="0" collapsed="false">
      <c r="A88" s="2" t="s">
        <v>57</v>
      </c>
      <c r="B88" s="3" t="s">
        <v>62</v>
      </c>
      <c r="C88" s="3" t="s">
        <v>63</v>
      </c>
      <c r="D88" s="3" t="s">
        <v>12</v>
      </c>
      <c r="E88" s="3" t="s">
        <v>13</v>
      </c>
      <c r="F88" s="3" t="s">
        <v>14</v>
      </c>
      <c r="G88" s="3" t="n">
        <v>175</v>
      </c>
      <c r="H88" s="3" t="n">
        <v>23309</v>
      </c>
      <c r="I88" s="3" t="s">
        <v>15</v>
      </c>
      <c r="J88" s="3" t="n">
        <f aca="false">SUMIFS($G$2:G88,$B$2:B88,B88,$F$2:F88,"Masuk")-SUMIFS($G$2:G88,$B$2:B88,B88,$F$2:F88,"Keluar")</f>
        <v>1021</v>
      </c>
      <c r="K88" s="3" t="n">
        <f aca="false">IF(F88="Masuk",MAX(0,MIN(G88,SUMIFS($G$2:G88,$B$2:B88,B88,$F$2:F88,"Masuk")-SUMIFS($G$2:G88,$B$2:B88,B88,$F$2:F88,"Keluar"))),"")</f>
        <v>175</v>
      </c>
      <c r="L88" s="4" t="n">
        <f aca="false">IF(F88="Masuk",K88*H88,"")</f>
        <v>4079075</v>
      </c>
    </row>
    <row r="89" customFormat="false" ht="15" hidden="false" customHeight="false" outlineLevel="0" collapsed="false">
      <c r="A89" s="2" t="s">
        <v>94</v>
      </c>
      <c r="B89" s="3" t="s">
        <v>62</v>
      </c>
      <c r="C89" s="3" t="s">
        <v>63</v>
      </c>
      <c r="D89" s="3" t="s">
        <v>12</v>
      </c>
      <c r="E89" s="3" t="s">
        <v>13</v>
      </c>
      <c r="F89" s="3" t="s">
        <v>14</v>
      </c>
      <c r="G89" s="3" t="n">
        <v>122</v>
      </c>
      <c r="H89" s="3" t="n">
        <v>27268</v>
      </c>
      <c r="I89" s="3" t="s">
        <v>15</v>
      </c>
      <c r="J89" s="3" t="n">
        <f aca="false">SUMIFS($G$2:G89,$B$2:B89,B89,$F$2:F89,"Masuk")-SUMIFS($G$2:G89,$B$2:B89,B89,$F$2:F89,"Keluar")</f>
        <v>1143</v>
      </c>
      <c r="K89" s="3" t="n">
        <f aca="false">IF(F89="Masuk",MAX(0,MIN(G89,SUMIFS($G$2:G89,$B$2:B89,B89,$F$2:F89,"Masuk")-SUMIFS($G$2:G89,$B$2:B89,B89,$F$2:F89,"Keluar"))),"")</f>
        <v>122</v>
      </c>
      <c r="L89" s="4" t="n">
        <f aca="false">IF(F89="Masuk",K89*H89,"")</f>
        <v>3326696</v>
      </c>
    </row>
    <row r="90" customFormat="false" ht="15" hidden="false" customHeight="false" outlineLevel="0" collapsed="false">
      <c r="A90" s="2" t="s">
        <v>95</v>
      </c>
      <c r="B90" s="3" t="s">
        <v>62</v>
      </c>
      <c r="C90" s="3" t="s">
        <v>63</v>
      </c>
      <c r="D90" s="3" t="s">
        <v>12</v>
      </c>
      <c r="E90" s="3" t="s">
        <v>13</v>
      </c>
      <c r="F90" s="3" t="s">
        <v>17</v>
      </c>
      <c r="G90" s="3" t="n">
        <v>86</v>
      </c>
      <c r="H90" s="3"/>
      <c r="I90" s="3" t="s">
        <v>15</v>
      </c>
      <c r="J90" s="3" t="n">
        <f aca="false">SUMIFS($G$2:G90,$B$2:B90,B90,$F$2:F90,"Masuk")-SUMIFS($G$2:G90,$B$2:B90,B90,$F$2:F90,"Keluar")</f>
        <v>1057</v>
      </c>
      <c r="K90" s="3" t="str">
        <f aca="false">IF(F90="Masuk",MAX(0,MIN(G90,SUMIFS($G$2:G90,$B$2:B90,B90,$F$2:F90,"Masuk")-SUMIFS($G$2:G90,$B$2:B90,B90,$F$2:F90,"Keluar"))),"")</f>
        <v/>
      </c>
      <c r="L90" s="4" t="str">
        <f aca="false">IF(F90="Masuk",K90*H90,"")</f>
        <v/>
      </c>
    </row>
    <row r="91" customFormat="false" ht="15" hidden="false" customHeight="false" outlineLevel="0" collapsed="false">
      <c r="A91" s="2" t="s">
        <v>96</v>
      </c>
      <c r="B91" s="3" t="s">
        <v>62</v>
      </c>
      <c r="C91" s="3" t="s">
        <v>63</v>
      </c>
      <c r="D91" s="3" t="s">
        <v>12</v>
      </c>
      <c r="E91" s="3" t="s">
        <v>13</v>
      </c>
      <c r="F91" s="3" t="s">
        <v>17</v>
      </c>
      <c r="G91" s="3" t="n">
        <v>114</v>
      </c>
      <c r="H91" s="3"/>
      <c r="I91" s="3" t="s">
        <v>15</v>
      </c>
      <c r="J91" s="3" t="n">
        <f aca="false">SUMIFS($G$2:G91,$B$2:B91,B91,$F$2:F91,"Masuk")-SUMIFS($G$2:G91,$B$2:B91,B91,$F$2:F91,"Keluar")</f>
        <v>943</v>
      </c>
      <c r="K91" s="3" t="str">
        <f aca="false">IF(F91="Masuk",MAX(0,MIN(G91,SUMIFS($G$2:G91,$B$2:B91,B91,$F$2:F91,"Masuk")-SUMIFS($G$2:G91,$B$2:B91,B91,$F$2:F91,"Keluar"))),"")</f>
        <v/>
      </c>
      <c r="L91" s="4" t="str">
        <f aca="false">IF(F91="Masuk",K91*H91,"")</f>
        <v/>
      </c>
    </row>
    <row r="92" customFormat="false" ht="15" hidden="false" customHeight="false" outlineLevel="0" collapsed="false">
      <c r="A92" s="2" t="s">
        <v>60</v>
      </c>
      <c r="B92" s="3" t="s">
        <v>62</v>
      </c>
      <c r="C92" s="3" t="s">
        <v>63</v>
      </c>
      <c r="D92" s="3" t="s">
        <v>12</v>
      </c>
      <c r="E92" s="3" t="s">
        <v>13</v>
      </c>
      <c r="F92" s="3" t="s">
        <v>17</v>
      </c>
      <c r="G92" s="3" t="n">
        <v>66</v>
      </c>
      <c r="H92" s="3"/>
      <c r="I92" s="3" t="s">
        <v>15</v>
      </c>
      <c r="J92" s="3" t="n">
        <f aca="false">SUMIFS($G$2:G92,$B$2:B92,B92,$F$2:F92,"Masuk")-SUMIFS($G$2:G92,$B$2:B92,B92,$F$2:F92,"Keluar")</f>
        <v>877</v>
      </c>
      <c r="K92" s="3" t="str">
        <f aca="false">IF(F92="Masuk",MAX(0,MIN(G92,SUMIFS($G$2:G92,$B$2:B92,B92,$F$2:F92,"Masuk")-SUMIFS($G$2:G92,$B$2:B92,B92,$F$2:F92,"Keluar"))),"")</f>
        <v/>
      </c>
      <c r="L92" s="4" t="str">
        <f aca="false">IF(F92="Masuk",K92*H92,"")</f>
        <v/>
      </c>
    </row>
    <row r="93" customFormat="false" ht="15" hidden="false" customHeight="false" outlineLevel="0" collapsed="false">
      <c r="A93" s="2" t="s">
        <v>97</v>
      </c>
      <c r="B93" s="3" t="s">
        <v>62</v>
      </c>
      <c r="C93" s="3" t="s">
        <v>63</v>
      </c>
      <c r="D93" s="3" t="s">
        <v>12</v>
      </c>
      <c r="E93" s="3" t="s">
        <v>13</v>
      </c>
      <c r="F93" s="3" t="s">
        <v>14</v>
      </c>
      <c r="G93" s="3" t="n">
        <v>188</v>
      </c>
      <c r="H93" s="3" t="n">
        <v>27244</v>
      </c>
      <c r="I93" s="3" t="s">
        <v>15</v>
      </c>
      <c r="J93" s="3" t="n">
        <f aca="false">SUMIFS($G$2:G93,$B$2:B93,B93,$F$2:F93,"Masuk")-SUMIFS($G$2:G93,$B$2:B93,B93,$F$2:F93,"Keluar")</f>
        <v>1065</v>
      </c>
      <c r="K93" s="3" t="n">
        <f aca="false">IF(F93="Masuk",MAX(0,MIN(G93,SUMIFS($G$2:G93,$B$2:B93,B93,$F$2:F93,"Masuk")-SUMIFS($G$2:G93,$B$2:B93,B93,$F$2:F93,"Keluar"))),"")</f>
        <v>188</v>
      </c>
      <c r="L93" s="4" t="n">
        <f aca="false">IF(F93="Masuk",K93*H93,"")</f>
        <v>5121872</v>
      </c>
    </row>
    <row r="94" customFormat="false" ht="15" hidden="false" customHeight="false" outlineLevel="0" collapsed="false">
      <c r="A94" s="2" t="s">
        <v>98</v>
      </c>
      <c r="B94" s="3" t="s">
        <v>62</v>
      </c>
      <c r="C94" s="3" t="s">
        <v>63</v>
      </c>
      <c r="D94" s="3" t="s">
        <v>12</v>
      </c>
      <c r="E94" s="3" t="s">
        <v>13</v>
      </c>
      <c r="F94" s="3" t="s">
        <v>14</v>
      </c>
      <c r="G94" s="3" t="n">
        <v>173</v>
      </c>
      <c r="H94" s="3" t="n">
        <v>27182</v>
      </c>
      <c r="I94" s="3" t="s">
        <v>15</v>
      </c>
      <c r="J94" s="3" t="n">
        <f aca="false">SUMIFS($G$2:G94,$B$2:B94,B94,$F$2:F94,"Masuk")-SUMIFS($G$2:G94,$B$2:B94,B94,$F$2:F94,"Keluar")</f>
        <v>1238</v>
      </c>
      <c r="K94" s="3" t="n">
        <f aca="false">IF(F94="Masuk",MAX(0,MIN(G94,SUMIFS($G$2:G94,$B$2:B94,B94,$F$2:F94,"Masuk")-SUMIFS($G$2:G94,$B$2:B94,B94,$F$2:F94,"Keluar"))),"")</f>
        <v>173</v>
      </c>
      <c r="L94" s="4" t="n">
        <f aca="false">IF(F94="Masuk",K94*H94,"")</f>
        <v>4702486</v>
      </c>
    </row>
    <row r="95" customFormat="false" ht="15" hidden="false" customHeight="false" outlineLevel="0" collapsed="false">
      <c r="A95" s="2" t="s">
        <v>99</v>
      </c>
      <c r="B95" s="3" t="s">
        <v>62</v>
      </c>
      <c r="C95" s="3" t="s">
        <v>63</v>
      </c>
      <c r="D95" s="3" t="s">
        <v>12</v>
      </c>
      <c r="E95" s="3" t="s">
        <v>13</v>
      </c>
      <c r="F95" s="3" t="s">
        <v>17</v>
      </c>
      <c r="G95" s="3" t="n">
        <v>88</v>
      </c>
      <c r="H95" s="3"/>
      <c r="I95" s="3" t="s">
        <v>15</v>
      </c>
      <c r="J95" s="3" t="n">
        <f aca="false">SUMIFS($G$2:G95,$B$2:B95,B95,$F$2:F95,"Masuk")-SUMIFS($G$2:G95,$B$2:B95,B95,$F$2:F95,"Keluar")</f>
        <v>1150</v>
      </c>
      <c r="K95" s="3" t="str">
        <f aca="false">IF(F95="Masuk",MAX(0,MIN(G95,SUMIFS($G$2:G95,$B$2:B95,B95,$F$2:F95,"Masuk")-SUMIFS($G$2:G95,$B$2:B95,B95,$F$2:F95,"Keluar"))),"")</f>
        <v/>
      </c>
      <c r="L95" s="4" t="str">
        <f aca="false">IF(F95="Masuk",K95*H95,"")</f>
        <v/>
      </c>
    </row>
    <row r="96" customFormat="false" ht="15" hidden="false" customHeight="false" outlineLevel="0" collapsed="false">
      <c r="A96" s="2" t="s">
        <v>100</v>
      </c>
      <c r="B96" s="3" t="s">
        <v>62</v>
      </c>
      <c r="C96" s="3" t="s">
        <v>63</v>
      </c>
      <c r="D96" s="3" t="s">
        <v>12</v>
      </c>
      <c r="E96" s="3" t="s">
        <v>13</v>
      </c>
      <c r="F96" s="3" t="s">
        <v>17</v>
      </c>
      <c r="G96" s="3" t="n">
        <v>56</v>
      </c>
      <c r="H96" s="3"/>
      <c r="I96" s="3" t="s">
        <v>15</v>
      </c>
      <c r="J96" s="3" t="n">
        <f aca="false">SUMIFS($G$2:G96,$B$2:B96,B96,$F$2:F96,"Masuk")-SUMIFS($G$2:G96,$B$2:B96,B96,$F$2:F96,"Keluar")</f>
        <v>1094</v>
      </c>
      <c r="K96" s="3" t="str">
        <f aca="false">IF(F96="Masuk",MAX(0,MIN(G96,SUMIFS($G$2:G96,$B$2:B96,B96,$F$2:F96,"Masuk")-SUMIFS($G$2:G96,$B$2:B96,B96,$F$2:F96,"Keluar"))),"")</f>
        <v/>
      </c>
      <c r="L96" s="4" t="str">
        <f aca="false">IF(F96="Masuk",K96*H96,"")</f>
        <v/>
      </c>
    </row>
    <row r="97" customFormat="false" ht="15" hidden="false" customHeight="false" outlineLevel="0" collapsed="false">
      <c r="A97" s="2" t="s">
        <v>16</v>
      </c>
      <c r="B97" s="3" t="s">
        <v>101</v>
      </c>
      <c r="C97" s="3" t="s">
        <v>102</v>
      </c>
      <c r="D97" s="3" t="s">
        <v>103</v>
      </c>
      <c r="E97" s="3" t="s">
        <v>104</v>
      </c>
      <c r="F97" s="3" t="s">
        <v>14</v>
      </c>
      <c r="G97" s="3" t="n">
        <v>156</v>
      </c>
      <c r="H97" s="3" t="n">
        <v>25536</v>
      </c>
      <c r="I97" s="3" t="s">
        <v>15</v>
      </c>
      <c r="J97" s="3" t="n">
        <f aca="false">SUMIFS($G$2:G97,$B$2:B97,B97,$F$2:F97,"Masuk")-SUMIFS($G$2:G97,$B$2:B97,B97,$F$2:F97,"Keluar")</f>
        <v>156</v>
      </c>
      <c r="K97" s="3" t="n">
        <f aca="false">IF(F97="Masuk",MAX(0,MIN(G97,SUMIFS($G$2:G97,$B$2:B97,B97,$F$2:F97,"Masuk")-SUMIFS($G$2:G97,$B$2:B97,B97,$F$2:F97,"Keluar"))),"")</f>
        <v>156</v>
      </c>
      <c r="L97" s="4" t="n">
        <f aca="false">IF(F97="Masuk",K97*H97,"")</f>
        <v>3983616</v>
      </c>
    </row>
    <row r="98" customFormat="false" ht="15" hidden="false" customHeight="false" outlineLevel="0" collapsed="false">
      <c r="A98" s="2" t="s">
        <v>18</v>
      </c>
      <c r="B98" s="3" t="s">
        <v>101</v>
      </c>
      <c r="C98" s="3" t="s">
        <v>102</v>
      </c>
      <c r="D98" s="3" t="s">
        <v>103</v>
      </c>
      <c r="E98" s="3" t="s">
        <v>104</v>
      </c>
      <c r="F98" s="3" t="s">
        <v>17</v>
      </c>
      <c r="G98" s="3" t="n">
        <v>39</v>
      </c>
      <c r="H98" s="3"/>
      <c r="I98" s="3" t="s">
        <v>15</v>
      </c>
      <c r="J98" s="3" t="n">
        <f aca="false">SUMIFS($G$2:G98,$B$2:B98,B98,$F$2:F98,"Masuk")-SUMIFS($G$2:G98,$B$2:B98,B98,$F$2:F98,"Keluar")</f>
        <v>117</v>
      </c>
      <c r="K98" s="3" t="str">
        <f aca="false">IF(F98="Masuk",MAX(0,MIN(G98,SUMIFS($G$2:G98,$B$2:B98,B98,$F$2:F98,"Masuk")-SUMIFS($G$2:G98,$B$2:B98,B98,$F$2:F98,"Keluar"))),"")</f>
        <v/>
      </c>
      <c r="L98" s="4" t="str">
        <f aca="false">IF(F98="Masuk",K98*H98,"")</f>
        <v/>
      </c>
    </row>
    <row r="99" customFormat="false" ht="15" hidden="false" customHeight="false" outlineLevel="0" collapsed="false">
      <c r="A99" s="2" t="s">
        <v>105</v>
      </c>
      <c r="B99" s="3" t="s">
        <v>101</v>
      </c>
      <c r="C99" s="3" t="s">
        <v>102</v>
      </c>
      <c r="D99" s="3" t="s">
        <v>103</v>
      </c>
      <c r="E99" s="3" t="s">
        <v>104</v>
      </c>
      <c r="F99" s="3" t="s">
        <v>14</v>
      </c>
      <c r="G99" s="3" t="n">
        <v>113</v>
      </c>
      <c r="H99" s="3" t="n">
        <v>26376</v>
      </c>
      <c r="I99" s="3" t="s">
        <v>15</v>
      </c>
      <c r="J99" s="3" t="n">
        <f aca="false">SUMIFS($G$2:G99,$B$2:B99,B99,$F$2:F99,"Masuk")-SUMIFS($G$2:G99,$B$2:B99,B99,$F$2:F99,"Keluar")</f>
        <v>230</v>
      </c>
      <c r="K99" s="3" t="n">
        <f aca="false">IF(F99="Masuk",MAX(0,MIN(G99,SUMIFS($G$2:G99,$B$2:B99,B99,$F$2:F99,"Masuk")-SUMIFS($G$2:G99,$B$2:B99,B99,$F$2:F99,"Keluar"))),"")</f>
        <v>113</v>
      </c>
      <c r="L99" s="4" t="n">
        <f aca="false">IF(F99="Masuk",K99*H99,"")</f>
        <v>2980488</v>
      </c>
    </row>
    <row r="100" customFormat="false" ht="15" hidden="false" customHeight="false" outlineLevel="0" collapsed="false">
      <c r="A100" s="2" t="s">
        <v>106</v>
      </c>
      <c r="B100" s="3" t="s">
        <v>101</v>
      </c>
      <c r="C100" s="3" t="s">
        <v>102</v>
      </c>
      <c r="D100" s="3" t="s">
        <v>103</v>
      </c>
      <c r="E100" s="3" t="s">
        <v>104</v>
      </c>
      <c r="F100" s="3" t="s">
        <v>14</v>
      </c>
      <c r="G100" s="3" t="n">
        <v>22</v>
      </c>
      <c r="H100" s="3" t="n">
        <v>23000</v>
      </c>
      <c r="I100" s="3" t="s">
        <v>15</v>
      </c>
      <c r="J100" s="3" t="n">
        <f aca="false">SUMIFS($G$2:G100,$B$2:B100,B100,$F$2:F100,"Masuk")-SUMIFS($G$2:G100,$B$2:B100,B100,$F$2:F100,"Keluar")</f>
        <v>252</v>
      </c>
      <c r="K100" s="3" t="n">
        <f aca="false">IF(F100="Masuk",MAX(0,MIN(G100,SUMIFS($G$2:G100,$B$2:B100,B100,$F$2:F100,"Masuk")-SUMIFS($G$2:G100,$B$2:B100,B100,$F$2:F100,"Keluar"))),"")</f>
        <v>22</v>
      </c>
      <c r="L100" s="4" t="n">
        <f aca="false">IF(F100="Masuk",K100*H100,"")</f>
        <v>506000</v>
      </c>
    </row>
    <row r="101" customFormat="false" ht="15" hidden="false" customHeight="false" outlineLevel="0" collapsed="false">
      <c r="A101" s="2" t="s">
        <v>107</v>
      </c>
      <c r="B101" s="3" t="s">
        <v>101</v>
      </c>
      <c r="C101" s="3" t="s">
        <v>102</v>
      </c>
      <c r="D101" s="3" t="s">
        <v>103</v>
      </c>
      <c r="E101" s="3" t="s">
        <v>104</v>
      </c>
      <c r="F101" s="3" t="s">
        <v>17</v>
      </c>
      <c r="G101" s="3" t="n">
        <v>118</v>
      </c>
      <c r="H101" s="3"/>
      <c r="I101" s="3" t="s">
        <v>15</v>
      </c>
      <c r="J101" s="3" t="n">
        <f aca="false">SUMIFS($G$2:G101,$B$2:B101,B101,$F$2:F101,"Masuk")-SUMIFS($G$2:G101,$B$2:B101,B101,$F$2:F101,"Keluar")</f>
        <v>134</v>
      </c>
      <c r="K101" s="3" t="str">
        <f aca="false">IF(F101="Masuk",MAX(0,MIN(G101,SUMIFS($G$2:G101,$B$2:B101,B101,$F$2:F101,"Masuk")-SUMIFS($G$2:G101,$B$2:B101,B101,$F$2:F101,"Keluar"))),"")</f>
        <v/>
      </c>
      <c r="L101" s="4" t="str">
        <f aca="false">IF(F101="Masuk",K101*H101,"")</f>
        <v/>
      </c>
    </row>
    <row r="102" customFormat="false" ht="15" hidden="false" customHeight="false" outlineLevel="0" collapsed="false">
      <c r="A102" s="2" t="s">
        <v>66</v>
      </c>
      <c r="B102" s="3" t="s">
        <v>101</v>
      </c>
      <c r="C102" s="3" t="s">
        <v>102</v>
      </c>
      <c r="D102" s="3" t="s">
        <v>103</v>
      </c>
      <c r="E102" s="3" t="s">
        <v>104</v>
      </c>
      <c r="F102" s="3" t="s">
        <v>14</v>
      </c>
      <c r="G102" s="3" t="n">
        <v>140</v>
      </c>
      <c r="H102" s="3" t="n">
        <v>27383</v>
      </c>
      <c r="I102" s="3" t="s">
        <v>15</v>
      </c>
      <c r="J102" s="3" t="n">
        <f aca="false">SUMIFS($G$2:G102,$B$2:B102,B102,$F$2:F102,"Masuk")-SUMIFS($G$2:G102,$B$2:B102,B102,$F$2:F102,"Keluar")</f>
        <v>274</v>
      </c>
      <c r="K102" s="3" t="n">
        <f aca="false">IF(F102="Masuk",MAX(0,MIN(G102,SUMIFS($G$2:G102,$B$2:B102,B102,$F$2:F102,"Masuk")-SUMIFS($G$2:G102,$B$2:B102,B102,$F$2:F102,"Keluar"))),"")</f>
        <v>140</v>
      </c>
      <c r="L102" s="4" t="n">
        <f aca="false">IF(F102="Masuk",K102*H102,"")</f>
        <v>3833620</v>
      </c>
    </row>
    <row r="103" customFormat="false" ht="15" hidden="false" customHeight="false" outlineLevel="0" collapsed="false">
      <c r="A103" s="2" t="s">
        <v>108</v>
      </c>
      <c r="B103" s="3" t="s">
        <v>101</v>
      </c>
      <c r="C103" s="3" t="s">
        <v>102</v>
      </c>
      <c r="D103" s="3" t="s">
        <v>103</v>
      </c>
      <c r="E103" s="3" t="s">
        <v>104</v>
      </c>
      <c r="F103" s="3" t="s">
        <v>17</v>
      </c>
      <c r="G103" s="3" t="n">
        <v>72</v>
      </c>
      <c r="H103" s="3"/>
      <c r="I103" s="3" t="s">
        <v>15</v>
      </c>
      <c r="J103" s="3" t="n">
        <f aca="false">SUMIFS($G$2:G103,$B$2:B103,B103,$F$2:F103,"Masuk")-SUMIFS($G$2:G103,$B$2:B103,B103,$F$2:F103,"Keluar")</f>
        <v>202</v>
      </c>
      <c r="K103" s="3" t="str">
        <f aca="false">IF(F103="Masuk",MAX(0,MIN(G103,SUMIFS($G$2:G103,$B$2:B103,B103,$F$2:F103,"Masuk")-SUMIFS($G$2:G103,$B$2:B103,B103,$F$2:F103,"Keluar"))),"")</f>
        <v/>
      </c>
      <c r="L103" s="4" t="str">
        <f aca="false">IF(F103="Masuk",K103*H103,"")</f>
        <v/>
      </c>
    </row>
    <row r="104" customFormat="false" ht="15" hidden="false" customHeight="false" outlineLevel="0" collapsed="false">
      <c r="A104" s="2" t="s">
        <v>22</v>
      </c>
      <c r="B104" s="3" t="s">
        <v>101</v>
      </c>
      <c r="C104" s="3" t="s">
        <v>102</v>
      </c>
      <c r="D104" s="3" t="s">
        <v>103</v>
      </c>
      <c r="E104" s="3" t="s">
        <v>104</v>
      </c>
      <c r="F104" s="3" t="s">
        <v>14</v>
      </c>
      <c r="G104" s="3" t="n">
        <v>130</v>
      </c>
      <c r="H104" s="3" t="n">
        <v>25399</v>
      </c>
      <c r="I104" s="3" t="s">
        <v>15</v>
      </c>
      <c r="J104" s="3" t="n">
        <f aca="false">SUMIFS($G$2:G104,$B$2:B104,B104,$F$2:F104,"Masuk")-SUMIFS($G$2:G104,$B$2:B104,B104,$F$2:F104,"Keluar")</f>
        <v>332</v>
      </c>
      <c r="K104" s="3" t="n">
        <f aca="false">IF(F104="Masuk",MAX(0,MIN(G104,SUMIFS($G$2:G104,$B$2:B104,B104,$F$2:F104,"Masuk")-SUMIFS($G$2:G104,$B$2:B104,B104,$F$2:F104,"Keluar"))),"")</f>
        <v>130</v>
      </c>
      <c r="L104" s="4" t="n">
        <f aca="false">IF(F104="Masuk",K104*H104,"")</f>
        <v>3301870</v>
      </c>
    </row>
    <row r="105" customFormat="false" ht="15" hidden="false" customHeight="false" outlineLevel="0" collapsed="false">
      <c r="A105" s="2" t="s">
        <v>70</v>
      </c>
      <c r="B105" s="3" t="s">
        <v>101</v>
      </c>
      <c r="C105" s="3" t="s">
        <v>102</v>
      </c>
      <c r="D105" s="3" t="s">
        <v>103</v>
      </c>
      <c r="E105" s="3" t="s">
        <v>104</v>
      </c>
      <c r="F105" s="3" t="s">
        <v>14</v>
      </c>
      <c r="G105" s="3" t="n">
        <v>21</v>
      </c>
      <c r="H105" s="3" t="n">
        <v>27490</v>
      </c>
      <c r="I105" s="3" t="s">
        <v>15</v>
      </c>
      <c r="J105" s="3" t="n">
        <f aca="false">SUMIFS($G$2:G105,$B$2:B105,B105,$F$2:F105,"Masuk")-SUMIFS($G$2:G105,$B$2:B105,B105,$F$2:F105,"Keluar")</f>
        <v>353</v>
      </c>
      <c r="K105" s="3" t="n">
        <f aca="false">IF(F105="Masuk",MAX(0,MIN(G105,SUMIFS($G$2:G105,$B$2:B105,B105,$F$2:F105,"Masuk")-SUMIFS($G$2:G105,$B$2:B105,B105,$F$2:F105,"Keluar"))),"")</f>
        <v>21</v>
      </c>
      <c r="L105" s="4" t="n">
        <f aca="false">IF(F105="Masuk",K105*H105,"")</f>
        <v>577290</v>
      </c>
    </row>
    <row r="106" customFormat="false" ht="15" hidden="false" customHeight="false" outlineLevel="0" collapsed="false">
      <c r="A106" s="2" t="s">
        <v>109</v>
      </c>
      <c r="B106" s="3" t="s">
        <v>101</v>
      </c>
      <c r="C106" s="3" t="s">
        <v>102</v>
      </c>
      <c r="D106" s="3" t="s">
        <v>103</v>
      </c>
      <c r="E106" s="3" t="s">
        <v>104</v>
      </c>
      <c r="F106" s="3" t="s">
        <v>14</v>
      </c>
      <c r="G106" s="3" t="n">
        <v>163</v>
      </c>
      <c r="H106" s="3" t="n">
        <v>26580</v>
      </c>
      <c r="I106" s="3" t="s">
        <v>15</v>
      </c>
      <c r="J106" s="3" t="n">
        <f aca="false">SUMIFS($G$2:G106,$B$2:B106,B106,$F$2:F106,"Masuk")-SUMIFS($G$2:G106,$B$2:B106,B106,$F$2:F106,"Keluar")</f>
        <v>516</v>
      </c>
      <c r="K106" s="3" t="n">
        <f aca="false">IF(F106="Masuk",MAX(0,MIN(G106,SUMIFS($G$2:G106,$B$2:B106,B106,$F$2:F106,"Masuk")-SUMIFS($G$2:G106,$B$2:B106,B106,$F$2:F106,"Keluar"))),"")</f>
        <v>163</v>
      </c>
      <c r="L106" s="4" t="n">
        <f aca="false">IF(F106="Masuk",K106*H106,"")</f>
        <v>4332540</v>
      </c>
    </row>
    <row r="107" customFormat="false" ht="15" hidden="false" customHeight="false" outlineLevel="0" collapsed="false">
      <c r="A107" s="2" t="s">
        <v>72</v>
      </c>
      <c r="B107" s="3" t="s">
        <v>101</v>
      </c>
      <c r="C107" s="3" t="s">
        <v>102</v>
      </c>
      <c r="D107" s="3" t="s">
        <v>103</v>
      </c>
      <c r="E107" s="3" t="s">
        <v>104</v>
      </c>
      <c r="F107" s="3" t="s">
        <v>14</v>
      </c>
      <c r="G107" s="3" t="n">
        <v>185</v>
      </c>
      <c r="H107" s="3" t="n">
        <v>26192</v>
      </c>
      <c r="I107" s="3" t="s">
        <v>15</v>
      </c>
      <c r="J107" s="3" t="n">
        <f aca="false">SUMIFS($G$2:G107,$B$2:B107,B107,$F$2:F107,"Masuk")-SUMIFS($G$2:G107,$B$2:B107,B107,$F$2:F107,"Keluar")</f>
        <v>701</v>
      </c>
      <c r="K107" s="3" t="n">
        <f aca="false">IF(F107="Masuk",MAX(0,MIN(G107,SUMIFS($G$2:G107,$B$2:B107,B107,$F$2:F107,"Masuk")-SUMIFS($G$2:G107,$B$2:B107,B107,$F$2:F107,"Keluar"))),"")</f>
        <v>185</v>
      </c>
      <c r="L107" s="4" t="n">
        <f aca="false">IF(F107="Masuk",K107*H107,"")</f>
        <v>4845520</v>
      </c>
    </row>
    <row r="108" customFormat="false" ht="15" hidden="false" customHeight="false" outlineLevel="0" collapsed="false">
      <c r="A108" s="2" t="s">
        <v>26</v>
      </c>
      <c r="B108" s="3" t="s">
        <v>101</v>
      </c>
      <c r="C108" s="3" t="s">
        <v>102</v>
      </c>
      <c r="D108" s="3" t="s">
        <v>103</v>
      </c>
      <c r="E108" s="3" t="s">
        <v>104</v>
      </c>
      <c r="F108" s="3" t="s">
        <v>14</v>
      </c>
      <c r="G108" s="3" t="n">
        <v>40</v>
      </c>
      <c r="H108" s="3" t="n">
        <v>26458</v>
      </c>
      <c r="I108" s="3" t="s">
        <v>15</v>
      </c>
      <c r="J108" s="3" t="n">
        <f aca="false">SUMIFS($G$2:G108,$B$2:B108,B108,$F$2:F108,"Masuk")-SUMIFS($G$2:G108,$B$2:B108,B108,$F$2:F108,"Keluar")</f>
        <v>741</v>
      </c>
      <c r="K108" s="3" t="n">
        <f aca="false">IF(F108="Masuk",MAX(0,MIN(G108,SUMIFS($G$2:G108,$B$2:B108,B108,$F$2:F108,"Masuk")-SUMIFS($G$2:G108,$B$2:B108,B108,$F$2:F108,"Keluar"))),"")</f>
        <v>40</v>
      </c>
      <c r="L108" s="4" t="n">
        <f aca="false">IF(F108="Masuk",K108*H108,"")</f>
        <v>1058320</v>
      </c>
    </row>
    <row r="109" customFormat="false" ht="15" hidden="false" customHeight="false" outlineLevel="0" collapsed="false">
      <c r="A109" s="2" t="s">
        <v>110</v>
      </c>
      <c r="B109" s="3" t="s">
        <v>101</v>
      </c>
      <c r="C109" s="3" t="s">
        <v>102</v>
      </c>
      <c r="D109" s="3" t="s">
        <v>103</v>
      </c>
      <c r="E109" s="3" t="s">
        <v>104</v>
      </c>
      <c r="F109" s="3" t="s">
        <v>14</v>
      </c>
      <c r="G109" s="3" t="n">
        <v>176</v>
      </c>
      <c r="H109" s="3" t="n">
        <v>25227</v>
      </c>
      <c r="I109" s="3" t="s">
        <v>15</v>
      </c>
      <c r="J109" s="3" t="n">
        <f aca="false">SUMIFS($G$2:G109,$B$2:B109,B109,$F$2:F109,"Masuk")-SUMIFS($G$2:G109,$B$2:B109,B109,$F$2:F109,"Keluar")</f>
        <v>917</v>
      </c>
      <c r="K109" s="3" t="n">
        <f aca="false">IF(F109="Masuk",MAX(0,MIN(G109,SUMIFS($G$2:G109,$B$2:B109,B109,$F$2:F109,"Masuk")-SUMIFS($G$2:G109,$B$2:B109,B109,$F$2:F109,"Keluar"))),"")</f>
        <v>176</v>
      </c>
      <c r="L109" s="4" t="n">
        <f aca="false">IF(F109="Masuk",K109*H109,"")</f>
        <v>4439952</v>
      </c>
    </row>
    <row r="110" customFormat="false" ht="15" hidden="false" customHeight="false" outlineLevel="0" collapsed="false">
      <c r="A110" s="2" t="s">
        <v>111</v>
      </c>
      <c r="B110" s="3" t="s">
        <v>101</v>
      </c>
      <c r="C110" s="3" t="s">
        <v>102</v>
      </c>
      <c r="D110" s="3" t="s">
        <v>103</v>
      </c>
      <c r="E110" s="3" t="s">
        <v>104</v>
      </c>
      <c r="F110" s="3" t="s">
        <v>17</v>
      </c>
      <c r="G110" s="3" t="n">
        <v>78</v>
      </c>
      <c r="H110" s="3"/>
      <c r="I110" s="3" t="s">
        <v>15</v>
      </c>
      <c r="J110" s="3" t="n">
        <f aca="false">SUMIFS($G$2:G110,$B$2:B110,B110,$F$2:F110,"Masuk")-SUMIFS($G$2:G110,$B$2:B110,B110,$F$2:F110,"Keluar")</f>
        <v>839</v>
      </c>
      <c r="K110" s="3" t="str">
        <f aca="false">IF(F110="Masuk",MAX(0,MIN(G110,SUMIFS($G$2:G110,$B$2:B110,B110,$F$2:F110,"Masuk")-SUMIFS($G$2:G110,$B$2:B110,B110,$F$2:F110,"Keluar"))),"")</f>
        <v/>
      </c>
      <c r="L110" s="4" t="str">
        <f aca="false">IF(F110="Masuk",K110*H110,"")</f>
        <v/>
      </c>
    </row>
    <row r="111" customFormat="false" ht="15" hidden="false" customHeight="false" outlineLevel="0" collapsed="false">
      <c r="A111" s="2" t="s">
        <v>29</v>
      </c>
      <c r="B111" s="3" t="s">
        <v>101</v>
      </c>
      <c r="C111" s="3" t="s">
        <v>102</v>
      </c>
      <c r="D111" s="3" t="s">
        <v>103</v>
      </c>
      <c r="E111" s="3" t="s">
        <v>104</v>
      </c>
      <c r="F111" s="3" t="s">
        <v>14</v>
      </c>
      <c r="G111" s="3" t="n">
        <v>37</v>
      </c>
      <c r="H111" s="3" t="n">
        <v>24494</v>
      </c>
      <c r="I111" s="3" t="s">
        <v>15</v>
      </c>
      <c r="J111" s="3" t="n">
        <f aca="false">SUMIFS($G$2:G111,$B$2:B111,B111,$F$2:F111,"Masuk")-SUMIFS($G$2:G111,$B$2:B111,B111,$F$2:F111,"Keluar")</f>
        <v>876</v>
      </c>
      <c r="K111" s="3" t="n">
        <f aca="false">IF(F111="Masuk",MAX(0,MIN(G111,SUMIFS($G$2:G111,$B$2:B111,B111,$F$2:F111,"Masuk")-SUMIFS($G$2:G111,$B$2:B111,B111,$F$2:F111,"Keluar"))),"")</f>
        <v>37</v>
      </c>
      <c r="L111" s="4" t="n">
        <f aca="false">IF(F111="Masuk",K111*H111,"")</f>
        <v>906278</v>
      </c>
    </row>
    <row r="112" customFormat="false" ht="15" hidden="false" customHeight="false" outlineLevel="0" collapsed="false">
      <c r="A112" s="2" t="s">
        <v>112</v>
      </c>
      <c r="B112" s="3" t="s">
        <v>101</v>
      </c>
      <c r="C112" s="3" t="s">
        <v>102</v>
      </c>
      <c r="D112" s="3" t="s">
        <v>103</v>
      </c>
      <c r="E112" s="3" t="s">
        <v>104</v>
      </c>
      <c r="F112" s="3" t="s">
        <v>14</v>
      </c>
      <c r="G112" s="3" t="n">
        <v>183</v>
      </c>
      <c r="H112" s="3" t="n">
        <v>26730</v>
      </c>
      <c r="I112" s="3" t="s">
        <v>15</v>
      </c>
      <c r="J112" s="3" t="n">
        <f aca="false">SUMIFS($G$2:G112,$B$2:B112,B112,$F$2:F112,"Masuk")-SUMIFS($G$2:G112,$B$2:B112,B112,$F$2:F112,"Keluar")</f>
        <v>1059</v>
      </c>
      <c r="K112" s="3" t="n">
        <f aca="false">IF(F112="Masuk",MAX(0,MIN(G112,SUMIFS($G$2:G112,$B$2:B112,B112,$F$2:F112,"Masuk")-SUMIFS($G$2:G112,$B$2:B112,B112,$F$2:F112,"Keluar"))),"")</f>
        <v>183</v>
      </c>
      <c r="L112" s="4" t="n">
        <f aca="false">IF(F112="Masuk",K112*H112,"")</f>
        <v>4891590</v>
      </c>
    </row>
    <row r="113" customFormat="false" ht="15" hidden="false" customHeight="false" outlineLevel="0" collapsed="false">
      <c r="A113" s="2" t="s">
        <v>113</v>
      </c>
      <c r="B113" s="3" t="s">
        <v>101</v>
      </c>
      <c r="C113" s="3" t="s">
        <v>102</v>
      </c>
      <c r="D113" s="3" t="s">
        <v>103</v>
      </c>
      <c r="E113" s="3" t="s">
        <v>104</v>
      </c>
      <c r="F113" s="3" t="s">
        <v>17</v>
      </c>
      <c r="G113" s="3" t="n">
        <v>99</v>
      </c>
      <c r="H113" s="3"/>
      <c r="I113" s="3" t="s">
        <v>15</v>
      </c>
      <c r="J113" s="3" t="n">
        <f aca="false">SUMIFS($G$2:G113,$B$2:B113,B113,$F$2:F113,"Masuk")-SUMIFS($G$2:G113,$B$2:B113,B113,$F$2:F113,"Keluar")</f>
        <v>960</v>
      </c>
      <c r="K113" s="3" t="str">
        <f aca="false">IF(F113="Masuk",MAX(0,MIN(G113,SUMIFS($G$2:G113,$B$2:B113,B113,$F$2:F113,"Masuk")-SUMIFS($G$2:G113,$B$2:B113,B113,$F$2:F113,"Keluar"))),"")</f>
        <v/>
      </c>
      <c r="L113" s="4" t="str">
        <f aca="false">IF(F113="Masuk",K113*H113,"")</f>
        <v/>
      </c>
    </row>
    <row r="114" customFormat="false" ht="15" hidden="false" customHeight="false" outlineLevel="0" collapsed="false">
      <c r="A114" s="2" t="s">
        <v>114</v>
      </c>
      <c r="B114" s="3" t="s">
        <v>101</v>
      </c>
      <c r="C114" s="3" t="s">
        <v>102</v>
      </c>
      <c r="D114" s="3" t="s">
        <v>103</v>
      </c>
      <c r="E114" s="3" t="s">
        <v>104</v>
      </c>
      <c r="F114" s="3" t="s">
        <v>17</v>
      </c>
      <c r="G114" s="3" t="n">
        <v>51</v>
      </c>
      <c r="H114" s="3"/>
      <c r="I114" s="3" t="s">
        <v>15</v>
      </c>
      <c r="J114" s="3" t="n">
        <f aca="false">SUMIFS($G$2:G114,$B$2:B114,B114,$F$2:F114,"Masuk")-SUMIFS($G$2:G114,$B$2:B114,B114,$F$2:F114,"Keluar")</f>
        <v>909</v>
      </c>
      <c r="K114" s="3" t="str">
        <f aca="false">IF(F114="Masuk",MAX(0,MIN(G114,SUMIFS($G$2:G114,$B$2:B114,B114,$F$2:F114,"Masuk")-SUMIFS($G$2:G114,$B$2:B114,B114,$F$2:F114,"Keluar"))),"")</f>
        <v/>
      </c>
      <c r="L114" s="4" t="str">
        <f aca="false">IF(F114="Masuk",K114*H114,"")</f>
        <v/>
      </c>
    </row>
    <row r="115" customFormat="false" ht="15" hidden="false" customHeight="false" outlineLevel="0" collapsed="false">
      <c r="A115" s="2" t="s">
        <v>115</v>
      </c>
      <c r="B115" s="3" t="s">
        <v>101</v>
      </c>
      <c r="C115" s="3" t="s">
        <v>102</v>
      </c>
      <c r="D115" s="3" t="s">
        <v>103</v>
      </c>
      <c r="E115" s="3" t="s">
        <v>104</v>
      </c>
      <c r="F115" s="3" t="s">
        <v>14</v>
      </c>
      <c r="G115" s="3" t="n">
        <v>156</v>
      </c>
      <c r="H115" s="3" t="n">
        <v>23181</v>
      </c>
      <c r="I115" s="3" t="s">
        <v>15</v>
      </c>
      <c r="J115" s="3" t="n">
        <f aca="false">SUMIFS($G$2:G115,$B$2:B115,B115,$F$2:F115,"Masuk")-SUMIFS($G$2:G115,$B$2:B115,B115,$F$2:F115,"Keluar")</f>
        <v>1065</v>
      </c>
      <c r="K115" s="3" t="n">
        <f aca="false">IF(F115="Masuk",MAX(0,MIN(G115,SUMIFS($G$2:G115,$B$2:B115,B115,$F$2:F115,"Masuk")-SUMIFS($G$2:G115,$B$2:B115,B115,$F$2:F115,"Keluar"))),"")</f>
        <v>156</v>
      </c>
      <c r="L115" s="4" t="n">
        <f aca="false">IF(F115="Masuk",K115*H115,"")</f>
        <v>3616236</v>
      </c>
    </row>
    <row r="116" customFormat="false" ht="15" hidden="false" customHeight="false" outlineLevel="0" collapsed="false">
      <c r="A116" s="2" t="s">
        <v>116</v>
      </c>
      <c r="B116" s="3" t="s">
        <v>101</v>
      </c>
      <c r="C116" s="3" t="s">
        <v>102</v>
      </c>
      <c r="D116" s="3" t="s">
        <v>103</v>
      </c>
      <c r="E116" s="3" t="s">
        <v>104</v>
      </c>
      <c r="F116" s="3" t="s">
        <v>17</v>
      </c>
      <c r="G116" s="3" t="n">
        <v>46</v>
      </c>
      <c r="H116" s="3"/>
      <c r="I116" s="3" t="s">
        <v>15</v>
      </c>
      <c r="J116" s="3" t="n">
        <f aca="false">SUMIFS($G$2:G116,$B$2:B116,B116,$F$2:F116,"Masuk")-SUMIFS($G$2:G116,$B$2:B116,B116,$F$2:F116,"Keluar")</f>
        <v>1019</v>
      </c>
      <c r="K116" s="3" t="str">
        <f aca="false">IF(F116="Masuk",MAX(0,MIN(G116,SUMIFS($G$2:G116,$B$2:B116,B116,$F$2:F116,"Masuk")-SUMIFS($G$2:G116,$B$2:B116,B116,$F$2:F116,"Keluar"))),"")</f>
        <v/>
      </c>
      <c r="L116" s="4" t="str">
        <f aca="false">IF(F116="Masuk",K116*H116,"")</f>
        <v/>
      </c>
    </row>
    <row r="117" customFormat="false" ht="15" hidden="false" customHeight="false" outlineLevel="0" collapsed="false">
      <c r="A117" s="2" t="s">
        <v>77</v>
      </c>
      <c r="B117" s="3" t="s">
        <v>101</v>
      </c>
      <c r="C117" s="3" t="s">
        <v>102</v>
      </c>
      <c r="D117" s="3" t="s">
        <v>103</v>
      </c>
      <c r="E117" s="3" t="s">
        <v>104</v>
      </c>
      <c r="F117" s="3" t="s">
        <v>14</v>
      </c>
      <c r="G117" s="3" t="n">
        <v>132</v>
      </c>
      <c r="H117" s="3" t="n">
        <v>23067</v>
      </c>
      <c r="I117" s="3" t="s">
        <v>15</v>
      </c>
      <c r="J117" s="3" t="n">
        <f aca="false">SUMIFS($G$2:G117,$B$2:B117,B117,$F$2:F117,"Masuk")-SUMIFS($G$2:G117,$B$2:B117,B117,$F$2:F117,"Keluar")</f>
        <v>1151</v>
      </c>
      <c r="K117" s="3" t="n">
        <f aca="false">IF(F117="Masuk",MAX(0,MIN(G117,SUMIFS($G$2:G117,$B$2:B117,B117,$F$2:F117,"Masuk")-SUMIFS($G$2:G117,$B$2:B117,B117,$F$2:F117,"Keluar"))),"")</f>
        <v>132</v>
      </c>
      <c r="L117" s="4" t="n">
        <f aca="false">IF(F117="Masuk",K117*H117,"")</f>
        <v>3044844</v>
      </c>
    </row>
    <row r="118" customFormat="false" ht="15" hidden="false" customHeight="false" outlineLevel="0" collapsed="false">
      <c r="A118" s="2" t="s">
        <v>117</v>
      </c>
      <c r="B118" s="3" t="s">
        <v>101</v>
      </c>
      <c r="C118" s="3" t="s">
        <v>102</v>
      </c>
      <c r="D118" s="3" t="s">
        <v>103</v>
      </c>
      <c r="E118" s="3" t="s">
        <v>104</v>
      </c>
      <c r="F118" s="3" t="s">
        <v>14</v>
      </c>
      <c r="G118" s="3" t="n">
        <v>23</v>
      </c>
      <c r="H118" s="3" t="n">
        <v>27043</v>
      </c>
      <c r="I118" s="3" t="s">
        <v>15</v>
      </c>
      <c r="J118" s="3" t="n">
        <f aca="false">SUMIFS($G$2:G118,$B$2:B118,B118,$F$2:F118,"Masuk")-SUMIFS($G$2:G118,$B$2:B118,B118,$F$2:F118,"Keluar")</f>
        <v>1174</v>
      </c>
      <c r="K118" s="3" t="n">
        <f aca="false">IF(F118="Masuk",MAX(0,MIN(G118,SUMIFS($G$2:G118,$B$2:B118,B118,$F$2:F118,"Masuk")-SUMIFS($G$2:G118,$B$2:B118,B118,$F$2:F118,"Keluar"))),"")</f>
        <v>23</v>
      </c>
      <c r="L118" s="4" t="n">
        <f aca="false">IF(F118="Masuk",K118*H118,"")</f>
        <v>621989</v>
      </c>
    </row>
    <row r="119" customFormat="false" ht="15" hidden="false" customHeight="false" outlineLevel="0" collapsed="false">
      <c r="A119" s="2" t="s">
        <v>78</v>
      </c>
      <c r="B119" s="3" t="s">
        <v>101</v>
      </c>
      <c r="C119" s="3" t="s">
        <v>102</v>
      </c>
      <c r="D119" s="3" t="s">
        <v>103</v>
      </c>
      <c r="E119" s="3" t="s">
        <v>104</v>
      </c>
      <c r="F119" s="3" t="s">
        <v>14</v>
      </c>
      <c r="G119" s="3" t="n">
        <v>99</v>
      </c>
      <c r="H119" s="3" t="n">
        <v>27082</v>
      </c>
      <c r="I119" s="3" t="s">
        <v>15</v>
      </c>
      <c r="J119" s="3" t="n">
        <f aca="false">SUMIFS($G$2:G119,$B$2:B119,B119,$F$2:F119,"Masuk")-SUMIFS($G$2:G119,$B$2:B119,B119,$F$2:F119,"Keluar")</f>
        <v>1273</v>
      </c>
      <c r="K119" s="3" t="n">
        <f aca="false">IF(F119="Masuk",MAX(0,MIN(G119,SUMIFS($G$2:G119,$B$2:B119,B119,$F$2:F119,"Masuk")-SUMIFS($G$2:G119,$B$2:B119,B119,$F$2:F119,"Keluar"))),"")</f>
        <v>99</v>
      </c>
      <c r="L119" s="4" t="n">
        <f aca="false">IF(F119="Masuk",K119*H119,"")</f>
        <v>2681118</v>
      </c>
    </row>
    <row r="120" customFormat="false" ht="15" hidden="false" customHeight="false" outlineLevel="0" collapsed="false">
      <c r="A120" s="2" t="s">
        <v>36</v>
      </c>
      <c r="B120" s="3" t="s">
        <v>101</v>
      </c>
      <c r="C120" s="3" t="s">
        <v>102</v>
      </c>
      <c r="D120" s="3" t="s">
        <v>103</v>
      </c>
      <c r="E120" s="3" t="s">
        <v>104</v>
      </c>
      <c r="F120" s="3" t="s">
        <v>17</v>
      </c>
      <c r="G120" s="3" t="n">
        <v>111</v>
      </c>
      <c r="H120" s="3"/>
      <c r="I120" s="3" t="s">
        <v>15</v>
      </c>
      <c r="J120" s="3" t="n">
        <f aca="false">SUMIFS($G$2:G120,$B$2:B120,B120,$F$2:F120,"Masuk")-SUMIFS($G$2:G120,$B$2:B120,B120,$F$2:F120,"Keluar")</f>
        <v>1162</v>
      </c>
      <c r="K120" s="3" t="str">
        <f aca="false">IF(F120="Masuk",MAX(0,MIN(G120,SUMIFS($G$2:G120,$B$2:B120,B120,$F$2:F120,"Masuk")-SUMIFS($G$2:G120,$B$2:B120,B120,$F$2:F120,"Keluar"))),"")</f>
        <v/>
      </c>
      <c r="L120" s="4" t="str">
        <f aca="false">IF(F120="Masuk",K120*H120,"")</f>
        <v/>
      </c>
    </row>
    <row r="121" customFormat="false" ht="15" hidden="false" customHeight="false" outlineLevel="0" collapsed="false">
      <c r="A121" s="2" t="s">
        <v>118</v>
      </c>
      <c r="B121" s="3" t="s">
        <v>101</v>
      </c>
      <c r="C121" s="3" t="s">
        <v>102</v>
      </c>
      <c r="D121" s="3" t="s">
        <v>103</v>
      </c>
      <c r="E121" s="3" t="s">
        <v>104</v>
      </c>
      <c r="F121" s="3" t="s">
        <v>14</v>
      </c>
      <c r="G121" s="3" t="n">
        <v>57</v>
      </c>
      <c r="H121" s="3" t="n">
        <v>23459</v>
      </c>
      <c r="I121" s="3" t="s">
        <v>15</v>
      </c>
      <c r="J121" s="3" t="n">
        <f aca="false">SUMIFS($G$2:G121,$B$2:B121,B121,$F$2:F121,"Masuk")-SUMIFS($G$2:G121,$B$2:B121,B121,$F$2:F121,"Keluar")</f>
        <v>1219</v>
      </c>
      <c r="K121" s="3" t="n">
        <f aca="false">IF(F121="Masuk",MAX(0,MIN(G121,SUMIFS($G$2:G121,$B$2:B121,B121,$F$2:F121,"Masuk")-SUMIFS($G$2:G121,$B$2:B121,B121,$F$2:F121,"Keluar"))),"")</f>
        <v>57</v>
      </c>
      <c r="L121" s="4" t="n">
        <f aca="false">IF(F121="Masuk",K121*H121,"")</f>
        <v>1337163</v>
      </c>
    </row>
    <row r="122" customFormat="false" ht="15" hidden="false" customHeight="false" outlineLevel="0" collapsed="false">
      <c r="A122" s="2" t="s">
        <v>119</v>
      </c>
      <c r="B122" s="3" t="s">
        <v>101</v>
      </c>
      <c r="C122" s="3" t="s">
        <v>102</v>
      </c>
      <c r="D122" s="3" t="s">
        <v>103</v>
      </c>
      <c r="E122" s="3" t="s">
        <v>104</v>
      </c>
      <c r="F122" s="3" t="s">
        <v>17</v>
      </c>
      <c r="G122" s="3" t="n">
        <v>19</v>
      </c>
      <c r="H122" s="3"/>
      <c r="I122" s="3" t="s">
        <v>15</v>
      </c>
      <c r="J122" s="3" t="n">
        <f aca="false">SUMIFS($G$2:G122,$B$2:B122,B122,$F$2:F122,"Masuk")-SUMIFS($G$2:G122,$B$2:B122,B122,$F$2:F122,"Keluar")</f>
        <v>1200</v>
      </c>
      <c r="K122" s="3" t="str">
        <f aca="false">IF(F122="Masuk",MAX(0,MIN(G122,SUMIFS($G$2:G122,$B$2:B122,B122,$F$2:F122,"Masuk")-SUMIFS($G$2:G122,$B$2:B122,B122,$F$2:F122,"Keluar"))),"")</f>
        <v/>
      </c>
      <c r="L122" s="4" t="str">
        <f aca="false">IF(F122="Masuk",K122*H122,"")</f>
        <v/>
      </c>
    </row>
    <row r="123" customFormat="false" ht="15" hidden="false" customHeight="false" outlineLevel="0" collapsed="false">
      <c r="A123" s="2" t="s">
        <v>120</v>
      </c>
      <c r="B123" s="3" t="s">
        <v>101</v>
      </c>
      <c r="C123" s="3" t="s">
        <v>102</v>
      </c>
      <c r="D123" s="3" t="s">
        <v>103</v>
      </c>
      <c r="E123" s="3" t="s">
        <v>104</v>
      </c>
      <c r="F123" s="3" t="s">
        <v>17</v>
      </c>
      <c r="G123" s="3" t="n">
        <v>34</v>
      </c>
      <c r="H123" s="3"/>
      <c r="I123" s="3" t="s">
        <v>15</v>
      </c>
      <c r="J123" s="3" t="n">
        <f aca="false">SUMIFS($G$2:G123,$B$2:B123,B123,$F$2:F123,"Masuk")-SUMIFS($G$2:G123,$B$2:B123,B123,$F$2:F123,"Keluar")</f>
        <v>1166</v>
      </c>
      <c r="K123" s="3" t="str">
        <f aca="false">IF(F123="Masuk",MAX(0,MIN(G123,SUMIFS($G$2:G123,$B$2:B123,B123,$F$2:F123,"Masuk")-SUMIFS($G$2:G123,$B$2:B123,B123,$F$2:F123,"Keluar"))),"")</f>
        <v/>
      </c>
      <c r="L123" s="4" t="str">
        <f aca="false">IF(F123="Masuk",K123*H123,"")</f>
        <v/>
      </c>
    </row>
    <row r="124" customFormat="false" ht="15" hidden="false" customHeight="false" outlineLevel="0" collapsed="false">
      <c r="A124" s="2" t="s">
        <v>40</v>
      </c>
      <c r="B124" s="3" t="s">
        <v>101</v>
      </c>
      <c r="C124" s="3" t="s">
        <v>102</v>
      </c>
      <c r="D124" s="3" t="s">
        <v>103</v>
      </c>
      <c r="E124" s="3" t="s">
        <v>104</v>
      </c>
      <c r="F124" s="3" t="s">
        <v>17</v>
      </c>
      <c r="G124" s="3" t="n">
        <v>116</v>
      </c>
      <c r="H124" s="3"/>
      <c r="I124" s="3" t="s">
        <v>15</v>
      </c>
      <c r="J124" s="3" t="n">
        <f aca="false">SUMIFS($G$2:G124,$B$2:B124,B124,$F$2:F124,"Masuk")-SUMIFS($G$2:G124,$B$2:B124,B124,$F$2:F124,"Keluar")</f>
        <v>1050</v>
      </c>
      <c r="K124" s="3" t="str">
        <f aca="false">IF(F124="Masuk",MAX(0,MIN(G124,SUMIFS($G$2:G124,$B$2:B124,B124,$F$2:F124,"Masuk")-SUMIFS($G$2:G124,$B$2:B124,B124,$F$2:F124,"Keluar"))),"")</f>
        <v/>
      </c>
      <c r="L124" s="4" t="str">
        <f aca="false">IF(F124="Masuk",K124*H124,"")</f>
        <v/>
      </c>
    </row>
    <row r="125" customFormat="false" ht="15" hidden="false" customHeight="false" outlineLevel="0" collapsed="false">
      <c r="A125" s="2" t="s">
        <v>121</v>
      </c>
      <c r="B125" s="3" t="s">
        <v>101</v>
      </c>
      <c r="C125" s="3" t="s">
        <v>102</v>
      </c>
      <c r="D125" s="3" t="s">
        <v>103</v>
      </c>
      <c r="E125" s="3" t="s">
        <v>104</v>
      </c>
      <c r="F125" s="3" t="s">
        <v>14</v>
      </c>
      <c r="G125" s="3" t="n">
        <v>83</v>
      </c>
      <c r="H125" s="3" t="n">
        <v>26152</v>
      </c>
      <c r="I125" s="3" t="s">
        <v>15</v>
      </c>
      <c r="J125" s="3" t="n">
        <f aca="false">SUMIFS($G$2:G125,$B$2:B125,B125,$F$2:F125,"Masuk")-SUMIFS($G$2:G125,$B$2:B125,B125,$F$2:F125,"Keluar")</f>
        <v>1133</v>
      </c>
      <c r="K125" s="3" t="n">
        <f aca="false">IF(F125="Masuk",MAX(0,MIN(G125,SUMIFS($G$2:G125,$B$2:B125,B125,$F$2:F125,"Masuk")-SUMIFS($G$2:G125,$B$2:B125,B125,$F$2:F125,"Keluar"))),"")</f>
        <v>83</v>
      </c>
      <c r="L125" s="4" t="n">
        <f aca="false">IF(F125="Masuk",K125*H125,"")</f>
        <v>2170616</v>
      </c>
    </row>
    <row r="126" customFormat="false" ht="15" hidden="false" customHeight="false" outlineLevel="0" collapsed="false">
      <c r="A126" s="2" t="s">
        <v>122</v>
      </c>
      <c r="B126" s="3" t="s">
        <v>101</v>
      </c>
      <c r="C126" s="3" t="s">
        <v>102</v>
      </c>
      <c r="D126" s="3" t="s">
        <v>103</v>
      </c>
      <c r="E126" s="3" t="s">
        <v>104</v>
      </c>
      <c r="F126" s="3" t="s">
        <v>14</v>
      </c>
      <c r="G126" s="3" t="n">
        <v>28</v>
      </c>
      <c r="H126" s="3" t="n">
        <v>24631</v>
      </c>
      <c r="I126" s="3" t="s">
        <v>15</v>
      </c>
      <c r="J126" s="3" t="n">
        <f aca="false">SUMIFS($G$2:G126,$B$2:B126,B126,$F$2:F126,"Masuk")-SUMIFS($G$2:G126,$B$2:B126,B126,$F$2:F126,"Keluar")</f>
        <v>1161</v>
      </c>
      <c r="K126" s="3" t="n">
        <f aca="false">IF(F126="Masuk",MAX(0,MIN(G126,SUMIFS($G$2:G126,$B$2:B126,B126,$F$2:F126,"Masuk")-SUMIFS($G$2:G126,$B$2:B126,B126,$F$2:F126,"Keluar"))),"")</f>
        <v>28</v>
      </c>
      <c r="L126" s="4" t="n">
        <f aca="false">IF(F126="Masuk",K126*H126,"")</f>
        <v>689668</v>
      </c>
    </row>
    <row r="127" customFormat="false" ht="15" hidden="false" customHeight="false" outlineLevel="0" collapsed="false">
      <c r="A127" s="2" t="s">
        <v>123</v>
      </c>
      <c r="B127" s="3" t="s">
        <v>101</v>
      </c>
      <c r="C127" s="3" t="s">
        <v>102</v>
      </c>
      <c r="D127" s="3" t="s">
        <v>103</v>
      </c>
      <c r="E127" s="3" t="s">
        <v>104</v>
      </c>
      <c r="F127" s="3" t="s">
        <v>17</v>
      </c>
      <c r="G127" s="3" t="n">
        <v>22</v>
      </c>
      <c r="H127" s="3"/>
      <c r="I127" s="3" t="s">
        <v>15</v>
      </c>
      <c r="J127" s="3" t="n">
        <f aca="false">SUMIFS($G$2:G127,$B$2:B127,B127,$F$2:F127,"Masuk")-SUMIFS($G$2:G127,$B$2:B127,B127,$F$2:F127,"Keluar")</f>
        <v>1139</v>
      </c>
      <c r="K127" s="3" t="str">
        <f aca="false">IF(F127="Masuk",MAX(0,MIN(G127,SUMIFS($G$2:G127,$B$2:B127,B127,$F$2:F127,"Masuk")-SUMIFS($G$2:G127,$B$2:B127,B127,$F$2:F127,"Keluar"))),"")</f>
        <v/>
      </c>
      <c r="L127" s="4" t="str">
        <f aca="false">IF(F127="Masuk",K127*H127,"")</f>
        <v/>
      </c>
    </row>
    <row r="128" customFormat="false" ht="15" hidden="false" customHeight="false" outlineLevel="0" collapsed="false">
      <c r="A128" s="2" t="s">
        <v>43</v>
      </c>
      <c r="B128" s="3" t="s">
        <v>101</v>
      </c>
      <c r="C128" s="3" t="s">
        <v>102</v>
      </c>
      <c r="D128" s="3" t="s">
        <v>103</v>
      </c>
      <c r="E128" s="3" t="s">
        <v>104</v>
      </c>
      <c r="F128" s="3" t="s">
        <v>17</v>
      </c>
      <c r="G128" s="3" t="n">
        <v>36</v>
      </c>
      <c r="H128" s="3"/>
      <c r="I128" s="3" t="s">
        <v>15</v>
      </c>
      <c r="J128" s="3" t="n">
        <f aca="false">SUMIFS($G$2:G128,$B$2:B128,B128,$F$2:F128,"Masuk")-SUMIFS($G$2:G128,$B$2:B128,B128,$F$2:F128,"Keluar")</f>
        <v>1103</v>
      </c>
      <c r="K128" s="3" t="str">
        <f aca="false">IF(F128="Masuk",MAX(0,MIN(G128,SUMIFS($G$2:G128,$B$2:B128,B128,$F$2:F128,"Masuk")-SUMIFS($G$2:G128,$B$2:B128,B128,$F$2:F128,"Keluar"))),"")</f>
        <v/>
      </c>
      <c r="L128" s="4" t="str">
        <f aca="false">IF(F128="Masuk",K128*H128,"")</f>
        <v/>
      </c>
    </row>
    <row r="129" customFormat="false" ht="15" hidden="false" customHeight="false" outlineLevel="0" collapsed="false">
      <c r="A129" s="2" t="s">
        <v>124</v>
      </c>
      <c r="B129" s="3" t="s">
        <v>101</v>
      </c>
      <c r="C129" s="3" t="s">
        <v>102</v>
      </c>
      <c r="D129" s="3" t="s">
        <v>103</v>
      </c>
      <c r="E129" s="3" t="s">
        <v>104</v>
      </c>
      <c r="F129" s="3" t="s">
        <v>14</v>
      </c>
      <c r="G129" s="3" t="n">
        <v>99</v>
      </c>
      <c r="H129" s="3" t="n">
        <v>25646</v>
      </c>
      <c r="I129" s="3" t="s">
        <v>15</v>
      </c>
      <c r="J129" s="3" t="n">
        <f aca="false">SUMIFS($G$2:G129,$B$2:B129,B129,$F$2:F129,"Masuk")-SUMIFS($G$2:G129,$B$2:B129,B129,$F$2:F129,"Keluar")</f>
        <v>1202</v>
      </c>
      <c r="K129" s="3" t="n">
        <f aca="false">IF(F129="Masuk",MAX(0,MIN(G129,SUMIFS($G$2:G129,$B$2:B129,B129,$F$2:F129,"Masuk")-SUMIFS($G$2:G129,$B$2:B129,B129,$F$2:F129,"Keluar"))),"")</f>
        <v>99</v>
      </c>
      <c r="L129" s="4" t="n">
        <f aca="false">IF(F129="Masuk",K129*H129,"")</f>
        <v>2538954</v>
      </c>
    </row>
    <row r="130" customFormat="false" ht="15" hidden="false" customHeight="false" outlineLevel="0" collapsed="false">
      <c r="A130" s="2" t="s">
        <v>45</v>
      </c>
      <c r="B130" s="3" t="s">
        <v>101</v>
      </c>
      <c r="C130" s="3" t="s">
        <v>102</v>
      </c>
      <c r="D130" s="3" t="s">
        <v>103</v>
      </c>
      <c r="E130" s="3" t="s">
        <v>104</v>
      </c>
      <c r="F130" s="3" t="s">
        <v>17</v>
      </c>
      <c r="G130" s="3" t="n">
        <v>15</v>
      </c>
      <c r="H130" s="3"/>
      <c r="I130" s="3" t="s">
        <v>15</v>
      </c>
      <c r="J130" s="3" t="n">
        <f aca="false">SUMIFS($G$2:G130,$B$2:B130,B130,$F$2:F130,"Masuk")-SUMIFS($G$2:G130,$B$2:B130,B130,$F$2:F130,"Keluar")</f>
        <v>1187</v>
      </c>
      <c r="K130" s="3" t="str">
        <f aca="false">IF(F130="Masuk",MAX(0,MIN(G130,SUMIFS($G$2:G130,$B$2:B130,B130,$F$2:F130,"Masuk")-SUMIFS($G$2:G130,$B$2:B130,B130,$F$2:F130,"Keluar"))),"")</f>
        <v/>
      </c>
      <c r="L130" s="4" t="str">
        <f aca="false">IF(F130="Masuk",K130*H130,"")</f>
        <v/>
      </c>
    </row>
    <row r="131" customFormat="false" ht="15" hidden="false" customHeight="false" outlineLevel="0" collapsed="false">
      <c r="A131" s="2" t="s">
        <v>84</v>
      </c>
      <c r="B131" s="3" t="s">
        <v>101</v>
      </c>
      <c r="C131" s="3" t="s">
        <v>102</v>
      </c>
      <c r="D131" s="3" t="s">
        <v>103</v>
      </c>
      <c r="E131" s="3" t="s">
        <v>104</v>
      </c>
      <c r="F131" s="3" t="s">
        <v>17</v>
      </c>
      <c r="G131" s="3" t="n">
        <v>76</v>
      </c>
      <c r="H131" s="3"/>
      <c r="I131" s="3" t="s">
        <v>15</v>
      </c>
      <c r="J131" s="3" t="n">
        <f aca="false">SUMIFS($G$2:G131,$B$2:B131,B131,$F$2:F131,"Masuk")-SUMIFS($G$2:G131,$B$2:B131,B131,$F$2:F131,"Keluar")</f>
        <v>1111</v>
      </c>
      <c r="K131" s="3" t="str">
        <f aca="false">IF(F131="Masuk",MAX(0,MIN(G131,SUMIFS($G$2:G131,$B$2:B131,B131,$F$2:F131,"Masuk")-SUMIFS($G$2:G131,$B$2:B131,B131,$F$2:F131,"Keluar"))),"")</f>
        <v/>
      </c>
      <c r="L131" s="4" t="str">
        <f aca="false">IF(F131="Masuk",K131*H131,"")</f>
        <v/>
      </c>
    </row>
    <row r="132" customFormat="false" ht="15" hidden="false" customHeight="false" outlineLevel="0" collapsed="false">
      <c r="A132" s="2" t="s">
        <v>125</v>
      </c>
      <c r="B132" s="3" t="s">
        <v>101</v>
      </c>
      <c r="C132" s="3" t="s">
        <v>102</v>
      </c>
      <c r="D132" s="3" t="s">
        <v>103</v>
      </c>
      <c r="E132" s="3" t="s">
        <v>104</v>
      </c>
      <c r="F132" s="3" t="s">
        <v>14</v>
      </c>
      <c r="G132" s="3" t="n">
        <v>183</v>
      </c>
      <c r="H132" s="3" t="n">
        <v>25447</v>
      </c>
      <c r="I132" s="3" t="s">
        <v>15</v>
      </c>
      <c r="J132" s="3" t="n">
        <f aca="false">SUMIFS($G$2:G132,$B$2:B132,B132,$F$2:F132,"Masuk")-SUMIFS($G$2:G132,$B$2:B132,B132,$F$2:F132,"Keluar")</f>
        <v>1294</v>
      </c>
      <c r="K132" s="3" t="n">
        <f aca="false">IF(F132="Masuk",MAX(0,MIN(G132,SUMIFS($G$2:G132,$B$2:B132,B132,$F$2:F132,"Masuk")-SUMIFS($G$2:G132,$B$2:B132,B132,$F$2:F132,"Keluar"))),"")</f>
        <v>183</v>
      </c>
      <c r="L132" s="4" t="n">
        <f aca="false">IF(F132="Masuk",K132*H132,"")</f>
        <v>4656801</v>
      </c>
    </row>
    <row r="133" customFormat="false" ht="15" hidden="false" customHeight="false" outlineLevel="0" collapsed="false">
      <c r="A133" s="2" t="s">
        <v>126</v>
      </c>
      <c r="B133" s="3" t="s">
        <v>101</v>
      </c>
      <c r="C133" s="3" t="s">
        <v>102</v>
      </c>
      <c r="D133" s="3" t="s">
        <v>103</v>
      </c>
      <c r="E133" s="3" t="s">
        <v>104</v>
      </c>
      <c r="F133" s="3" t="s">
        <v>14</v>
      </c>
      <c r="G133" s="3" t="n">
        <v>33</v>
      </c>
      <c r="H133" s="3" t="n">
        <v>24784</v>
      </c>
      <c r="I133" s="3" t="s">
        <v>15</v>
      </c>
      <c r="J133" s="3" t="n">
        <f aca="false">SUMIFS($G$2:G133,$B$2:B133,B133,$F$2:F133,"Masuk")-SUMIFS($G$2:G133,$B$2:B133,B133,$F$2:F133,"Keluar")</f>
        <v>1327</v>
      </c>
      <c r="K133" s="3" t="n">
        <f aca="false">IF(F133="Masuk",MAX(0,MIN(G133,SUMIFS($G$2:G133,$B$2:B133,B133,$F$2:F133,"Masuk")-SUMIFS($G$2:G133,$B$2:B133,B133,$F$2:F133,"Keluar"))),"")</f>
        <v>33</v>
      </c>
      <c r="L133" s="4" t="n">
        <f aca="false">IF(F133="Masuk",K133*H133,"")</f>
        <v>817872</v>
      </c>
    </row>
    <row r="134" customFormat="false" ht="15" hidden="false" customHeight="false" outlineLevel="0" collapsed="false">
      <c r="A134" s="2" t="s">
        <v>48</v>
      </c>
      <c r="B134" s="3" t="s">
        <v>101</v>
      </c>
      <c r="C134" s="3" t="s">
        <v>102</v>
      </c>
      <c r="D134" s="3" t="s">
        <v>103</v>
      </c>
      <c r="E134" s="3" t="s">
        <v>104</v>
      </c>
      <c r="F134" s="3" t="s">
        <v>14</v>
      </c>
      <c r="G134" s="3" t="n">
        <v>131</v>
      </c>
      <c r="H134" s="3" t="n">
        <v>25658</v>
      </c>
      <c r="I134" s="3" t="s">
        <v>15</v>
      </c>
      <c r="J134" s="3" t="n">
        <f aca="false">SUMIFS($G$2:G134,$B$2:B134,B134,$F$2:F134,"Masuk")-SUMIFS($G$2:G134,$B$2:B134,B134,$F$2:F134,"Keluar")</f>
        <v>1458</v>
      </c>
      <c r="K134" s="3" t="n">
        <f aca="false">IF(F134="Masuk",MAX(0,MIN(G134,SUMIFS($G$2:G134,$B$2:B134,B134,$F$2:F134,"Masuk")-SUMIFS($G$2:G134,$B$2:B134,B134,$F$2:F134,"Keluar"))),"")</f>
        <v>131</v>
      </c>
      <c r="L134" s="4" t="n">
        <f aca="false">IF(F134="Masuk",K134*H134,"")</f>
        <v>3361198</v>
      </c>
    </row>
    <row r="135" customFormat="false" ht="15" hidden="false" customHeight="false" outlineLevel="0" collapsed="false">
      <c r="A135" s="2" t="s">
        <v>86</v>
      </c>
      <c r="B135" s="3" t="s">
        <v>101</v>
      </c>
      <c r="C135" s="3" t="s">
        <v>102</v>
      </c>
      <c r="D135" s="3" t="s">
        <v>103</v>
      </c>
      <c r="E135" s="3" t="s">
        <v>104</v>
      </c>
      <c r="F135" s="3" t="s">
        <v>14</v>
      </c>
      <c r="G135" s="3" t="n">
        <v>90</v>
      </c>
      <c r="H135" s="3" t="n">
        <v>27789</v>
      </c>
      <c r="I135" s="3" t="s">
        <v>15</v>
      </c>
      <c r="J135" s="3" t="n">
        <f aca="false">SUMIFS($G$2:G135,$B$2:B135,B135,$F$2:F135,"Masuk")-SUMIFS($G$2:G135,$B$2:B135,B135,$F$2:F135,"Keluar")</f>
        <v>1548</v>
      </c>
      <c r="K135" s="3" t="n">
        <f aca="false">IF(F135="Masuk",MAX(0,MIN(G135,SUMIFS($G$2:G135,$B$2:B135,B135,$F$2:F135,"Masuk")-SUMIFS($G$2:G135,$B$2:B135,B135,$F$2:F135,"Keluar"))),"")</f>
        <v>90</v>
      </c>
      <c r="L135" s="4" t="n">
        <f aca="false">IF(F135="Masuk",K135*H135,"")</f>
        <v>2501010</v>
      </c>
    </row>
    <row r="136" customFormat="false" ht="15" hidden="false" customHeight="false" outlineLevel="0" collapsed="false">
      <c r="A136" s="2" t="s">
        <v>49</v>
      </c>
      <c r="B136" s="3" t="s">
        <v>101</v>
      </c>
      <c r="C136" s="3" t="s">
        <v>102</v>
      </c>
      <c r="D136" s="3" t="s">
        <v>103</v>
      </c>
      <c r="E136" s="3" t="s">
        <v>104</v>
      </c>
      <c r="F136" s="3" t="s">
        <v>14</v>
      </c>
      <c r="G136" s="3" t="n">
        <v>82</v>
      </c>
      <c r="H136" s="3" t="n">
        <v>23073</v>
      </c>
      <c r="I136" s="3" t="s">
        <v>15</v>
      </c>
      <c r="J136" s="3" t="n">
        <f aca="false">SUMIFS($G$2:G136,$B$2:B136,B136,$F$2:F136,"Masuk")-SUMIFS($G$2:G136,$B$2:B136,B136,$F$2:F136,"Keluar")</f>
        <v>1630</v>
      </c>
      <c r="K136" s="3" t="n">
        <f aca="false">IF(F136="Masuk",MAX(0,MIN(G136,SUMIFS($G$2:G136,$B$2:B136,B136,$F$2:F136,"Masuk")-SUMIFS($G$2:G136,$B$2:B136,B136,$F$2:F136,"Keluar"))),"")</f>
        <v>82</v>
      </c>
      <c r="L136" s="4" t="n">
        <f aca="false">IF(F136="Masuk",K136*H136,"")</f>
        <v>1891986</v>
      </c>
    </row>
    <row r="137" customFormat="false" ht="15" hidden="false" customHeight="false" outlineLevel="0" collapsed="false">
      <c r="A137" s="2" t="s">
        <v>127</v>
      </c>
      <c r="B137" s="3" t="s">
        <v>101</v>
      </c>
      <c r="C137" s="3" t="s">
        <v>102</v>
      </c>
      <c r="D137" s="3" t="s">
        <v>103</v>
      </c>
      <c r="E137" s="3" t="s">
        <v>104</v>
      </c>
      <c r="F137" s="3" t="s">
        <v>17</v>
      </c>
      <c r="G137" s="3" t="n">
        <v>98</v>
      </c>
      <c r="H137" s="3"/>
      <c r="I137" s="3" t="s">
        <v>15</v>
      </c>
      <c r="J137" s="3" t="n">
        <f aca="false">SUMIFS($G$2:G137,$B$2:B137,B137,$F$2:F137,"Masuk")-SUMIFS($G$2:G137,$B$2:B137,B137,$F$2:F137,"Keluar")</f>
        <v>1532</v>
      </c>
      <c r="K137" s="3" t="str">
        <f aca="false">IF(F137="Masuk",MAX(0,MIN(G137,SUMIFS($G$2:G137,$B$2:B137,B137,$F$2:F137,"Masuk")-SUMIFS($G$2:G137,$B$2:B137,B137,$F$2:F137,"Keluar"))),"")</f>
        <v/>
      </c>
      <c r="L137" s="4" t="str">
        <f aca="false">IF(F137="Masuk",K137*H137,"")</f>
        <v/>
      </c>
    </row>
    <row r="138" customFormat="false" ht="15" hidden="false" customHeight="false" outlineLevel="0" collapsed="false">
      <c r="A138" s="2" t="s">
        <v>128</v>
      </c>
      <c r="B138" s="3" t="s">
        <v>101</v>
      </c>
      <c r="C138" s="3" t="s">
        <v>102</v>
      </c>
      <c r="D138" s="3" t="s">
        <v>103</v>
      </c>
      <c r="E138" s="3" t="s">
        <v>104</v>
      </c>
      <c r="F138" s="3" t="s">
        <v>17</v>
      </c>
      <c r="G138" s="3" t="n">
        <v>29</v>
      </c>
      <c r="H138" s="3"/>
      <c r="I138" s="3" t="s">
        <v>15</v>
      </c>
      <c r="J138" s="3" t="n">
        <f aca="false">SUMIFS($G$2:G138,$B$2:B138,B138,$F$2:F138,"Masuk")-SUMIFS($G$2:G138,$B$2:B138,B138,$F$2:F138,"Keluar")</f>
        <v>1503</v>
      </c>
      <c r="K138" s="3" t="str">
        <f aca="false">IF(F138="Masuk",MAX(0,MIN(G138,SUMIFS($G$2:G138,$B$2:B138,B138,$F$2:F138,"Masuk")-SUMIFS($G$2:G138,$B$2:B138,B138,$F$2:F138,"Keluar"))),"")</f>
        <v/>
      </c>
      <c r="L138" s="4" t="str">
        <f aca="false">IF(F138="Masuk",K138*H138,"")</f>
        <v/>
      </c>
    </row>
    <row r="139" customFormat="false" ht="15" hidden="false" customHeight="false" outlineLevel="0" collapsed="false">
      <c r="A139" s="2" t="s">
        <v>87</v>
      </c>
      <c r="B139" s="3" t="s">
        <v>101</v>
      </c>
      <c r="C139" s="3" t="s">
        <v>102</v>
      </c>
      <c r="D139" s="3" t="s">
        <v>103</v>
      </c>
      <c r="E139" s="3" t="s">
        <v>104</v>
      </c>
      <c r="F139" s="3" t="s">
        <v>17</v>
      </c>
      <c r="G139" s="3" t="n">
        <v>41</v>
      </c>
      <c r="H139" s="3"/>
      <c r="I139" s="3" t="s">
        <v>15</v>
      </c>
      <c r="J139" s="3" t="n">
        <f aca="false">SUMIFS($G$2:G139,$B$2:B139,B139,$F$2:F139,"Masuk")-SUMIFS($G$2:G139,$B$2:B139,B139,$F$2:F139,"Keluar")</f>
        <v>1462</v>
      </c>
      <c r="K139" s="3" t="str">
        <f aca="false">IF(F139="Masuk",MAX(0,MIN(G139,SUMIFS($G$2:G139,$B$2:B139,B139,$F$2:F139,"Masuk")-SUMIFS($G$2:G139,$B$2:B139,B139,$F$2:F139,"Keluar"))),"")</f>
        <v/>
      </c>
      <c r="L139" s="4" t="str">
        <f aca="false">IF(F139="Masuk",K139*H139,"")</f>
        <v/>
      </c>
    </row>
    <row r="140" customFormat="false" ht="15" hidden="false" customHeight="false" outlineLevel="0" collapsed="false">
      <c r="A140" s="2" t="s">
        <v>129</v>
      </c>
      <c r="B140" s="3" t="s">
        <v>101</v>
      </c>
      <c r="C140" s="3" t="s">
        <v>102</v>
      </c>
      <c r="D140" s="3" t="s">
        <v>103</v>
      </c>
      <c r="E140" s="3" t="s">
        <v>104</v>
      </c>
      <c r="F140" s="3" t="s">
        <v>17</v>
      </c>
      <c r="G140" s="3" t="n">
        <v>97</v>
      </c>
      <c r="H140" s="3"/>
      <c r="I140" s="3" t="s">
        <v>15</v>
      </c>
      <c r="J140" s="3" t="n">
        <f aca="false">SUMIFS($G$2:G140,$B$2:B140,B140,$F$2:F140,"Masuk")-SUMIFS($G$2:G140,$B$2:B140,B140,$F$2:F140,"Keluar")</f>
        <v>1365</v>
      </c>
      <c r="K140" s="3" t="str">
        <f aca="false">IF(F140="Masuk",MAX(0,MIN(G140,SUMIFS($G$2:G140,$B$2:B140,B140,$F$2:F140,"Masuk")-SUMIFS($G$2:G140,$B$2:B140,B140,$F$2:F140,"Keluar"))),"")</f>
        <v/>
      </c>
      <c r="L140" s="4" t="str">
        <f aca="false">IF(F140="Masuk",K140*H140,"")</f>
        <v/>
      </c>
    </row>
    <row r="141" customFormat="false" ht="15" hidden="false" customHeight="false" outlineLevel="0" collapsed="false">
      <c r="A141" s="2" t="s">
        <v>89</v>
      </c>
      <c r="B141" s="3" t="s">
        <v>101</v>
      </c>
      <c r="C141" s="3" t="s">
        <v>102</v>
      </c>
      <c r="D141" s="3" t="s">
        <v>103</v>
      </c>
      <c r="E141" s="3" t="s">
        <v>104</v>
      </c>
      <c r="F141" s="3" t="s">
        <v>14</v>
      </c>
      <c r="G141" s="3" t="n">
        <v>180</v>
      </c>
      <c r="H141" s="3" t="n">
        <v>23491</v>
      </c>
      <c r="I141" s="3" t="s">
        <v>15</v>
      </c>
      <c r="J141" s="3" t="n">
        <f aca="false">SUMIFS($G$2:G141,$B$2:B141,B141,$F$2:F141,"Masuk")-SUMIFS($G$2:G141,$B$2:B141,B141,$F$2:F141,"Keluar")</f>
        <v>1545</v>
      </c>
      <c r="K141" s="3" t="n">
        <f aca="false">IF(F141="Masuk",MAX(0,MIN(G141,SUMIFS($G$2:G141,$B$2:B141,B141,$F$2:F141,"Masuk")-SUMIFS($G$2:G141,$B$2:B141,B141,$F$2:F141,"Keluar"))),"")</f>
        <v>180</v>
      </c>
      <c r="L141" s="4" t="n">
        <f aca="false">IF(F141="Masuk",K141*H141,"")</f>
        <v>4228380</v>
      </c>
    </row>
    <row r="142" customFormat="false" ht="15" hidden="false" customHeight="false" outlineLevel="0" collapsed="false">
      <c r="A142" s="2" t="s">
        <v>130</v>
      </c>
      <c r="B142" s="3" t="s">
        <v>101</v>
      </c>
      <c r="C142" s="3" t="s">
        <v>102</v>
      </c>
      <c r="D142" s="3" t="s">
        <v>103</v>
      </c>
      <c r="E142" s="3" t="s">
        <v>104</v>
      </c>
      <c r="F142" s="3" t="s">
        <v>14</v>
      </c>
      <c r="G142" s="3" t="n">
        <v>59</v>
      </c>
      <c r="H142" s="3" t="n">
        <v>27393</v>
      </c>
      <c r="I142" s="3" t="s">
        <v>15</v>
      </c>
      <c r="J142" s="3" t="n">
        <f aca="false">SUMIFS($G$2:G142,$B$2:B142,B142,$F$2:F142,"Masuk")-SUMIFS($G$2:G142,$B$2:B142,B142,$F$2:F142,"Keluar")</f>
        <v>1604</v>
      </c>
      <c r="K142" s="3" t="n">
        <f aca="false">IF(F142="Masuk",MAX(0,MIN(G142,SUMIFS($G$2:G142,$B$2:B142,B142,$F$2:F142,"Masuk")-SUMIFS($G$2:G142,$B$2:B142,B142,$F$2:F142,"Keluar"))),"")</f>
        <v>59</v>
      </c>
      <c r="L142" s="4" t="n">
        <f aca="false">IF(F142="Masuk",K142*H142,"")</f>
        <v>1616187</v>
      </c>
    </row>
    <row r="143" customFormat="false" ht="15" hidden="false" customHeight="false" outlineLevel="0" collapsed="false">
      <c r="A143" s="2" t="s">
        <v>53</v>
      </c>
      <c r="B143" s="3" t="s">
        <v>101</v>
      </c>
      <c r="C143" s="3" t="s">
        <v>102</v>
      </c>
      <c r="D143" s="3" t="s">
        <v>103</v>
      </c>
      <c r="E143" s="3" t="s">
        <v>104</v>
      </c>
      <c r="F143" s="3" t="s">
        <v>14</v>
      </c>
      <c r="G143" s="3" t="n">
        <v>79</v>
      </c>
      <c r="H143" s="3" t="n">
        <v>25594</v>
      </c>
      <c r="I143" s="3" t="s">
        <v>15</v>
      </c>
      <c r="J143" s="3" t="n">
        <f aca="false">SUMIFS($G$2:G143,$B$2:B143,B143,$F$2:F143,"Masuk")-SUMIFS($G$2:G143,$B$2:B143,B143,$F$2:F143,"Keluar")</f>
        <v>1683</v>
      </c>
      <c r="K143" s="3" t="n">
        <f aca="false">IF(F143="Masuk",MAX(0,MIN(G143,SUMIFS($G$2:G143,$B$2:B143,B143,$F$2:F143,"Masuk")-SUMIFS($G$2:G143,$B$2:B143,B143,$F$2:F143,"Keluar"))),"")</f>
        <v>79</v>
      </c>
      <c r="L143" s="4" t="n">
        <f aca="false">IF(F143="Masuk",K143*H143,"")</f>
        <v>2021926</v>
      </c>
    </row>
    <row r="144" customFormat="false" ht="15" hidden="false" customHeight="false" outlineLevel="0" collapsed="false">
      <c r="A144" s="2" t="s">
        <v>131</v>
      </c>
      <c r="B144" s="3" t="s">
        <v>101</v>
      </c>
      <c r="C144" s="3" t="s">
        <v>102</v>
      </c>
      <c r="D144" s="3" t="s">
        <v>103</v>
      </c>
      <c r="E144" s="3" t="s">
        <v>104</v>
      </c>
      <c r="F144" s="3" t="s">
        <v>17</v>
      </c>
      <c r="G144" s="3" t="n">
        <v>106</v>
      </c>
      <c r="H144" s="3"/>
      <c r="I144" s="3" t="s">
        <v>15</v>
      </c>
      <c r="J144" s="3" t="n">
        <f aca="false">SUMIFS($G$2:G144,$B$2:B144,B144,$F$2:F144,"Masuk")-SUMIFS($G$2:G144,$B$2:B144,B144,$F$2:F144,"Keluar")</f>
        <v>1577</v>
      </c>
      <c r="K144" s="3" t="str">
        <f aca="false">IF(F144="Masuk",MAX(0,MIN(G144,SUMIFS($G$2:G144,$B$2:B144,B144,$F$2:F144,"Masuk")-SUMIFS($G$2:G144,$B$2:B144,B144,$F$2:F144,"Keluar"))),"")</f>
        <v/>
      </c>
      <c r="L144" s="4" t="str">
        <f aca="false">IF(F144="Masuk",K144*H144,"")</f>
        <v/>
      </c>
    </row>
    <row r="145" customFormat="false" ht="15" hidden="false" customHeight="false" outlineLevel="0" collapsed="false">
      <c r="A145" s="2" t="s">
        <v>132</v>
      </c>
      <c r="B145" s="3" t="s">
        <v>101</v>
      </c>
      <c r="C145" s="3" t="s">
        <v>102</v>
      </c>
      <c r="D145" s="3" t="s">
        <v>103</v>
      </c>
      <c r="E145" s="3" t="s">
        <v>104</v>
      </c>
      <c r="F145" s="3" t="s">
        <v>17</v>
      </c>
      <c r="G145" s="3" t="n">
        <v>66</v>
      </c>
      <c r="H145" s="3"/>
      <c r="I145" s="3" t="s">
        <v>15</v>
      </c>
      <c r="J145" s="3" t="n">
        <f aca="false">SUMIFS($G$2:G145,$B$2:B145,B145,$F$2:F145,"Masuk")-SUMIFS($G$2:G145,$B$2:B145,B145,$F$2:F145,"Keluar")</f>
        <v>1511</v>
      </c>
      <c r="K145" s="3" t="str">
        <f aca="false">IF(F145="Masuk",MAX(0,MIN(G145,SUMIFS($G$2:G145,$B$2:B145,B145,$F$2:F145,"Masuk")-SUMIFS($G$2:G145,$B$2:B145,B145,$F$2:F145,"Keluar"))),"")</f>
        <v/>
      </c>
      <c r="L145" s="4" t="str">
        <f aca="false">IF(F145="Masuk",K145*H145,"")</f>
        <v/>
      </c>
    </row>
    <row r="146" customFormat="false" ht="15" hidden="false" customHeight="false" outlineLevel="0" collapsed="false">
      <c r="A146" s="2" t="s">
        <v>133</v>
      </c>
      <c r="B146" s="3" t="s">
        <v>101</v>
      </c>
      <c r="C146" s="3" t="s">
        <v>102</v>
      </c>
      <c r="D146" s="3" t="s">
        <v>103</v>
      </c>
      <c r="E146" s="3" t="s">
        <v>104</v>
      </c>
      <c r="F146" s="3" t="s">
        <v>14</v>
      </c>
      <c r="G146" s="3" t="n">
        <v>196</v>
      </c>
      <c r="H146" s="3" t="n">
        <v>26094</v>
      </c>
      <c r="I146" s="3" t="s">
        <v>15</v>
      </c>
      <c r="J146" s="3" t="n">
        <f aca="false">SUMIFS($G$2:G146,$B$2:B146,B146,$F$2:F146,"Masuk")-SUMIFS($G$2:G146,$B$2:B146,B146,$F$2:F146,"Keluar")</f>
        <v>1707</v>
      </c>
      <c r="K146" s="3" t="n">
        <f aca="false">IF(F146="Masuk",MAX(0,MIN(G146,SUMIFS($G$2:G146,$B$2:B146,B146,$F$2:F146,"Masuk")-SUMIFS($G$2:G146,$B$2:B146,B146,$F$2:F146,"Keluar"))),"")</f>
        <v>196</v>
      </c>
      <c r="L146" s="4" t="n">
        <f aca="false">IF(F146="Masuk",K146*H146,"")</f>
        <v>5114424</v>
      </c>
    </row>
    <row r="147" customFormat="false" ht="15" hidden="false" customHeight="false" outlineLevel="0" collapsed="false">
      <c r="A147" s="2" t="s">
        <v>134</v>
      </c>
      <c r="B147" s="3" t="s">
        <v>135</v>
      </c>
      <c r="C147" s="3" t="s">
        <v>136</v>
      </c>
      <c r="D147" s="3" t="s">
        <v>137</v>
      </c>
      <c r="E147" s="3" t="s">
        <v>138</v>
      </c>
      <c r="F147" s="3" t="s">
        <v>14</v>
      </c>
      <c r="G147" s="3" t="n">
        <v>66</v>
      </c>
      <c r="H147" s="3" t="n">
        <v>20680</v>
      </c>
      <c r="I147" s="3" t="s">
        <v>15</v>
      </c>
      <c r="J147" s="3" t="n">
        <f aca="false">SUMIFS($G$2:G147,$B$2:B147,B147,$F$2:F147,"Masuk")-SUMIFS($G$2:G147,$B$2:B147,B147,$F$2:F147,"Keluar")</f>
        <v>66</v>
      </c>
      <c r="K147" s="3" t="n">
        <f aca="false">IF(F147="Masuk",MAX(0,MIN(G147,SUMIFS($G$2:G147,$B$2:B147,B147,$F$2:F147,"Masuk")-SUMIFS($G$2:G147,$B$2:B147,B147,$F$2:F147,"Keluar"))),"")</f>
        <v>66</v>
      </c>
      <c r="L147" s="4" t="n">
        <f aca="false">IF(F147="Masuk",K147*H147,"")</f>
        <v>1364880</v>
      </c>
    </row>
    <row r="148" customFormat="false" ht="15" hidden="false" customHeight="false" outlineLevel="0" collapsed="false">
      <c r="A148" s="2" t="s">
        <v>16</v>
      </c>
      <c r="B148" s="3" t="s">
        <v>135</v>
      </c>
      <c r="C148" s="3" t="s">
        <v>136</v>
      </c>
      <c r="D148" s="3" t="s">
        <v>137</v>
      </c>
      <c r="E148" s="3" t="s">
        <v>138</v>
      </c>
      <c r="F148" s="3" t="s">
        <v>17</v>
      </c>
      <c r="G148" s="3" t="n">
        <v>53</v>
      </c>
      <c r="H148" s="3"/>
      <c r="I148" s="3" t="s">
        <v>15</v>
      </c>
      <c r="J148" s="3" t="n">
        <f aca="false">SUMIFS($G$2:G148,$B$2:B148,B148,$F$2:F148,"Masuk")-SUMIFS($G$2:G148,$B$2:B148,B148,$F$2:F148,"Keluar")</f>
        <v>13</v>
      </c>
      <c r="K148" s="3" t="str">
        <f aca="false">IF(F148="Masuk",MAX(0,MIN(G148,SUMIFS($G$2:G148,$B$2:B148,B148,$F$2:F148,"Masuk")-SUMIFS($G$2:G148,$B$2:B148,B148,$F$2:F148,"Keluar"))),"")</f>
        <v/>
      </c>
      <c r="L148" s="4" t="str">
        <f aca="false">IF(F148="Masuk",K148*H148,"")</f>
        <v/>
      </c>
    </row>
    <row r="149" customFormat="false" ht="15" hidden="false" customHeight="false" outlineLevel="0" collapsed="false">
      <c r="A149" s="2" t="s">
        <v>139</v>
      </c>
      <c r="B149" s="3" t="s">
        <v>135</v>
      </c>
      <c r="C149" s="3" t="s">
        <v>136</v>
      </c>
      <c r="D149" s="3" t="s">
        <v>137</v>
      </c>
      <c r="E149" s="3" t="s">
        <v>138</v>
      </c>
      <c r="F149" s="3" t="s">
        <v>14</v>
      </c>
      <c r="G149" s="3" t="n">
        <v>45</v>
      </c>
      <c r="H149" s="3" t="n">
        <v>18211</v>
      </c>
      <c r="I149" s="3" t="s">
        <v>15</v>
      </c>
      <c r="J149" s="3" t="n">
        <f aca="false">SUMIFS($G$2:G149,$B$2:B149,B149,$F$2:F149,"Masuk")-SUMIFS($G$2:G149,$B$2:B149,B149,$F$2:F149,"Keluar")</f>
        <v>58</v>
      </c>
      <c r="K149" s="3" t="n">
        <f aca="false">IF(F149="Masuk",MAX(0,MIN(G149,SUMIFS($G$2:G149,$B$2:B149,B149,$F$2:F149,"Masuk")-SUMIFS($G$2:G149,$B$2:B149,B149,$F$2:F149,"Keluar"))),"")</f>
        <v>45</v>
      </c>
      <c r="L149" s="4" t="n">
        <f aca="false">IF(F149="Masuk",K149*H149,"")</f>
        <v>819495</v>
      </c>
    </row>
    <row r="150" customFormat="false" ht="15" hidden="false" customHeight="false" outlineLevel="0" collapsed="false">
      <c r="A150" s="2" t="s">
        <v>105</v>
      </c>
      <c r="B150" s="3" t="s">
        <v>135</v>
      </c>
      <c r="C150" s="3" t="s">
        <v>136</v>
      </c>
      <c r="D150" s="3" t="s">
        <v>137</v>
      </c>
      <c r="E150" s="3" t="s">
        <v>138</v>
      </c>
      <c r="F150" s="3" t="s">
        <v>17</v>
      </c>
      <c r="G150" s="3" t="n">
        <v>34</v>
      </c>
      <c r="H150" s="3"/>
      <c r="I150" s="3" t="s">
        <v>15</v>
      </c>
      <c r="J150" s="3" t="n">
        <f aca="false">SUMIFS($G$2:G150,$B$2:B150,B150,$F$2:F150,"Masuk")-SUMIFS($G$2:G150,$B$2:B150,B150,$F$2:F150,"Keluar")</f>
        <v>24</v>
      </c>
      <c r="K150" s="3" t="str">
        <f aca="false">IF(F150="Masuk",MAX(0,MIN(G150,SUMIFS($G$2:G150,$B$2:B150,B150,$F$2:F150,"Masuk")-SUMIFS($G$2:G150,$B$2:B150,B150,$F$2:F150,"Keluar"))),"")</f>
        <v/>
      </c>
      <c r="L150" s="4" t="str">
        <f aca="false">IF(F150="Masuk",K150*H150,"")</f>
        <v/>
      </c>
    </row>
    <row r="151" customFormat="false" ht="15" hidden="false" customHeight="false" outlineLevel="0" collapsed="false">
      <c r="A151" s="2" t="s">
        <v>140</v>
      </c>
      <c r="B151" s="3" t="s">
        <v>135</v>
      </c>
      <c r="C151" s="3" t="s">
        <v>136</v>
      </c>
      <c r="D151" s="3" t="s">
        <v>137</v>
      </c>
      <c r="E151" s="3" t="s">
        <v>138</v>
      </c>
      <c r="F151" s="3" t="s">
        <v>14</v>
      </c>
      <c r="G151" s="3" t="n">
        <v>57</v>
      </c>
      <c r="H151" s="3" t="n">
        <v>17225</v>
      </c>
      <c r="I151" s="3" t="s">
        <v>15</v>
      </c>
      <c r="J151" s="3" t="n">
        <f aca="false">SUMIFS($G$2:G151,$B$2:B151,B151,$F$2:F151,"Masuk")-SUMIFS($G$2:G151,$B$2:B151,B151,$F$2:F151,"Keluar")</f>
        <v>81</v>
      </c>
      <c r="K151" s="3" t="n">
        <f aca="false">IF(F151="Masuk",MAX(0,MIN(G151,SUMIFS($G$2:G151,$B$2:B151,B151,$F$2:F151,"Masuk")-SUMIFS($G$2:G151,$B$2:B151,B151,$F$2:F151,"Keluar"))),"")</f>
        <v>57</v>
      </c>
      <c r="L151" s="4" t="n">
        <f aca="false">IF(F151="Masuk",K151*H151,"")</f>
        <v>981825</v>
      </c>
    </row>
    <row r="152" customFormat="false" ht="15" hidden="false" customHeight="false" outlineLevel="0" collapsed="false">
      <c r="A152" s="2" t="s">
        <v>141</v>
      </c>
      <c r="B152" s="3" t="s">
        <v>135</v>
      </c>
      <c r="C152" s="3" t="s">
        <v>136</v>
      </c>
      <c r="D152" s="3" t="s">
        <v>137</v>
      </c>
      <c r="E152" s="3" t="s">
        <v>138</v>
      </c>
      <c r="F152" s="3" t="s">
        <v>17</v>
      </c>
      <c r="G152" s="3" t="n">
        <v>32</v>
      </c>
      <c r="H152" s="3"/>
      <c r="I152" s="3" t="s">
        <v>15</v>
      </c>
      <c r="J152" s="3" t="n">
        <f aca="false">SUMIFS($G$2:G152,$B$2:B152,B152,$F$2:F152,"Masuk")-SUMIFS($G$2:G152,$B$2:B152,B152,$F$2:F152,"Keluar")</f>
        <v>49</v>
      </c>
      <c r="K152" s="3" t="str">
        <f aca="false">IF(F152="Masuk",MAX(0,MIN(G152,SUMIFS($G$2:G152,$B$2:B152,B152,$F$2:F152,"Masuk")-SUMIFS($G$2:G152,$B$2:B152,B152,$F$2:F152,"Keluar"))),"")</f>
        <v/>
      </c>
      <c r="L152" s="4" t="str">
        <f aca="false">IF(F152="Masuk",K152*H152,"")</f>
        <v/>
      </c>
    </row>
    <row r="153" customFormat="false" ht="15" hidden="false" customHeight="false" outlineLevel="0" collapsed="false">
      <c r="A153" s="2" t="s">
        <v>66</v>
      </c>
      <c r="B153" s="3" t="s">
        <v>135</v>
      </c>
      <c r="C153" s="3" t="s">
        <v>136</v>
      </c>
      <c r="D153" s="3" t="s">
        <v>137</v>
      </c>
      <c r="E153" s="3" t="s">
        <v>138</v>
      </c>
      <c r="F153" s="3" t="s">
        <v>17</v>
      </c>
      <c r="G153" s="3" t="n">
        <v>43</v>
      </c>
      <c r="H153" s="3"/>
      <c r="I153" s="3" t="s">
        <v>15</v>
      </c>
      <c r="J153" s="3" t="n">
        <f aca="false">SUMIFS($G$2:G153,$B$2:B153,B153,$F$2:F153,"Masuk")-SUMIFS($G$2:G153,$B$2:B153,B153,$F$2:F153,"Keluar")</f>
        <v>6</v>
      </c>
      <c r="K153" s="3" t="str">
        <f aca="false">IF(F153="Masuk",MAX(0,MIN(G153,SUMIFS($G$2:G153,$B$2:B153,B153,$F$2:F153,"Masuk")-SUMIFS($G$2:G153,$B$2:B153,B153,$F$2:F153,"Keluar"))),"")</f>
        <v/>
      </c>
      <c r="L153" s="4" t="str">
        <f aca="false">IF(F153="Masuk",K153*H153,"")</f>
        <v/>
      </c>
    </row>
    <row r="154" customFormat="false" ht="15" hidden="false" customHeight="false" outlineLevel="0" collapsed="false">
      <c r="A154" s="2" t="s">
        <v>22</v>
      </c>
      <c r="B154" s="3" t="s">
        <v>135</v>
      </c>
      <c r="C154" s="3" t="s">
        <v>136</v>
      </c>
      <c r="D154" s="3" t="s">
        <v>137</v>
      </c>
      <c r="E154" s="3" t="s">
        <v>138</v>
      </c>
      <c r="F154" s="3" t="s">
        <v>14</v>
      </c>
      <c r="G154" s="3" t="n">
        <v>100</v>
      </c>
      <c r="H154" s="3" t="n">
        <v>19986</v>
      </c>
      <c r="I154" s="3" t="s">
        <v>15</v>
      </c>
      <c r="J154" s="3" t="n">
        <f aca="false">SUMIFS($G$2:G154,$B$2:B154,B154,$F$2:F154,"Masuk")-SUMIFS($G$2:G154,$B$2:B154,B154,$F$2:F154,"Keluar")</f>
        <v>106</v>
      </c>
      <c r="K154" s="3" t="n">
        <f aca="false">IF(F154="Masuk",MAX(0,MIN(G154,SUMIFS($G$2:G154,$B$2:B154,B154,$F$2:F154,"Masuk")-SUMIFS($G$2:G154,$B$2:B154,B154,$F$2:F154,"Keluar"))),"")</f>
        <v>100</v>
      </c>
      <c r="L154" s="4" t="n">
        <f aca="false">IF(F154="Masuk",K154*H154,"")</f>
        <v>1998600</v>
      </c>
    </row>
    <row r="155" customFormat="false" ht="15" hidden="false" customHeight="false" outlineLevel="0" collapsed="false">
      <c r="A155" s="2" t="s">
        <v>142</v>
      </c>
      <c r="B155" s="3" t="s">
        <v>135</v>
      </c>
      <c r="C155" s="3" t="s">
        <v>136</v>
      </c>
      <c r="D155" s="3" t="s">
        <v>137</v>
      </c>
      <c r="E155" s="3" t="s">
        <v>138</v>
      </c>
      <c r="F155" s="3" t="s">
        <v>14</v>
      </c>
      <c r="G155" s="3" t="n">
        <v>165</v>
      </c>
      <c r="H155" s="3" t="n">
        <v>16390</v>
      </c>
      <c r="I155" s="3" t="s">
        <v>15</v>
      </c>
      <c r="J155" s="3" t="n">
        <f aca="false">SUMIFS($G$2:G155,$B$2:B155,B155,$F$2:F155,"Masuk")-SUMIFS($G$2:G155,$B$2:B155,B155,$F$2:F155,"Keluar")</f>
        <v>271</v>
      </c>
      <c r="K155" s="3" t="n">
        <f aca="false">IF(F155="Masuk",MAX(0,MIN(G155,SUMIFS($G$2:G155,$B$2:B155,B155,$F$2:F155,"Masuk")-SUMIFS($G$2:G155,$B$2:B155,B155,$F$2:F155,"Keluar"))),"")</f>
        <v>165</v>
      </c>
      <c r="L155" s="4" t="n">
        <f aca="false">IF(F155="Masuk",K155*H155,"")</f>
        <v>2704350</v>
      </c>
    </row>
    <row r="156" customFormat="false" ht="15" hidden="false" customHeight="false" outlineLevel="0" collapsed="false">
      <c r="A156" s="2" t="s">
        <v>71</v>
      </c>
      <c r="B156" s="3" t="s">
        <v>135</v>
      </c>
      <c r="C156" s="3" t="s">
        <v>136</v>
      </c>
      <c r="D156" s="3" t="s">
        <v>137</v>
      </c>
      <c r="E156" s="3" t="s">
        <v>138</v>
      </c>
      <c r="F156" s="3" t="s">
        <v>14</v>
      </c>
      <c r="G156" s="3" t="n">
        <v>61</v>
      </c>
      <c r="H156" s="3" t="n">
        <v>16491</v>
      </c>
      <c r="I156" s="3" t="s">
        <v>15</v>
      </c>
      <c r="J156" s="3" t="n">
        <f aca="false">SUMIFS($G$2:G156,$B$2:B156,B156,$F$2:F156,"Masuk")-SUMIFS($G$2:G156,$B$2:B156,B156,$F$2:F156,"Keluar")</f>
        <v>332</v>
      </c>
      <c r="K156" s="3" t="n">
        <f aca="false">IF(F156="Masuk",MAX(0,MIN(G156,SUMIFS($G$2:G156,$B$2:B156,B156,$F$2:F156,"Masuk")-SUMIFS($G$2:G156,$B$2:B156,B156,$F$2:F156,"Keluar"))),"")</f>
        <v>61</v>
      </c>
      <c r="L156" s="4" t="n">
        <f aca="false">IF(F156="Masuk",K156*H156,"")</f>
        <v>1005951</v>
      </c>
    </row>
    <row r="157" customFormat="false" ht="15" hidden="false" customHeight="false" outlineLevel="0" collapsed="false">
      <c r="A157" s="2" t="s">
        <v>143</v>
      </c>
      <c r="B157" s="3" t="s">
        <v>135</v>
      </c>
      <c r="C157" s="3" t="s">
        <v>136</v>
      </c>
      <c r="D157" s="3" t="s">
        <v>137</v>
      </c>
      <c r="E157" s="3" t="s">
        <v>138</v>
      </c>
      <c r="F157" s="3" t="s">
        <v>17</v>
      </c>
      <c r="G157" s="3" t="n">
        <v>70</v>
      </c>
      <c r="H157" s="3"/>
      <c r="I157" s="3" t="s">
        <v>15</v>
      </c>
      <c r="J157" s="3" t="n">
        <f aca="false">SUMIFS($G$2:G157,$B$2:B157,B157,$F$2:F157,"Masuk")-SUMIFS($G$2:G157,$B$2:B157,B157,$F$2:F157,"Keluar")</f>
        <v>262</v>
      </c>
      <c r="K157" s="3" t="str">
        <f aca="false">IF(F157="Masuk",MAX(0,MIN(G157,SUMIFS($G$2:G157,$B$2:B157,B157,$F$2:F157,"Masuk")-SUMIFS($G$2:G157,$B$2:B157,B157,$F$2:F157,"Keluar"))),"")</f>
        <v/>
      </c>
      <c r="L157" s="4" t="str">
        <f aca="false">IF(F157="Masuk",K157*H157,"")</f>
        <v/>
      </c>
    </row>
    <row r="158" customFormat="false" ht="15" hidden="false" customHeight="false" outlineLevel="0" collapsed="false">
      <c r="A158" s="2" t="s">
        <v>144</v>
      </c>
      <c r="B158" s="3" t="s">
        <v>135</v>
      </c>
      <c r="C158" s="3" t="s">
        <v>136</v>
      </c>
      <c r="D158" s="3" t="s">
        <v>137</v>
      </c>
      <c r="E158" s="3" t="s">
        <v>138</v>
      </c>
      <c r="F158" s="3" t="s">
        <v>14</v>
      </c>
      <c r="G158" s="3" t="n">
        <v>105</v>
      </c>
      <c r="H158" s="3" t="n">
        <v>18128</v>
      </c>
      <c r="I158" s="3" t="s">
        <v>15</v>
      </c>
      <c r="J158" s="3" t="n">
        <f aca="false">SUMIFS($G$2:G158,$B$2:B158,B158,$F$2:F158,"Masuk")-SUMIFS($G$2:G158,$B$2:B158,B158,$F$2:F158,"Keluar")</f>
        <v>367</v>
      </c>
      <c r="K158" s="3" t="n">
        <f aca="false">IF(F158="Masuk",MAX(0,MIN(G158,SUMIFS($G$2:G158,$B$2:B158,B158,$F$2:F158,"Masuk")-SUMIFS($G$2:G158,$B$2:B158,B158,$F$2:F158,"Keluar"))),"")</f>
        <v>105</v>
      </c>
      <c r="L158" s="4" t="n">
        <f aca="false">IF(F158="Masuk",K158*H158,"")</f>
        <v>1903440</v>
      </c>
    </row>
    <row r="159" customFormat="false" ht="15" hidden="false" customHeight="false" outlineLevel="0" collapsed="false">
      <c r="A159" s="2" t="s">
        <v>27</v>
      </c>
      <c r="B159" s="3" t="s">
        <v>135</v>
      </c>
      <c r="C159" s="3" t="s">
        <v>136</v>
      </c>
      <c r="D159" s="3" t="s">
        <v>137</v>
      </c>
      <c r="E159" s="3" t="s">
        <v>138</v>
      </c>
      <c r="F159" s="3" t="s">
        <v>14</v>
      </c>
      <c r="G159" s="3" t="n">
        <v>162</v>
      </c>
      <c r="H159" s="3" t="n">
        <v>18111</v>
      </c>
      <c r="I159" s="3" t="s">
        <v>15</v>
      </c>
      <c r="J159" s="3" t="n">
        <f aca="false">SUMIFS($G$2:G159,$B$2:B159,B159,$F$2:F159,"Masuk")-SUMIFS($G$2:G159,$B$2:B159,B159,$F$2:F159,"Keluar")</f>
        <v>529</v>
      </c>
      <c r="K159" s="3" t="n">
        <f aca="false">IF(F159="Masuk",MAX(0,MIN(G159,SUMIFS($G$2:G159,$B$2:B159,B159,$F$2:F159,"Masuk")-SUMIFS($G$2:G159,$B$2:B159,B159,$F$2:F159,"Keluar"))),"")</f>
        <v>162</v>
      </c>
      <c r="L159" s="4" t="n">
        <f aca="false">IF(F159="Masuk",K159*H159,"")</f>
        <v>2933982</v>
      </c>
    </row>
    <row r="160" customFormat="false" ht="15" hidden="false" customHeight="false" outlineLevel="0" collapsed="false">
      <c r="A160" s="2" t="s">
        <v>74</v>
      </c>
      <c r="B160" s="3" t="s">
        <v>135</v>
      </c>
      <c r="C160" s="3" t="s">
        <v>136</v>
      </c>
      <c r="D160" s="3" t="s">
        <v>137</v>
      </c>
      <c r="E160" s="3" t="s">
        <v>138</v>
      </c>
      <c r="F160" s="3" t="s">
        <v>14</v>
      </c>
      <c r="G160" s="3" t="n">
        <v>51</v>
      </c>
      <c r="H160" s="3" t="n">
        <v>18876</v>
      </c>
      <c r="I160" s="3" t="s">
        <v>15</v>
      </c>
      <c r="J160" s="3" t="n">
        <f aca="false">SUMIFS($G$2:G160,$B$2:B160,B160,$F$2:F160,"Masuk")-SUMIFS($G$2:G160,$B$2:B160,B160,$F$2:F160,"Keluar")</f>
        <v>580</v>
      </c>
      <c r="K160" s="3" t="n">
        <f aca="false">IF(F160="Masuk",MAX(0,MIN(G160,SUMIFS($G$2:G160,$B$2:B160,B160,$F$2:F160,"Masuk")-SUMIFS($G$2:G160,$B$2:B160,B160,$F$2:F160,"Keluar"))),"")</f>
        <v>51</v>
      </c>
      <c r="L160" s="4" t="n">
        <f aca="false">IF(F160="Masuk",K160*H160,"")</f>
        <v>962676</v>
      </c>
    </row>
    <row r="161" customFormat="false" ht="15" hidden="false" customHeight="false" outlineLevel="0" collapsed="false">
      <c r="A161" s="2" t="s">
        <v>145</v>
      </c>
      <c r="B161" s="3" t="s">
        <v>135</v>
      </c>
      <c r="C161" s="3" t="s">
        <v>136</v>
      </c>
      <c r="D161" s="3" t="s">
        <v>137</v>
      </c>
      <c r="E161" s="3" t="s">
        <v>138</v>
      </c>
      <c r="F161" s="3" t="s">
        <v>17</v>
      </c>
      <c r="G161" s="3" t="n">
        <v>35</v>
      </c>
      <c r="H161" s="3"/>
      <c r="I161" s="3" t="s">
        <v>15</v>
      </c>
      <c r="J161" s="3" t="n">
        <f aca="false">SUMIFS($G$2:G161,$B$2:B161,B161,$F$2:F161,"Masuk")-SUMIFS($G$2:G161,$B$2:B161,B161,$F$2:F161,"Keluar")</f>
        <v>545</v>
      </c>
      <c r="K161" s="3" t="str">
        <f aca="false">IF(F161="Masuk",MAX(0,MIN(G161,SUMIFS($G$2:G161,$B$2:B161,B161,$F$2:F161,"Masuk")-SUMIFS($G$2:G161,$B$2:B161,B161,$F$2:F161,"Keluar"))),"")</f>
        <v/>
      </c>
      <c r="L161" s="4" t="str">
        <f aca="false">IF(F161="Masuk",K161*H161,"")</f>
        <v/>
      </c>
    </row>
    <row r="162" customFormat="false" ht="15" hidden="false" customHeight="false" outlineLevel="0" collapsed="false">
      <c r="A162" s="2" t="s">
        <v>30</v>
      </c>
      <c r="B162" s="3" t="s">
        <v>135</v>
      </c>
      <c r="C162" s="3" t="s">
        <v>136</v>
      </c>
      <c r="D162" s="3" t="s">
        <v>137</v>
      </c>
      <c r="E162" s="3" t="s">
        <v>138</v>
      </c>
      <c r="F162" s="3" t="s">
        <v>17</v>
      </c>
      <c r="G162" s="3" t="n">
        <v>93</v>
      </c>
      <c r="H162" s="3"/>
      <c r="I162" s="3" t="s">
        <v>15</v>
      </c>
      <c r="J162" s="3" t="n">
        <f aca="false">SUMIFS($G$2:G162,$B$2:B162,B162,$F$2:F162,"Masuk")-SUMIFS($G$2:G162,$B$2:B162,B162,$F$2:F162,"Keluar")</f>
        <v>452</v>
      </c>
      <c r="K162" s="3" t="str">
        <f aca="false">IF(F162="Masuk",MAX(0,MIN(G162,SUMIFS($G$2:G162,$B$2:B162,B162,$F$2:F162,"Masuk")-SUMIFS($G$2:G162,$B$2:B162,B162,$F$2:F162,"Keluar"))),"")</f>
        <v/>
      </c>
      <c r="L162" s="4" t="str">
        <f aca="false">IF(F162="Masuk",K162*H162,"")</f>
        <v/>
      </c>
    </row>
    <row r="163" customFormat="false" ht="15" hidden="false" customHeight="false" outlineLevel="0" collapsed="false">
      <c r="A163" s="2" t="s">
        <v>31</v>
      </c>
      <c r="B163" s="3" t="s">
        <v>135</v>
      </c>
      <c r="C163" s="3" t="s">
        <v>136</v>
      </c>
      <c r="D163" s="3" t="s">
        <v>137</v>
      </c>
      <c r="E163" s="3" t="s">
        <v>138</v>
      </c>
      <c r="F163" s="3" t="s">
        <v>14</v>
      </c>
      <c r="G163" s="3" t="n">
        <v>92</v>
      </c>
      <c r="H163" s="3" t="n">
        <v>18909</v>
      </c>
      <c r="I163" s="3" t="s">
        <v>15</v>
      </c>
      <c r="J163" s="3" t="n">
        <f aca="false">SUMIFS($G$2:G163,$B$2:B163,B163,$F$2:F163,"Masuk")-SUMIFS($G$2:G163,$B$2:B163,B163,$F$2:F163,"Keluar")</f>
        <v>544</v>
      </c>
      <c r="K163" s="3" t="n">
        <f aca="false">IF(F163="Masuk",MAX(0,MIN(G163,SUMIFS($G$2:G163,$B$2:B163,B163,$F$2:F163,"Masuk")-SUMIFS($G$2:G163,$B$2:B163,B163,$F$2:F163,"Keluar"))),"")</f>
        <v>92</v>
      </c>
      <c r="L163" s="4" t="n">
        <f aca="false">IF(F163="Masuk",K163*H163,"")</f>
        <v>1739628</v>
      </c>
    </row>
    <row r="164" customFormat="false" ht="15" hidden="false" customHeight="false" outlineLevel="0" collapsed="false">
      <c r="A164" s="2" t="s">
        <v>114</v>
      </c>
      <c r="B164" s="3" t="s">
        <v>135</v>
      </c>
      <c r="C164" s="3" t="s">
        <v>136</v>
      </c>
      <c r="D164" s="3" t="s">
        <v>137</v>
      </c>
      <c r="E164" s="3" t="s">
        <v>138</v>
      </c>
      <c r="F164" s="3" t="s">
        <v>17</v>
      </c>
      <c r="G164" s="3" t="n">
        <v>72</v>
      </c>
      <c r="H164" s="3"/>
      <c r="I164" s="3" t="s">
        <v>15</v>
      </c>
      <c r="J164" s="3" t="n">
        <f aca="false">SUMIFS($G$2:G164,$B$2:B164,B164,$F$2:F164,"Masuk")-SUMIFS($G$2:G164,$B$2:B164,B164,$F$2:F164,"Keluar")</f>
        <v>472</v>
      </c>
      <c r="K164" s="3" t="str">
        <f aca="false">IF(F164="Masuk",MAX(0,MIN(G164,SUMIFS($G$2:G164,$B$2:B164,B164,$F$2:F164,"Masuk")-SUMIFS($G$2:G164,$B$2:B164,B164,$F$2:F164,"Keluar"))),"")</f>
        <v/>
      </c>
      <c r="L164" s="4" t="str">
        <f aca="false">IF(F164="Masuk",K164*H164,"")</f>
        <v/>
      </c>
    </row>
    <row r="165" customFormat="false" ht="15" hidden="false" customHeight="false" outlineLevel="0" collapsed="false">
      <c r="A165" s="2" t="s">
        <v>77</v>
      </c>
      <c r="B165" s="3" t="s">
        <v>135</v>
      </c>
      <c r="C165" s="3" t="s">
        <v>136</v>
      </c>
      <c r="D165" s="3" t="s">
        <v>137</v>
      </c>
      <c r="E165" s="3" t="s">
        <v>138</v>
      </c>
      <c r="F165" s="3" t="s">
        <v>14</v>
      </c>
      <c r="G165" s="3" t="n">
        <v>40</v>
      </c>
      <c r="H165" s="3" t="n">
        <v>19121</v>
      </c>
      <c r="I165" s="3" t="s">
        <v>15</v>
      </c>
      <c r="J165" s="3" t="n">
        <f aca="false">SUMIFS($G$2:G165,$B$2:B165,B165,$F$2:F165,"Masuk")-SUMIFS($G$2:G165,$B$2:B165,B165,$F$2:F165,"Keluar")</f>
        <v>512</v>
      </c>
      <c r="K165" s="3" t="n">
        <f aca="false">IF(F165="Masuk",MAX(0,MIN(G165,SUMIFS($G$2:G165,$B$2:B165,B165,$F$2:F165,"Masuk")-SUMIFS($G$2:G165,$B$2:B165,B165,$F$2:F165,"Keluar"))),"")</f>
        <v>40</v>
      </c>
      <c r="L165" s="4" t="n">
        <f aca="false">IF(F165="Masuk",K165*H165,"")</f>
        <v>764840</v>
      </c>
    </row>
    <row r="166" customFormat="false" ht="15" hidden="false" customHeight="false" outlineLevel="0" collapsed="false">
      <c r="A166" s="2" t="s">
        <v>146</v>
      </c>
      <c r="B166" s="3" t="s">
        <v>135</v>
      </c>
      <c r="C166" s="3" t="s">
        <v>136</v>
      </c>
      <c r="D166" s="3" t="s">
        <v>137</v>
      </c>
      <c r="E166" s="3" t="s">
        <v>138</v>
      </c>
      <c r="F166" s="3" t="s">
        <v>14</v>
      </c>
      <c r="G166" s="3" t="n">
        <v>181</v>
      </c>
      <c r="H166" s="3" t="n">
        <v>17186</v>
      </c>
      <c r="I166" s="3" t="s">
        <v>15</v>
      </c>
      <c r="J166" s="3" t="n">
        <f aca="false">SUMIFS($G$2:G166,$B$2:B166,B166,$F$2:F166,"Masuk")-SUMIFS($G$2:G166,$B$2:B166,B166,$F$2:F166,"Keluar")</f>
        <v>693</v>
      </c>
      <c r="K166" s="3" t="n">
        <f aca="false">IF(F166="Masuk",MAX(0,MIN(G166,SUMIFS($G$2:G166,$B$2:B166,B166,$F$2:F166,"Masuk")-SUMIFS($G$2:G166,$B$2:B166,B166,$F$2:F166,"Keluar"))),"")</f>
        <v>181</v>
      </c>
      <c r="L166" s="4" t="n">
        <f aca="false">IF(F166="Masuk",K166*H166,"")</f>
        <v>3110666</v>
      </c>
    </row>
    <row r="167" customFormat="false" ht="15" hidden="false" customHeight="false" outlineLevel="0" collapsed="false">
      <c r="A167" s="2" t="s">
        <v>36</v>
      </c>
      <c r="B167" s="3" t="s">
        <v>135</v>
      </c>
      <c r="C167" s="3" t="s">
        <v>136</v>
      </c>
      <c r="D167" s="3" t="s">
        <v>137</v>
      </c>
      <c r="E167" s="3" t="s">
        <v>138</v>
      </c>
      <c r="F167" s="3" t="s">
        <v>17</v>
      </c>
      <c r="G167" s="3" t="n">
        <v>53</v>
      </c>
      <c r="H167" s="3"/>
      <c r="I167" s="3" t="s">
        <v>15</v>
      </c>
      <c r="J167" s="3" t="n">
        <f aca="false">SUMIFS($G$2:G167,$B$2:B167,B167,$F$2:F167,"Masuk")-SUMIFS($G$2:G167,$B$2:B167,B167,$F$2:F167,"Keluar")</f>
        <v>640</v>
      </c>
      <c r="K167" s="3" t="str">
        <f aca="false">IF(F167="Masuk",MAX(0,MIN(G167,SUMIFS($G$2:G167,$B$2:B167,B167,$F$2:F167,"Masuk")-SUMIFS($G$2:G167,$B$2:B167,B167,$F$2:F167,"Keluar"))),"")</f>
        <v/>
      </c>
      <c r="L167" s="4" t="str">
        <f aca="false">IF(F167="Masuk",K167*H167,"")</f>
        <v/>
      </c>
    </row>
    <row r="168" customFormat="false" ht="15" hidden="false" customHeight="false" outlineLevel="0" collapsed="false">
      <c r="A168" s="2" t="s">
        <v>119</v>
      </c>
      <c r="B168" s="3" t="s">
        <v>135</v>
      </c>
      <c r="C168" s="3" t="s">
        <v>136</v>
      </c>
      <c r="D168" s="3" t="s">
        <v>137</v>
      </c>
      <c r="E168" s="3" t="s">
        <v>138</v>
      </c>
      <c r="F168" s="3" t="s">
        <v>17</v>
      </c>
      <c r="G168" s="3" t="n">
        <v>83</v>
      </c>
      <c r="H168" s="3"/>
      <c r="I168" s="3" t="s">
        <v>15</v>
      </c>
      <c r="J168" s="3" t="n">
        <f aca="false">SUMIFS($G$2:G168,$B$2:B168,B168,$F$2:F168,"Masuk")-SUMIFS($G$2:G168,$B$2:B168,B168,$F$2:F168,"Keluar")</f>
        <v>557</v>
      </c>
      <c r="K168" s="3" t="str">
        <f aca="false">IF(F168="Masuk",MAX(0,MIN(G168,SUMIFS($G$2:G168,$B$2:B168,B168,$F$2:F168,"Masuk")-SUMIFS($G$2:G168,$B$2:B168,B168,$F$2:F168,"Keluar"))),"")</f>
        <v/>
      </c>
      <c r="L168" s="4" t="str">
        <f aca="false">IF(F168="Masuk",K168*H168,"")</f>
        <v/>
      </c>
    </row>
    <row r="169" customFormat="false" ht="15" hidden="false" customHeight="false" outlineLevel="0" collapsed="false">
      <c r="A169" s="2" t="s">
        <v>147</v>
      </c>
      <c r="B169" s="3" t="s">
        <v>135</v>
      </c>
      <c r="C169" s="3" t="s">
        <v>136</v>
      </c>
      <c r="D169" s="3" t="s">
        <v>137</v>
      </c>
      <c r="E169" s="3" t="s">
        <v>138</v>
      </c>
      <c r="F169" s="3" t="s">
        <v>17</v>
      </c>
      <c r="G169" s="3" t="n">
        <v>19</v>
      </c>
      <c r="H169" s="3"/>
      <c r="I169" s="3" t="s">
        <v>15</v>
      </c>
      <c r="J169" s="3" t="n">
        <f aca="false">SUMIFS($G$2:G169,$B$2:B169,B169,$F$2:F169,"Masuk")-SUMIFS($G$2:G169,$B$2:B169,B169,$F$2:F169,"Keluar")</f>
        <v>538</v>
      </c>
      <c r="K169" s="3" t="str">
        <f aca="false">IF(F169="Masuk",MAX(0,MIN(G169,SUMIFS($G$2:G169,$B$2:B169,B169,$F$2:F169,"Masuk")-SUMIFS($G$2:G169,$B$2:B169,B169,$F$2:F169,"Keluar"))),"")</f>
        <v/>
      </c>
      <c r="L169" s="4" t="str">
        <f aca="false">IF(F169="Masuk",K169*H169,"")</f>
        <v/>
      </c>
    </row>
    <row r="170" customFormat="false" ht="15" hidden="false" customHeight="false" outlineLevel="0" collapsed="false">
      <c r="A170" s="2" t="s">
        <v>120</v>
      </c>
      <c r="B170" s="3" t="s">
        <v>135</v>
      </c>
      <c r="C170" s="3" t="s">
        <v>136</v>
      </c>
      <c r="D170" s="3" t="s">
        <v>137</v>
      </c>
      <c r="E170" s="3" t="s">
        <v>138</v>
      </c>
      <c r="F170" s="3" t="s">
        <v>14</v>
      </c>
      <c r="G170" s="3" t="n">
        <v>78</v>
      </c>
      <c r="H170" s="3" t="n">
        <v>18568</v>
      </c>
      <c r="I170" s="3" t="s">
        <v>15</v>
      </c>
      <c r="J170" s="3" t="n">
        <f aca="false">SUMIFS($G$2:G170,$B$2:B170,B170,$F$2:F170,"Masuk")-SUMIFS($G$2:G170,$B$2:B170,B170,$F$2:F170,"Keluar")</f>
        <v>616</v>
      </c>
      <c r="K170" s="3" t="n">
        <f aca="false">IF(F170="Masuk",MAX(0,MIN(G170,SUMIFS($G$2:G170,$B$2:B170,B170,$F$2:F170,"Masuk")-SUMIFS($G$2:G170,$B$2:B170,B170,$F$2:F170,"Keluar"))),"")</f>
        <v>78</v>
      </c>
      <c r="L170" s="4" t="n">
        <f aca="false">IF(F170="Masuk",K170*H170,"")</f>
        <v>1448304</v>
      </c>
    </row>
    <row r="171" customFormat="false" ht="15" hidden="false" customHeight="false" outlineLevel="0" collapsed="false">
      <c r="A171" s="2" t="s">
        <v>40</v>
      </c>
      <c r="B171" s="3" t="s">
        <v>135</v>
      </c>
      <c r="C171" s="3" t="s">
        <v>136</v>
      </c>
      <c r="D171" s="3" t="s">
        <v>137</v>
      </c>
      <c r="E171" s="3" t="s">
        <v>138</v>
      </c>
      <c r="F171" s="3" t="s">
        <v>17</v>
      </c>
      <c r="G171" s="3" t="n">
        <v>100</v>
      </c>
      <c r="H171" s="3"/>
      <c r="I171" s="3" t="s">
        <v>15</v>
      </c>
      <c r="J171" s="3" t="n">
        <f aca="false">SUMIFS($G$2:G171,$B$2:B171,B171,$F$2:F171,"Masuk")-SUMIFS($G$2:G171,$B$2:B171,B171,$F$2:F171,"Keluar")</f>
        <v>516</v>
      </c>
      <c r="K171" s="3" t="str">
        <f aca="false">IF(F171="Masuk",MAX(0,MIN(G171,SUMIFS($G$2:G171,$B$2:B171,B171,$F$2:F171,"Masuk")-SUMIFS($G$2:G171,$B$2:B171,B171,$F$2:F171,"Keluar"))),"")</f>
        <v/>
      </c>
      <c r="L171" s="4" t="str">
        <f aca="false">IF(F171="Masuk",K171*H171,"")</f>
        <v/>
      </c>
    </row>
    <row r="172" customFormat="false" ht="15" hidden="false" customHeight="false" outlineLevel="0" collapsed="false">
      <c r="A172" s="2" t="s">
        <v>148</v>
      </c>
      <c r="B172" s="3" t="s">
        <v>135</v>
      </c>
      <c r="C172" s="3" t="s">
        <v>136</v>
      </c>
      <c r="D172" s="3" t="s">
        <v>137</v>
      </c>
      <c r="E172" s="3" t="s">
        <v>138</v>
      </c>
      <c r="F172" s="3" t="s">
        <v>17</v>
      </c>
      <c r="G172" s="3" t="n">
        <v>60</v>
      </c>
      <c r="H172" s="3"/>
      <c r="I172" s="3" t="s">
        <v>15</v>
      </c>
      <c r="J172" s="3" t="n">
        <f aca="false">SUMIFS($G$2:G172,$B$2:B172,B172,$F$2:F172,"Masuk")-SUMIFS($G$2:G172,$B$2:B172,B172,$F$2:F172,"Keluar")</f>
        <v>456</v>
      </c>
      <c r="K172" s="3" t="str">
        <f aca="false">IF(F172="Masuk",MAX(0,MIN(G172,SUMIFS($G$2:G172,$B$2:B172,B172,$F$2:F172,"Masuk")-SUMIFS($G$2:G172,$B$2:B172,B172,$F$2:F172,"Keluar"))),"")</f>
        <v/>
      </c>
      <c r="L172" s="4" t="str">
        <f aca="false">IF(F172="Masuk",K172*H172,"")</f>
        <v/>
      </c>
    </row>
    <row r="173" customFormat="false" ht="15" hidden="false" customHeight="false" outlineLevel="0" collapsed="false">
      <c r="A173" s="2" t="s">
        <v>41</v>
      </c>
      <c r="B173" s="3" t="s">
        <v>135</v>
      </c>
      <c r="C173" s="3" t="s">
        <v>136</v>
      </c>
      <c r="D173" s="3" t="s">
        <v>137</v>
      </c>
      <c r="E173" s="3" t="s">
        <v>138</v>
      </c>
      <c r="F173" s="3" t="s">
        <v>17</v>
      </c>
      <c r="G173" s="3" t="n">
        <v>109</v>
      </c>
      <c r="H173" s="3"/>
      <c r="I173" s="3" t="s">
        <v>15</v>
      </c>
      <c r="J173" s="3" t="n">
        <f aca="false">SUMIFS($G$2:G173,$B$2:B173,B173,$F$2:F173,"Masuk")-SUMIFS($G$2:G173,$B$2:B173,B173,$F$2:F173,"Keluar")</f>
        <v>347</v>
      </c>
      <c r="K173" s="3" t="str">
        <f aca="false">IF(F173="Masuk",MAX(0,MIN(G173,SUMIFS($G$2:G173,$B$2:B173,B173,$F$2:F173,"Masuk")-SUMIFS($G$2:G173,$B$2:B173,B173,$F$2:F173,"Keluar"))),"")</f>
        <v/>
      </c>
      <c r="L173" s="4" t="str">
        <f aca="false">IF(F173="Masuk",K173*H173,"")</f>
        <v/>
      </c>
    </row>
    <row r="174" customFormat="false" ht="15" hidden="false" customHeight="false" outlineLevel="0" collapsed="false">
      <c r="A174" s="2" t="s">
        <v>123</v>
      </c>
      <c r="B174" s="3" t="s">
        <v>135</v>
      </c>
      <c r="C174" s="3" t="s">
        <v>136</v>
      </c>
      <c r="D174" s="3" t="s">
        <v>137</v>
      </c>
      <c r="E174" s="3" t="s">
        <v>138</v>
      </c>
      <c r="F174" s="3" t="s">
        <v>17</v>
      </c>
      <c r="G174" s="3" t="n">
        <v>76</v>
      </c>
      <c r="H174" s="3"/>
      <c r="I174" s="3" t="s">
        <v>15</v>
      </c>
      <c r="J174" s="3" t="n">
        <f aca="false">SUMIFS($G$2:G174,$B$2:B174,B174,$F$2:F174,"Masuk")-SUMIFS($G$2:G174,$B$2:B174,B174,$F$2:F174,"Keluar")</f>
        <v>271</v>
      </c>
      <c r="K174" s="3" t="str">
        <f aca="false">IF(F174="Masuk",MAX(0,MIN(G174,SUMIFS($G$2:G174,$B$2:B174,B174,$F$2:F174,"Masuk")-SUMIFS($G$2:G174,$B$2:B174,B174,$F$2:F174,"Keluar"))),"")</f>
        <v/>
      </c>
      <c r="L174" s="4" t="str">
        <f aca="false">IF(F174="Masuk",K174*H174,"")</f>
        <v/>
      </c>
    </row>
    <row r="175" customFormat="false" ht="15" hidden="false" customHeight="false" outlineLevel="0" collapsed="false">
      <c r="A175" s="2" t="s">
        <v>149</v>
      </c>
      <c r="B175" s="3" t="s">
        <v>135</v>
      </c>
      <c r="C175" s="3" t="s">
        <v>136</v>
      </c>
      <c r="D175" s="3" t="s">
        <v>137</v>
      </c>
      <c r="E175" s="3" t="s">
        <v>138</v>
      </c>
      <c r="F175" s="3" t="s">
        <v>14</v>
      </c>
      <c r="G175" s="3" t="n">
        <v>67</v>
      </c>
      <c r="H175" s="3" t="n">
        <v>16189</v>
      </c>
      <c r="I175" s="3" t="s">
        <v>15</v>
      </c>
      <c r="J175" s="3" t="n">
        <f aca="false">SUMIFS($G$2:G175,$B$2:B175,B175,$F$2:F175,"Masuk")-SUMIFS($G$2:G175,$B$2:B175,B175,$F$2:F175,"Keluar")</f>
        <v>338</v>
      </c>
      <c r="K175" s="3" t="n">
        <f aca="false">IF(F175="Masuk",MAX(0,MIN(G175,SUMIFS($G$2:G175,$B$2:B175,B175,$F$2:F175,"Masuk")-SUMIFS($G$2:G175,$B$2:B175,B175,$F$2:F175,"Keluar"))),"")</f>
        <v>67</v>
      </c>
      <c r="L175" s="4" t="n">
        <f aca="false">IF(F175="Masuk",K175*H175,"")</f>
        <v>1084663</v>
      </c>
    </row>
    <row r="176" customFormat="false" ht="15" hidden="false" customHeight="false" outlineLevel="0" collapsed="false">
      <c r="A176" s="2" t="s">
        <v>82</v>
      </c>
      <c r="B176" s="3" t="s">
        <v>135</v>
      </c>
      <c r="C176" s="3" t="s">
        <v>136</v>
      </c>
      <c r="D176" s="3" t="s">
        <v>137</v>
      </c>
      <c r="E176" s="3" t="s">
        <v>138</v>
      </c>
      <c r="F176" s="3" t="s">
        <v>17</v>
      </c>
      <c r="G176" s="3" t="n">
        <v>94</v>
      </c>
      <c r="H176" s="3"/>
      <c r="I176" s="3" t="s">
        <v>15</v>
      </c>
      <c r="J176" s="3" t="n">
        <f aca="false">SUMIFS($G$2:G176,$B$2:B176,B176,$F$2:F176,"Masuk")-SUMIFS($G$2:G176,$B$2:B176,B176,$F$2:F176,"Keluar")</f>
        <v>244</v>
      </c>
      <c r="K176" s="3" t="str">
        <f aca="false">IF(F176="Masuk",MAX(0,MIN(G176,SUMIFS($G$2:G176,$B$2:B176,B176,$F$2:F176,"Masuk")-SUMIFS($G$2:G176,$B$2:B176,B176,$F$2:F176,"Keluar"))),"")</f>
        <v/>
      </c>
      <c r="L176" s="4" t="str">
        <f aca="false">IF(F176="Masuk",K176*H176,"")</f>
        <v/>
      </c>
    </row>
    <row r="177" customFormat="false" ht="15" hidden="false" customHeight="false" outlineLevel="0" collapsed="false">
      <c r="A177" s="2" t="s">
        <v>124</v>
      </c>
      <c r="B177" s="3" t="s">
        <v>135</v>
      </c>
      <c r="C177" s="3" t="s">
        <v>136</v>
      </c>
      <c r="D177" s="3" t="s">
        <v>137</v>
      </c>
      <c r="E177" s="3" t="s">
        <v>138</v>
      </c>
      <c r="F177" s="3" t="s">
        <v>17</v>
      </c>
      <c r="G177" s="3" t="n">
        <v>99</v>
      </c>
      <c r="H177" s="3"/>
      <c r="I177" s="3" t="s">
        <v>15</v>
      </c>
      <c r="J177" s="3" t="n">
        <f aca="false">SUMIFS($G$2:G177,$B$2:B177,B177,$F$2:F177,"Masuk")-SUMIFS($G$2:G177,$B$2:B177,B177,$F$2:F177,"Keluar")</f>
        <v>145</v>
      </c>
      <c r="K177" s="3" t="str">
        <f aca="false">IF(F177="Masuk",MAX(0,MIN(G177,SUMIFS($G$2:G177,$B$2:B177,B177,$F$2:F177,"Masuk")-SUMIFS($G$2:G177,$B$2:B177,B177,$F$2:F177,"Keluar"))),"")</f>
        <v/>
      </c>
      <c r="L177" s="4" t="str">
        <f aca="false">IF(F177="Masuk",K177*H177,"")</f>
        <v/>
      </c>
    </row>
    <row r="178" customFormat="false" ht="15" hidden="false" customHeight="false" outlineLevel="0" collapsed="false">
      <c r="A178" s="2" t="s">
        <v>150</v>
      </c>
      <c r="B178" s="3" t="s">
        <v>135</v>
      </c>
      <c r="C178" s="3" t="s">
        <v>136</v>
      </c>
      <c r="D178" s="3" t="s">
        <v>137</v>
      </c>
      <c r="E178" s="3" t="s">
        <v>138</v>
      </c>
      <c r="F178" s="3" t="s">
        <v>14</v>
      </c>
      <c r="G178" s="3" t="n">
        <v>62</v>
      </c>
      <c r="H178" s="3" t="n">
        <v>19252</v>
      </c>
      <c r="I178" s="3" t="s">
        <v>15</v>
      </c>
      <c r="J178" s="3" t="n">
        <f aca="false">SUMIFS($G$2:G178,$B$2:B178,B178,$F$2:F178,"Masuk")-SUMIFS($G$2:G178,$B$2:B178,B178,$F$2:F178,"Keluar")</f>
        <v>207</v>
      </c>
      <c r="K178" s="3" t="n">
        <f aca="false">IF(F178="Masuk",MAX(0,MIN(G178,SUMIFS($G$2:G178,$B$2:B178,B178,$F$2:F178,"Masuk")-SUMIFS($G$2:G178,$B$2:B178,B178,$F$2:F178,"Keluar"))),"")</f>
        <v>62</v>
      </c>
      <c r="L178" s="4" t="n">
        <f aca="false">IF(F178="Masuk",K178*H178,"")</f>
        <v>1193624</v>
      </c>
    </row>
    <row r="179" customFormat="false" ht="15" hidden="false" customHeight="false" outlineLevel="0" collapsed="false">
      <c r="A179" s="2" t="s">
        <v>47</v>
      </c>
      <c r="B179" s="3" t="s">
        <v>135</v>
      </c>
      <c r="C179" s="3" t="s">
        <v>136</v>
      </c>
      <c r="D179" s="3" t="s">
        <v>137</v>
      </c>
      <c r="E179" s="3" t="s">
        <v>138</v>
      </c>
      <c r="F179" s="3" t="s">
        <v>14</v>
      </c>
      <c r="G179" s="3" t="n">
        <v>141</v>
      </c>
      <c r="H179" s="3" t="n">
        <v>20492</v>
      </c>
      <c r="I179" s="3" t="s">
        <v>15</v>
      </c>
      <c r="J179" s="3" t="n">
        <f aca="false">SUMIFS($G$2:G179,$B$2:B179,B179,$F$2:F179,"Masuk")-SUMIFS($G$2:G179,$B$2:B179,B179,$F$2:F179,"Keluar")</f>
        <v>348</v>
      </c>
      <c r="K179" s="3" t="n">
        <f aca="false">IF(F179="Masuk",MAX(0,MIN(G179,SUMIFS($G$2:G179,$B$2:B179,B179,$F$2:F179,"Masuk")-SUMIFS($G$2:G179,$B$2:B179,B179,$F$2:F179,"Keluar"))),"")</f>
        <v>141</v>
      </c>
      <c r="L179" s="4" t="n">
        <f aca="false">IF(F179="Masuk",K179*H179,"")</f>
        <v>2889372</v>
      </c>
    </row>
    <row r="180" customFormat="false" ht="15" hidden="false" customHeight="false" outlineLevel="0" collapsed="false">
      <c r="A180" s="2" t="s">
        <v>84</v>
      </c>
      <c r="B180" s="3" t="s">
        <v>135</v>
      </c>
      <c r="C180" s="3" t="s">
        <v>136</v>
      </c>
      <c r="D180" s="3" t="s">
        <v>137</v>
      </c>
      <c r="E180" s="3" t="s">
        <v>138</v>
      </c>
      <c r="F180" s="3" t="s">
        <v>14</v>
      </c>
      <c r="G180" s="3" t="n">
        <v>121</v>
      </c>
      <c r="H180" s="3" t="n">
        <v>20292</v>
      </c>
      <c r="I180" s="3" t="s">
        <v>15</v>
      </c>
      <c r="J180" s="3" t="n">
        <f aca="false">SUMIFS($G$2:G180,$B$2:B180,B180,$F$2:F180,"Masuk")-SUMIFS($G$2:G180,$B$2:B180,B180,$F$2:F180,"Keluar")</f>
        <v>469</v>
      </c>
      <c r="K180" s="3" t="n">
        <f aca="false">IF(F180="Masuk",MAX(0,MIN(G180,SUMIFS($G$2:G180,$B$2:B180,B180,$F$2:F180,"Masuk")-SUMIFS($G$2:G180,$B$2:B180,B180,$F$2:F180,"Keluar"))),"")</f>
        <v>121</v>
      </c>
      <c r="L180" s="4" t="n">
        <f aca="false">IF(F180="Masuk",K180*H180,"")</f>
        <v>2455332</v>
      </c>
    </row>
    <row r="181" customFormat="false" ht="15" hidden="false" customHeight="false" outlineLevel="0" collapsed="false">
      <c r="A181" s="2" t="s">
        <v>125</v>
      </c>
      <c r="B181" s="3" t="s">
        <v>135</v>
      </c>
      <c r="C181" s="3" t="s">
        <v>136</v>
      </c>
      <c r="D181" s="3" t="s">
        <v>137</v>
      </c>
      <c r="E181" s="3" t="s">
        <v>138</v>
      </c>
      <c r="F181" s="3" t="s">
        <v>14</v>
      </c>
      <c r="G181" s="3" t="n">
        <v>178</v>
      </c>
      <c r="H181" s="3" t="n">
        <v>17272</v>
      </c>
      <c r="I181" s="3" t="s">
        <v>15</v>
      </c>
      <c r="J181" s="3" t="n">
        <f aca="false">SUMIFS($G$2:G181,$B$2:B181,B181,$F$2:F181,"Masuk")-SUMIFS($G$2:G181,$B$2:B181,B181,$F$2:F181,"Keluar")</f>
        <v>647</v>
      </c>
      <c r="K181" s="3" t="n">
        <f aca="false">IF(F181="Masuk",MAX(0,MIN(G181,SUMIFS($G$2:G181,$B$2:B181,B181,$F$2:F181,"Masuk")-SUMIFS($G$2:G181,$B$2:B181,B181,$F$2:F181,"Keluar"))),"")</f>
        <v>178</v>
      </c>
      <c r="L181" s="4" t="n">
        <f aca="false">IF(F181="Masuk",K181*H181,"")</f>
        <v>3074416</v>
      </c>
    </row>
    <row r="182" customFormat="false" ht="15" hidden="false" customHeight="false" outlineLevel="0" collapsed="false">
      <c r="A182" s="2" t="s">
        <v>85</v>
      </c>
      <c r="B182" s="3" t="s">
        <v>135</v>
      </c>
      <c r="C182" s="3" t="s">
        <v>136</v>
      </c>
      <c r="D182" s="3" t="s">
        <v>137</v>
      </c>
      <c r="E182" s="3" t="s">
        <v>138</v>
      </c>
      <c r="F182" s="3" t="s">
        <v>17</v>
      </c>
      <c r="G182" s="3" t="n">
        <v>59</v>
      </c>
      <c r="H182" s="3"/>
      <c r="I182" s="3" t="s">
        <v>15</v>
      </c>
      <c r="J182" s="3" t="n">
        <f aca="false">SUMIFS($G$2:G182,$B$2:B182,B182,$F$2:F182,"Masuk")-SUMIFS($G$2:G182,$B$2:B182,B182,$F$2:F182,"Keluar")</f>
        <v>588</v>
      </c>
      <c r="K182" s="3" t="str">
        <f aca="false">IF(F182="Masuk",MAX(0,MIN(G182,SUMIFS($G$2:G182,$B$2:B182,B182,$F$2:F182,"Masuk")-SUMIFS($G$2:G182,$B$2:B182,B182,$F$2:F182,"Keluar"))),"")</f>
        <v/>
      </c>
      <c r="L182" s="4" t="str">
        <f aca="false">IF(F182="Masuk",K182*H182,"")</f>
        <v/>
      </c>
    </row>
    <row r="183" customFormat="false" ht="15" hidden="false" customHeight="false" outlineLevel="0" collapsed="false">
      <c r="A183" s="2" t="s">
        <v>86</v>
      </c>
      <c r="B183" s="3" t="s">
        <v>135</v>
      </c>
      <c r="C183" s="3" t="s">
        <v>136</v>
      </c>
      <c r="D183" s="3" t="s">
        <v>137</v>
      </c>
      <c r="E183" s="3" t="s">
        <v>138</v>
      </c>
      <c r="F183" s="3" t="s">
        <v>14</v>
      </c>
      <c r="G183" s="3" t="n">
        <v>92</v>
      </c>
      <c r="H183" s="3" t="n">
        <v>19630</v>
      </c>
      <c r="I183" s="3" t="s">
        <v>15</v>
      </c>
      <c r="J183" s="3" t="n">
        <f aca="false">SUMIFS($G$2:G183,$B$2:B183,B183,$F$2:F183,"Masuk")-SUMIFS($G$2:G183,$B$2:B183,B183,$F$2:F183,"Keluar")</f>
        <v>680</v>
      </c>
      <c r="K183" s="3" t="n">
        <f aca="false">IF(F183="Masuk",MAX(0,MIN(G183,SUMIFS($G$2:G183,$B$2:B183,B183,$F$2:F183,"Masuk")-SUMIFS($G$2:G183,$B$2:B183,B183,$F$2:F183,"Keluar"))),"")</f>
        <v>92</v>
      </c>
      <c r="L183" s="4" t="n">
        <f aca="false">IF(F183="Masuk",K183*H183,"")</f>
        <v>1805960</v>
      </c>
    </row>
    <row r="184" customFormat="false" ht="15" hidden="false" customHeight="false" outlineLevel="0" collapsed="false">
      <c r="A184" s="2" t="s">
        <v>128</v>
      </c>
      <c r="B184" s="3" t="s">
        <v>135</v>
      </c>
      <c r="C184" s="3" t="s">
        <v>136</v>
      </c>
      <c r="D184" s="3" t="s">
        <v>137</v>
      </c>
      <c r="E184" s="3" t="s">
        <v>138</v>
      </c>
      <c r="F184" s="3" t="s">
        <v>14</v>
      </c>
      <c r="G184" s="3" t="n">
        <v>154</v>
      </c>
      <c r="H184" s="3" t="n">
        <v>17397</v>
      </c>
      <c r="I184" s="3" t="s">
        <v>15</v>
      </c>
      <c r="J184" s="3" t="n">
        <f aca="false">SUMIFS($G$2:G184,$B$2:B184,B184,$F$2:F184,"Masuk")-SUMIFS($G$2:G184,$B$2:B184,B184,$F$2:F184,"Keluar")</f>
        <v>834</v>
      </c>
      <c r="K184" s="3" t="n">
        <f aca="false">IF(F184="Masuk",MAX(0,MIN(G184,SUMIFS($G$2:G184,$B$2:B184,B184,$F$2:F184,"Masuk")-SUMIFS($G$2:G184,$B$2:B184,B184,$F$2:F184,"Keluar"))),"")</f>
        <v>154</v>
      </c>
      <c r="L184" s="4" t="n">
        <f aca="false">IF(F184="Masuk",K184*H184,"")</f>
        <v>2679138</v>
      </c>
    </row>
    <row r="185" customFormat="false" ht="15" hidden="false" customHeight="false" outlineLevel="0" collapsed="false">
      <c r="A185" s="2" t="s">
        <v>151</v>
      </c>
      <c r="B185" s="3" t="s">
        <v>135</v>
      </c>
      <c r="C185" s="3" t="s">
        <v>136</v>
      </c>
      <c r="D185" s="3" t="s">
        <v>137</v>
      </c>
      <c r="E185" s="3" t="s">
        <v>138</v>
      </c>
      <c r="F185" s="3" t="s">
        <v>14</v>
      </c>
      <c r="G185" s="3" t="n">
        <v>111</v>
      </c>
      <c r="H185" s="3" t="n">
        <v>18664</v>
      </c>
      <c r="I185" s="3" t="s">
        <v>15</v>
      </c>
      <c r="J185" s="3" t="n">
        <f aca="false">SUMIFS($G$2:G185,$B$2:B185,B185,$F$2:F185,"Masuk")-SUMIFS($G$2:G185,$B$2:B185,B185,$F$2:F185,"Keluar")</f>
        <v>945</v>
      </c>
      <c r="K185" s="3" t="n">
        <f aca="false">IF(F185="Masuk",MAX(0,MIN(G185,SUMIFS($G$2:G185,$B$2:B185,B185,$F$2:F185,"Masuk")-SUMIFS($G$2:G185,$B$2:B185,B185,$F$2:F185,"Keluar"))),"")</f>
        <v>111</v>
      </c>
      <c r="L185" s="4" t="n">
        <f aca="false">IF(F185="Masuk",K185*H185,"")</f>
        <v>2071704</v>
      </c>
    </row>
    <row r="186" customFormat="false" ht="15" hidden="false" customHeight="false" outlineLevel="0" collapsed="false">
      <c r="A186" s="2" t="s">
        <v>129</v>
      </c>
      <c r="B186" s="3" t="s">
        <v>135</v>
      </c>
      <c r="C186" s="3" t="s">
        <v>136</v>
      </c>
      <c r="D186" s="3" t="s">
        <v>137</v>
      </c>
      <c r="E186" s="3" t="s">
        <v>138</v>
      </c>
      <c r="F186" s="3" t="s">
        <v>17</v>
      </c>
      <c r="G186" s="3" t="n">
        <v>79</v>
      </c>
      <c r="H186" s="3"/>
      <c r="I186" s="3" t="s">
        <v>15</v>
      </c>
      <c r="J186" s="3" t="n">
        <f aca="false">SUMIFS($G$2:G186,$B$2:B186,B186,$F$2:F186,"Masuk")-SUMIFS($G$2:G186,$B$2:B186,B186,$F$2:F186,"Keluar")</f>
        <v>866</v>
      </c>
      <c r="K186" s="3" t="str">
        <f aca="false">IF(F186="Masuk",MAX(0,MIN(G186,SUMIFS($G$2:G186,$B$2:B186,B186,$F$2:F186,"Masuk")-SUMIFS($G$2:G186,$B$2:B186,B186,$F$2:F186,"Keluar"))),"")</f>
        <v/>
      </c>
      <c r="L186" s="4" t="str">
        <f aca="false">IF(F186="Masuk",K186*H186,"")</f>
        <v/>
      </c>
    </row>
    <row r="187" customFormat="false" ht="15" hidden="false" customHeight="false" outlineLevel="0" collapsed="false">
      <c r="A187" s="2" t="s">
        <v>52</v>
      </c>
      <c r="B187" s="3" t="s">
        <v>135</v>
      </c>
      <c r="C187" s="3" t="s">
        <v>136</v>
      </c>
      <c r="D187" s="3" t="s">
        <v>137</v>
      </c>
      <c r="E187" s="3" t="s">
        <v>138</v>
      </c>
      <c r="F187" s="3" t="s">
        <v>17</v>
      </c>
      <c r="G187" s="3" t="n">
        <v>27</v>
      </c>
      <c r="H187" s="3"/>
      <c r="I187" s="3" t="s">
        <v>15</v>
      </c>
      <c r="J187" s="3" t="n">
        <f aca="false">SUMIFS($G$2:G187,$B$2:B187,B187,$F$2:F187,"Masuk")-SUMIFS($G$2:G187,$B$2:B187,B187,$F$2:F187,"Keluar")</f>
        <v>839</v>
      </c>
      <c r="K187" s="3" t="str">
        <f aca="false">IF(F187="Masuk",MAX(0,MIN(G187,SUMIFS($G$2:G187,$B$2:B187,B187,$F$2:F187,"Masuk")-SUMIFS($G$2:G187,$B$2:B187,B187,$F$2:F187,"Keluar"))),"")</f>
        <v/>
      </c>
      <c r="L187" s="4" t="str">
        <f aca="false">IF(F187="Masuk",K187*H187,"")</f>
        <v/>
      </c>
    </row>
    <row r="188" customFormat="false" ht="15" hidden="false" customHeight="false" outlineLevel="0" collapsed="false">
      <c r="A188" s="2" t="s">
        <v>54</v>
      </c>
      <c r="B188" s="3" t="s">
        <v>135</v>
      </c>
      <c r="C188" s="3" t="s">
        <v>136</v>
      </c>
      <c r="D188" s="3" t="s">
        <v>137</v>
      </c>
      <c r="E188" s="3" t="s">
        <v>138</v>
      </c>
      <c r="F188" s="3" t="s">
        <v>17</v>
      </c>
      <c r="G188" s="3" t="n">
        <v>85</v>
      </c>
      <c r="H188" s="3"/>
      <c r="I188" s="3" t="s">
        <v>15</v>
      </c>
      <c r="J188" s="3" t="n">
        <f aca="false">SUMIFS($G$2:G188,$B$2:B188,B188,$F$2:F188,"Masuk")-SUMIFS($G$2:G188,$B$2:B188,B188,$F$2:F188,"Keluar")</f>
        <v>754</v>
      </c>
      <c r="K188" s="3" t="str">
        <f aca="false">IF(F188="Masuk",MAX(0,MIN(G188,SUMIFS($G$2:G188,$B$2:B188,B188,$F$2:F188,"Masuk")-SUMIFS($G$2:G188,$B$2:B188,B188,$F$2:F188,"Keluar"))),"")</f>
        <v/>
      </c>
      <c r="L188" s="4" t="str">
        <f aca="false">IF(F188="Masuk",K188*H188,"")</f>
        <v/>
      </c>
    </row>
    <row r="189" customFormat="false" ht="15" hidden="false" customHeight="false" outlineLevel="0" collapsed="false">
      <c r="A189" s="2" t="s">
        <v>152</v>
      </c>
      <c r="B189" s="3" t="s">
        <v>135</v>
      </c>
      <c r="C189" s="3" t="s">
        <v>136</v>
      </c>
      <c r="D189" s="3" t="s">
        <v>137</v>
      </c>
      <c r="E189" s="3" t="s">
        <v>138</v>
      </c>
      <c r="F189" s="3" t="s">
        <v>17</v>
      </c>
      <c r="G189" s="3" t="n">
        <v>105</v>
      </c>
      <c r="H189" s="3"/>
      <c r="I189" s="3" t="s">
        <v>15</v>
      </c>
      <c r="J189" s="3" t="n">
        <f aca="false">SUMIFS($G$2:G189,$B$2:B189,B189,$F$2:F189,"Masuk")-SUMIFS($G$2:G189,$B$2:B189,B189,$F$2:F189,"Keluar")</f>
        <v>649</v>
      </c>
      <c r="K189" s="3" t="str">
        <f aca="false">IF(F189="Masuk",MAX(0,MIN(G189,SUMIFS($G$2:G189,$B$2:B189,B189,$F$2:F189,"Masuk")-SUMIFS($G$2:G189,$B$2:B189,B189,$F$2:F189,"Keluar"))),"")</f>
        <v/>
      </c>
      <c r="L189" s="4" t="str">
        <f aca="false">IF(F189="Masuk",K189*H189,"")</f>
        <v/>
      </c>
    </row>
    <row r="190" customFormat="false" ht="15" hidden="false" customHeight="false" outlineLevel="0" collapsed="false">
      <c r="A190" s="2" t="s">
        <v>153</v>
      </c>
      <c r="B190" s="3" t="s">
        <v>135</v>
      </c>
      <c r="C190" s="3" t="s">
        <v>136</v>
      </c>
      <c r="D190" s="3" t="s">
        <v>137</v>
      </c>
      <c r="E190" s="3" t="s">
        <v>138</v>
      </c>
      <c r="F190" s="3" t="s">
        <v>17</v>
      </c>
      <c r="G190" s="3" t="n">
        <v>65</v>
      </c>
      <c r="H190" s="3"/>
      <c r="I190" s="3" t="s">
        <v>15</v>
      </c>
      <c r="J190" s="3" t="n">
        <f aca="false">SUMIFS($G$2:G190,$B$2:B190,B190,$F$2:F190,"Masuk")-SUMIFS($G$2:G190,$B$2:B190,B190,$F$2:F190,"Keluar")</f>
        <v>584</v>
      </c>
      <c r="K190" s="3" t="str">
        <f aca="false">IF(F190="Masuk",MAX(0,MIN(G190,SUMIFS($G$2:G190,$B$2:B190,B190,$F$2:F190,"Masuk")-SUMIFS($G$2:G190,$B$2:B190,B190,$F$2:F190,"Keluar"))),"")</f>
        <v/>
      </c>
      <c r="L190" s="4" t="str">
        <f aca="false">IF(F190="Masuk",K190*H190,"")</f>
        <v/>
      </c>
    </row>
    <row r="191" customFormat="false" ht="15" hidden="false" customHeight="false" outlineLevel="0" collapsed="false">
      <c r="A191" s="2" t="s">
        <v>154</v>
      </c>
      <c r="B191" s="3" t="s">
        <v>155</v>
      </c>
      <c r="C191" s="3" t="s">
        <v>156</v>
      </c>
      <c r="D191" s="3" t="s">
        <v>157</v>
      </c>
      <c r="E191" s="3" t="s">
        <v>138</v>
      </c>
      <c r="F191" s="3" t="s">
        <v>14</v>
      </c>
      <c r="G191" s="3" t="n">
        <v>60</v>
      </c>
      <c r="H191" s="3" t="n">
        <v>10711</v>
      </c>
      <c r="I191" s="3" t="s">
        <v>15</v>
      </c>
      <c r="J191" s="3" t="n">
        <f aca="false">SUMIFS($G$2:G191,$B$2:B191,B191,$F$2:F191,"Masuk")-SUMIFS($G$2:G191,$B$2:B191,B191,$F$2:F191,"Keluar")</f>
        <v>60</v>
      </c>
      <c r="K191" s="3" t="n">
        <f aca="false">IF(F191="Masuk",MAX(0,MIN(G191,SUMIFS($G$2:G191,$B$2:B191,B191,$F$2:F191,"Masuk")-SUMIFS($G$2:G191,$B$2:B191,B191,$F$2:F191,"Keluar"))),"")</f>
        <v>60</v>
      </c>
      <c r="L191" s="4" t="n">
        <f aca="false">IF(F191="Masuk",K191*H191,"")</f>
        <v>642660</v>
      </c>
    </row>
    <row r="192" customFormat="false" ht="15" hidden="false" customHeight="false" outlineLevel="0" collapsed="false">
      <c r="A192" s="2" t="s">
        <v>134</v>
      </c>
      <c r="B192" s="3" t="s">
        <v>155</v>
      </c>
      <c r="C192" s="3" t="s">
        <v>156</v>
      </c>
      <c r="D192" s="3" t="s">
        <v>157</v>
      </c>
      <c r="E192" s="3" t="s">
        <v>138</v>
      </c>
      <c r="F192" s="3" t="s">
        <v>17</v>
      </c>
      <c r="G192" s="3" t="n">
        <v>32</v>
      </c>
      <c r="H192" s="3"/>
      <c r="I192" s="3" t="s">
        <v>15</v>
      </c>
      <c r="J192" s="3" t="n">
        <f aca="false">SUMIFS($G$2:G192,$B$2:B192,B192,$F$2:F192,"Masuk")-SUMIFS($G$2:G192,$B$2:B192,B192,$F$2:F192,"Keluar")</f>
        <v>28</v>
      </c>
      <c r="K192" s="3" t="str">
        <f aca="false">IF(F192="Masuk",MAX(0,MIN(G192,SUMIFS($G$2:G192,$B$2:B192,B192,$F$2:F192,"Masuk")-SUMIFS($G$2:G192,$B$2:B192,B192,$F$2:F192,"Keluar"))),"")</f>
        <v/>
      </c>
      <c r="L192" s="4" t="str">
        <f aca="false">IF(F192="Masuk",K192*H192,"")</f>
        <v/>
      </c>
    </row>
    <row r="193" customFormat="false" ht="15" hidden="false" customHeight="false" outlineLevel="0" collapsed="false">
      <c r="A193" s="2" t="s">
        <v>105</v>
      </c>
      <c r="B193" s="3" t="s">
        <v>155</v>
      </c>
      <c r="C193" s="3" t="s">
        <v>156</v>
      </c>
      <c r="D193" s="3" t="s">
        <v>157</v>
      </c>
      <c r="E193" s="3" t="s">
        <v>138</v>
      </c>
      <c r="F193" s="3" t="s">
        <v>14</v>
      </c>
      <c r="G193" s="3" t="n">
        <v>121</v>
      </c>
      <c r="H193" s="3" t="n">
        <v>13321</v>
      </c>
      <c r="I193" s="3" t="s">
        <v>15</v>
      </c>
      <c r="J193" s="3" t="n">
        <f aca="false">SUMIFS($G$2:G193,$B$2:B193,B193,$F$2:F193,"Masuk")-SUMIFS($G$2:G193,$B$2:B193,B193,$F$2:F193,"Keluar")</f>
        <v>149</v>
      </c>
      <c r="K193" s="3" t="n">
        <f aca="false">IF(F193="Masuk",MAX(0,MIN(G193,SUMIFS($G$2:G193,$B$2:B193,B193,$F$2:F193,"Masuk")-SUMIFS($G$2:G193,$B$2:B193,B193,$F$2:F193,"Keluar"))),"")</f>
        <v>121</v>
      </c>
      <c r="L193" s="4" t="n">
        <f aca="false">IF(F193="Masuk",K193*H193,"")</f>
        <v>1611841</v>
      </c>
    </row>
    <row r="194" customFormat="false" ht="15" hidden="false" customHeight="false" outlineLevel="0" collapsed="false">
      <c r="A194" s="2" t="s">
        <v>65</v>
      </c>
      <c r="B194" s="3" t="s">
        <v>155</v>
      </c>
      <c r="C194" s="3" t="s">
        <v>156</v>
      </c>
      <c r="D194" s="3" t="s">
        <v>157</v>
      </c>
      <c r="E194" s="3" t="s">
        <v>138</v>
      </c>
      <c r="F194" s="3" t="s">
        <v>14</v>
      </c>
      <c r="G194" s="3" t="n">
        <v>23</v>
      </c>
      <c r="H194" s="3" t="n">
        <v>10562</v>
      </c>
      <c r="I194" s="3" t="s">
        <v>15</v>
      </c>
      <c r="J194" s="3" t="n">
        <f aca="false">SUMIFS($G$2:G194,$B$2:B194,B194,$F$2:F194,"Masuk")-SUMIFS($G$2:G194,$B$2:B194,B194,$F$2:F194,"Keluar")</f>
        <v>172</v>
      </c>
      <c r="K194" s="3" t="n">
        <f aca="false">IF(F194="Masuk",MAX(0,MIN(G194,SUMIFS($G$2:G194,$B$2:B194,B194,$F$2:F194,"Masuk")-SUMIFS($G$2:G194,$B$2:B194,B194,$F$2:F194,"Keluar"))),"")</f>
        <v>23</v>
      </c>
      <c r="L194" s="4" t="n">
        <f aca="false">IF(F194="Masuk",K194*H194,"")</f>
        <v>242926</v>
      </c>
    </row>
    <row r="195" customFormat="false" ht="15" hidden="false" customHeight="false" outlineLevel="0" collapsed="false">
      <c r="A195" s="2" t="s">
        <v>141</v>
      </c>
      <c r="B195" s="3" t="s">
        <v>155</v>
      </c>
      <c r="C195" s="3" t="s">
        <v>156</v>
      </c>
      <c r="D195" s="3" t="s">
        <v>157</v>
      </c>
      <c r="E195" s="3" t="s">
        <v>138</v>
      </c>
      <c r="F195" s="3" t="s">
        <v>17</v>
      </c>
      <c r="G195" s="3" t="n">
        <v>102</v>
      </c>
      <c r="H195" s="3"/>
      <c r="I195" s="3" t="s">
        <v>15</v>
      </c>
      <c r="J195" s="3" t="n">
        <f aca="false">SUMIFS($G$2:G195,$B$2:B195,B195,$F$2:F195,"Masuk")-SUMIFS($G$2:G195,$B$2:B195,B195,$F$2:F195,"Keluar")</f>
        <v>70</v>
      </c>
      <c r="K195" s="3" t="str">
        <f aca="false">IF(F195="Masuk",MAX(0,MIN(G195,SUMIFS($G$2:G195,$B$2:B195,B195,$F$2:F195,"Masuk")-SUMIFS($G$2:G195,$B$2:B195,B195,$F$2:F195,"Keluar"))),"")</f>
        <v/>
      </c>
      <c r="L195" s="4" t="str">
        <f aca="false">IF(F195="Masuk",K195*H195,"")</f>
        <v/>
      </c>
    </row>
    <row r="196" customFormat="false" ht="15" hidden="false" customHeight="false" outlineLevel="0" collapsed="false">
      <c r="A196" s="2" t="s">
        <v>108</v>
      </c>
      <c r="B196" s="3" t="s">
        <v>155</v>
      </c>
      <c r="C196" s="3" t="s">
        <v>156</v>
      </c>
      <c r="D196" s="3" t="s">
        <v>157</v>
      </c>
      <c r="E196" s="3" t="s">
        <v>138</v>
      </c>
      <c r="F196" s="3" t="s">
        <v>17</v>
      </c>
      <c r="G196" s="3" t="n">
        <v>32</v>
      </c>
      <c r="H196" s="3"/>
      <c r="I196" s="3" t="s">
        <v>15</v>
      </c>
      <c r="J196" s="3" t="n">
        <f aca="false">SUMIFS($G$2:G196,$B$2:B196,B196,$F$2:F196,"Masuk")-SUMIFS($G$2:G196,$B$2:B196,B196,$F$2:F196,"Keluar")</f>
        <v>38</v>
      </c>
      <c r="K196" s="3" t="str">
        <f aca="false">IF(F196="Masuk",MAX(0,MIN(G196,SUMIFS($G$2:G196,$B$2:B196,B196,$F$2:F196,"Masuk")-SUMIFS($G$2:G196,$B$2:B196,B196,$F$2:F196,"Keluar"))),"")</f>
        <v/>
      </c>
      <c r="L196" s="4" t="str">
        <f aca="false">IF(F196="Masuk",K196*H196,"")</f>
        <v/>
      </c>
    </row>
    <row r="197" customFormat="false" ht="15" hidden="false" customHeight="false" outlineLevel="0" collapsed="false">
      <c r="A197" s="2" t="s">
        <v>158</v>
      </c>
      <c r="B197" s="3" t="s">
        <v>155</v>
      </c>
      <c r="C197" s="3" t="s">
        <v>156</v>
      </c>
      <c r="D197" s="3" t="s">
        <v>157</v>
      </c>
      <c r="E197" s="3" t="s">
        <v>138</v>
      </c>
      <c r="F197" s="3" t="s">
        <v>17</v>
      </c>
      <c r="G197" s="3" t="n">
        <v>18</v>
      </c>
      <c r="H197" s="3"/>
      <c r="I197" s="3" t="s">
        <v>15</v>
      </c>
      <c r="J197" s="3" t="n">
        <f aca="false">SUMIFS($G$2:G197,$B$2:B197,B197,$F$2:F197,"Masuk")-SUMIFS($G$2:G197,$B$2:B197,B197,$F$2:F197,"Keluar")</f>
        <v>20</v>
      </c>
      <c r="K197" s="3" t="str">
        <f aca="false">IF(F197="Masuk",MAX(0,MIN(G197,SUMIFS($G$2:G197,$B$2:B197,B197,$F$2:F197,"Masuk")-SUMIFS($G$2:G197,$B$2:B197,B197,$F$2:F197,"Keluar"))),"")</f>
        <v/>
      </c>
      <c r="L197" s="4" t="str">
        <f aca="false">IF(F197="Masuk",K197*H197,"")</f>
        <v/>
      </c>
    </row>
    <row r="198" customFormat="false" ht="15" hidden="false" customHeight="false" outlineLevel="0" collapsed="false">
      <c r="A198" s="2" t="s">
        <v>159</v>
      </c>
      <c r="B198" s="3" t="s">
        <v>155</v>
      </c>
      <c r="C198" s="3" t="s">
        <v>156</v>
      </c>
      <c r="D198" s="3" t="s">
        <v>157</v>
      </c>
      <c r="E198" s="3" t="s">
        <v>138</v>
      </c>
      <c r="F198" s="3" t="s">
        <v>14</v>
      </c>
      <c r="G198" s="3" t="n">
        <v>175</v>
      </c>
      <c r="H198" s="3" t="n">
        <v>11593</v>
      </c>
      <c r="I198" s="3" t="s">
        <v>15</v>
      </c>
      <c r="J198" s="3" t="n">
        <f aca="false">SUMIFS($G$2:G198,$B$2:B198,B198,$F$2:F198,"Masuk")-SUMIFS($G$2:G198,$B$2:B198,B198,$F$2:F198,"Keluar")</f>
        <v>195</v>
      </c>
      <c r="K198" s="3" t="n">
        <f aca="false">IF(F198="Masuk",MAX(0,MIN(G198,SUMIFS($G$2:G198,$B$2:B198,B198,$F$2:F198,"Masuk")-SUMIFS($G$2:G198,$B$2:B198,B198,$F$2:F198,"Keluar"))),"")</f>
        <v>175</v>
      </c>
      <c r="L198" s="4" t="n">
        <f aca="false">IF(F198="Masuk",K198*H198,"")</f>
        <v>2028775</v>
      </c>
    </row>
    <row r="199" customFormat="false" ht="15" hidden="false" customHeight="false" outlineLevel="0" collapsed="false">
      <c r="A199" s="2" t="s">
        <v>70</v>
      </c>
      <c r="B199" s="3" t="s">
        <v>155</v>
      </c>
      <c r="C199" s="3" t="s">
        <v>156</v>
      </c>
      <c r="D199" s="3" t="s">
        <v>157</v>
      </c>
      <c r="E199" s="3" t="s">
        <v>138</v>
      </c>
      <c r="F199" s="3" t="s">
        <v>17</v>
      </c>
      <c r="G199" s="3" t="n">
        <v>83</v>
      </c>
      <c r="H199" s="3"/>
      <c r="I199" s="3" t="s">
        <v>15</v>
      </c>
      <c r="J199" s="3" t="n">
        <f aca="false">SUMIFS($G$2:G199,$B$2:B199,B199,$F$2:F199,"Masuk")-SUMIFS($G$2:G199,$B$2:B199,B199,$F$2:F199,"Keluar")</f>
        <v>112</v>
      </c>
      <c r="K199" s="3" t="str">
        <f aca="false">IF(F199="Masuk",MAX(0,MIN(G199,SUMIFS($G$2:G199,$B$2:B199,B199,$F$2:F199,"Masuk")-SUMIFS($G$2:G199,$B$2:B199,B199,$F$2:F199,"Keluar"))),"")</f>
        <v/>
      </c>
      <c r="L199" s="4" t="str">
        <f aca="false">IF(F199="Masuk",K199*H199,"")</f>
        <v/>
      </c>
    </row>
    <row r="200" customFormat="false" ht="15" hidden="false" customHeight="false" outlineLevel="0" collapsed="false">
      <c r="A200" s="2" t="s">
        <v>23</v>
      </c>
      <c r="B200" s="3" t="s">
        <v>155</v>
      </c>
      <c r="C200" s="3" t="s">
        <v>156</v>
      </c>
      <c r="D200" s="3" t="s">
        <v>157</v>
      </c>
      <c r="E200" s="3" t="s">
        <v>138</v>
      </c>
      <c r="F200" s="3" t="s">
        <v>14</v>
      </c>
      <c r="G200" s="3" t="n">
        <v>124</v>
      </c>
      <c r="H200" s="3" t="n">
        <v>14147</v>
      </c>
      <c r="I200" s="3" t="s">
        <v>15</v>
      </c>
      <c r="J200" s="3" t="n">
        <f aca="false">SUMIFS($G$2:G200,$B$2:B200,B200,$F$2:F200,"Masuk")-SUMIFS($G$2:G200,$B$2:B200,B200,$F$2:F200,"Keluar")</f>
        <v>236</v>
      </c>
      <c r="K200" s="3" t="n">
        <f aca="false">IF(F200="Masuk",MAX(0,MIN(G200,SUMIFS($G$2:G200,$B$2:B200,B200,$F$2:F200,"Masuk")-SUMIFS($G$2:G200,$B$2:B200,B200,$F$2:F200,"Keluar"))),"")</f>
        <v>124</v>
      </c>
      <c r="L200" s="4" t="n">
        <f aca="false">IF(F200="Masuk",K200*H200,"")</f>
        <v>1754228</v>
      </c>
    </row>
    <row r="201" customFormat="false" ht="15" hidden="false" customHeight="false" outlineLevel="0" collapsed="false">
      <c r="A201" s="2" t="s">
        <v>71</v>
      </c>
      <c r="B201" s="3" t="s">
        <v>155</v>
      </c>
      <c r="C201" s="3" t="s">
        <v>156</v>
      </c>
      <c r="D201" s="3" t="s">
        <v>157</v>
      </c>
      <c r="E201" s="3" t="s">
        <v>138</v>
      </c>
      <c r="F201" s="3" t="s">
        <v>17</v>
      </c>
      <c r="G201" s="3" t="n">
        <v>74</v>
      </c>
      <c r="H201" s="3"/>
      <c r="I201" s="3" t="s">
        <v>15</v>
      </c>
      <c r="J201" s="3" t="n">
        <f aca="false">SUMIFS($G$2:G201,$B$2:B201,B201,$F$2:F201,"Masuk")-SUMIFS($G$2:G201,$B$2:B201,B201,$F$2:F201,"Keluar")</f>
        <v>162</v>
      </c>
      <c r="K201" s="3" t="str">
        <f aca="false">IF(F201="Masuk",MAX(0,MIN(G201,SUMIFS($G$2:G201,$B$2:B201,B201,$F$2:F201,"Masuk")-SUMIFS($G$2:G201,$B$2:B201,B201,$F$2:F201,"Keluar"))),"")</f>
        <v/>
      </c>
      <c r="L201" s="4" t="str">
        <f aca="false">IF(F201="Masuk",K201*H201,"")</f>
        <v/>
      </c>
    </row>
    <row r="202" customFormat="false" ht="15" hidden="false" customHeight="false" outlineLevel="0" collapsed="false">
      <c r="A202" s="2" t="s">
        <v>24</v>
      </c>
      <c r="B202" s="3" t="s">
        <v>155</v>
      </c>
      <c r="C202" s="3" t="s">
        <v>156</v>
      </c>
      <c r="D202" s="3" t="s">
        <v>157</v>
      </c>
      <c r="E202" s="3" t="s">
        <v>138</v>
      </c>
      <c r="F202" s="3" t="s">
        <v>14</v>
      </c>
      <c r="G202" s="3" t="n">
        <v>49</v>
      </c>
      <c r="H202" s="3" t="n">
        <v>14204</v>
      </c>
      <c r="I202" s="3" t="s">
        <v>15</v>
      </c>
      <c r="J202" s="3" t="n">
        <f aca="false">SUMIFS($G$2:G202,$B$2:B202,B202,$F$2:F202,"Masuk")-SUMIFS($G$2:G202,$B$2:B202,B202,$F$2:F202,"Keluar")</f>
        <v>211</v>
      </c>
      <c r="K202" s="3" t="n">
        <f aca="false">IF(F202="Masuk",MAX(0,MIN(G202,SUMIFS($G$2:G202,$B$2:B202,B202,$F$2:F202,"Masuk")-SUMIFS($G$2:G202,$B$2:B202,B202,$F$2:F202,"Keluar"))),"")</f>
        <v>49</v>
      </c>
      <c r="L202" s="4" t="n">
        <f aca="false">IF(F202="Masuk",K202*H202,"")</f>
        <v>695996</v>
      </c>
    </row>
    <row r="203" customFormat="false" ht="15" hidden="false" customHeight="false" outlineLevel="0" collapsed="false">
      <c r="A203" s="2" t="s">
        <v>160</v>
      </c>
      <c r="B203" s="3" t="s">
        <v>155</v>
      </c>
      <c r="C203" s="3" t="s">
        <v>156</v>
      </c>
      <c r="D203" s="3" t="s">
        <v>157</v>
      </c>
      <c r="E203" s="3" t="s">
        <v>138</v>
      </c>
      <c r="F203" s="3" t="s">
        <v>17</v>
      </c>
      <c r="G203" s="3" t="n">
        <v>114</v>
      </c>
      <c r="H203" s="3"/>
      <c r="I203" s="3" t="s">
        <v>15</v>
      </c>
      <c r="J203" s="3" t="n">
        <f aca="false">SUMIFS($G$2:G203,$B$2:B203,B203,$F$2:F203,"Masuk")-SUMIFS($G$2:G203,$B$2:B203,B203,$F$2:F203,"Keluar")</f>
        <v>97</v>
      </c>
      <c r="K203" s="3" t="str">
        <f aca="false">IF(F203="Masuk",MAX(0,MIN(G203,SUMIFS($G$2:G203,$B$2:B203,B203,$F$2:F203,"Masuk")-SUMIFS($G$2:G203,$B$2:B203,B203,$F$2:F203,"Keluar"))),"")</f>
        <v/>
      </c>
      <c r="L203" s="4" t="str">
        <f aca="false">IF(F203="Masuk",K203*H203,"")</f>
        <v/>
      </c>
    </row>
    <row r="204" customFormat="false" ht="15" hidden="false" customHeight="false" outlineLevel="0" collapsed="false">
      <c r="A204" s="2" t="s">
        <v>27</v>
      </c>
      <c r="B204" s="3" t="s">
        <v>155</v>
      </c>
      <c r="C204" s="3" t="s">
        <v>156</v>
      </c>
      <c r="D204" s="3" t="s">
        <v>157</v>
      </c>
      <c r="E204" s="3" t="s">
        <v>138</v>
      </c>
      <c r="F204" s="3" t="s">
        <v>14</v>
      </c>
      <c r="G204" s="3" t="n">
        <v>133</v>
      </c>
      <c r="H204" s="3" t="n">
        <v>13089</v>
      </c>
      <c r="I204" s="3" t="s">
        <v>15</v>
      </c>
      <c r="J204" s="3" t="n">
        <f aca="false">SUMIFS($G$2:G204,$B$2:B204,B204,$F$2:F204,"Masuk")-SUMIFS($G$2:G204,$B$2:B204,B204,$F$2:F204,"Keluar")</f>
        <v>230</v>
      </c>
      <c r="K204" s="3" t="n">
        <f aca="false">IF(F204="Masuk",MAX(0,MIN(G204,SUMIFS($G$2:G204,$B$2:B204,B204,$F$2:F204,"Masuk")-SUMIFS($G$2:G204,$B$2:B204,B204,$F$2:F204,"Keluar"))),"")</f>
        <v>133</v>
      </c>
      <c r="L204" s="4" t="n">
        <f aca="false">IF(F204="Masuk",K204*H204,"")</f>
        <v>1740837</v>
      </c>
    </row>
    <row r="205" customFormat="false" ht="15" hidden="false" customHeight="false" outlineLevel="0" collapsed="false">
      <c r="A205" s="2" t="s">
        <v>161</v>
      </c>
      <c r="B205" s="3" t="s">
        <v>155</v>
      </c>
      <c r="C205" s="3" t="s">
        <v>156</v>
      </c>
      <c r="D205" s="3" t="s">
        <v>157</v>
      </c>
      <c r="E205" s="3" t="s">
        <v>138</v>
      </c>
      <c r="F205" s="3" t="s">
        <v>17</v>
      </c>
      <c r="G205" s="3" t="n">
        <v>41</v>
      </c>
      <c r="H205" s="3"/>
      <c r="I205" s="3" t="s">
        <v>15</v>
      </c>
      <c r="J205" s="3" t="n">
        <f aca="false">SUMIFS($G$2:G205,$B$2:B205,B205,$F$2:F205,"Masuk")-SUMIFS($G$2:G205,$B$2:B205,B205,$F$2:F205,"Keluar")</f>
        <v>189</v>
      </c>
      <c r="K205" s="3" t="str">
        <f aca="false">IF(F205="Masuk",MAX(0,MIN(G205,SUMIFS($G$2:G205,$B$2:B205,B205,$F$2:F205,"Masuk")-SUMIFS($G$2:G205,$B$2:B205,B205,$F$2:F205,"Keluar"))),"")</f>
        <v/>
      </c>
      <c r="L205" s="4" t="str">
        <f aca="false">IF(F205="Masuk",K205*H205,"")</f>
        <v/>
      </c>
    </row>
    <row r="206" customFormat="false" ht="15" hidden="false" customHeight="false" outlineLevel="0" collapsed="false">
      <c r="A206" s="2" t="s">
        <v>75</v>
      </c>
      <c r="B206" s="3" t="s">
        <v>155</v>
      </c>
      <c r="C206" s="3" t="s">
        <v>156</v>
      </c>
      <c r="D206" s="3" t="s">
        <v>157</v>
      </c>
      <c r="E206" s="3" t="s">
        <v>138</v>
      </c>
      <c r="F206" s="3" t="s">
        <v>17</v>
      </c>
      <c r="G206" s="3" t="n">
        <v>68</v>
      </c>
      <c r="H206" s="3"/>
      <c r="I206" s="3" t="s">
        <v>15</v>
      </c>
      <c r="J206" s="3" t="n">
        <f aca="false">SUMIFS($G$2:G206,$B$2:B206,B206,$F$2:F206,"Masuk")-SUMIFS($G$2:G206,$B$2:B206,B206,$F$2:F206,"Keluar")</f>
        <v>121</v>
      </c>
      <c r="K206" s="3" t="str">
        <f aca="false">IF(F206="Masuk",MAX(0,MIN(G206,SUMIFS($G$2:G206,$B$2:B206,B206,$F$2:F206,"Masuk")-SUMIFS($G$2:G206,$B$2:B206,B206,$F$2:F206,"Keluar"))),"")</f>
        <v/>
      </c>
      <c r="L206" s="4" t="str">
        <f aca="false">IF(F206="Masuk",K206*H206,"")</f>
        <v/>
      </c>
    </row>
    <row r="207" customFormat="false" ht="15" hidden="false" customHeight="false" outlineLevel="0" collapsed="false">
      <c r="A207" s="2" t="s">
        <v>30</v>
      </c>
      <c r="B207" s="3" t="s">
        <v>155</v>
      </c>
      <c r="C207" s="3" t="s">
        <v>156</v>
      </c>
      <c r="D207" s="3" t="s">
        <v>157</v>
      </c>
      <c r="E207" s="3" t="s">
        <v>138</v>
      </c>
      <c r="F207" s="3" t="s">
        <v>17</v>
      </c>
      <c r="G207" s="3" t="n">
        <v>85</v>
      </c>
      <c r="H207" s="3"/>
      <c r="I207" s="3" t="s">
        <v>15</v>
      </c>
      <c r="J207" s="3" t="n">
        <f aca="false">SUMIFS($G$2:G207,$B$2:B207,B207,$F$2:F207,"Masuk")-SUMIFS($G$2:G207,$B$2:B207,B207,$F$2:F207,"Keluar")</f>
        <v>36</v>
      </c>
      <c r="K207" s="3" t="str">
        <f aca="false">IF(F207="Masuk",MAX(0,MIN(G207,SUMIFS($G$2:G207,$B$2:B207,B207,$F$2:F207,"Masuk")-SUMIFS($G$2:G207,$B$2:B207,B207,$F$2:F207,"Keluar"))),"")</f>
        <v/>
      </c>
      <c r="L207" s="4" t="str">
        <f aca="false">IF(F207="Masuk",K207*H207,"")</f>
        <v/>
      </c>
    </row>
    <row r="208" customFormat="false" ht="15" hidden="false" customHeight="false" outlineLevel="0" collapsed="false">
      <c r="A208" s="2" t="s">
        <v>162</v>
      </c>
      <c r="B208" s="3" t="s">
        <v>155</v>
      </c>
      <c r="C208" s="3" t="s">
        <v>156</v>
      </c>
      <c r="D208" s="3" t="s">
        <v>157</v>
      </c>
      <c r="E208" s="3" t="s">
        <v>138</v>
      </c>
      <c r="F208" s="3" t="s">
        <v>17</v>
      </c>
      <c r="G208" s="3" t="n">
        <v>18</v>
      </c>
      <c r="H208" s="3"/>
      <c r="I208" s="3" t="s">
        <v>15</v>
      </c>
      <c r="J208" s="3" t="n">
        <f aca="false">SUMIFS($G$2:G208,$B$2:B208,B208,$F$2:F208,"Masuk")-SUMIFS($G$2:G208,$B$2:B208,B208,$F$2:F208,"Keluar")</f>
        <v>18</v>
      </c>
      <c r="K208" s="3" t="str">
        <f aca="false">IF(F208="Masuk",MAX(0,MIN(G208,SUMIFS($G$2:G208,$B$2:B208,B208,$F$2:F208,"Masuk")-SUMIFS($G$2:G208,$B$2:B208,B208,$F$2:F208,"Keluar"))),"")</f>
        <v/>
      </c>
      <c r="L208" s="4" t="str">
        <f aca="false">IF(F208="Masuk",K208*H208,"")</f>
        <v/>
      </c>
    </row>
    <row r="209" customFormat="false" ht="15" hidden="false" customHeight="false" outlineLevel="0" collapsed="false">
      <c r="A209" s="2" t="s">
        <v>163</v>
      </c>
      <c r="B209" s="3" t="s">
        <v>155</v>
      </c>
      <c r="C209" s="3" t="s">
        <v>156</v>
      </c>
      <c r="D209" s="3" t="s">
        <v>157</v>
      </c>
      <c r="E209" s="3" t="s">
        <v>138</v>
      </c>
      <c r="F209" s="3" t="s">
        <v>14</v>
      </c>
      <c r="G209" s="3" t="n">
        <v>117</v>
      </c>
      <c r="H209" s="3" t="n">
        <v>11805</v>
      </c>
      <c r="I209" s="3" t="s">
        <v>15</v>
      </c>
      <c r="J209" s="3" t="n">
        <f aca="false">SUMIFS($G$2:G209,$B$2:B209,B209,$F$2:F209,"Masuk")-SUMIFS($G$2:G209,$B$2:B209,B209,$F$2:F209,"Keluar")</f>
        <v>135</v>
      </c>
      <c r="K209" s="3" t="n">
        <f aca="false">IF(F209="Masuk",MAX(0,MIN(G209,SUMIFS($G$2:G209,$B$2:B209,B209,$F$2:F209,"Masuk")-SUMIFS($G$2:G209,$B$2:B209,B209,$F$2:F209,"Keluar"))),"")</f>
        <v>117</v>
      </c>
      <c r="L209" s="4" t="n">
        <f aca="false">IF(F209="Masuk",K209*H209,"")</f>
        <v>1381185</v>
      </c>
    </row>
    <row r="210" customFormat="false" ht="15" hidden="false" customHeight="false" outlineLevel="0" collapsed="false">
      <c r="A210" s="2" t="s">
        <v>114</v>
      </c>
      <c r="B210" s="3" t="s">
        <v>155</v>
      </c>
      <c r="C210" s="3" t="s">
        <v>156</v>
      </c>
      <c r="D210" s="3" t="s">
        <v>157</v>
      </c>
      <c r="E210" s="3" t="s">
        <v>138</v>
      </c>
      <c r="F210" s="3" t="s">
        <v>17</v>
      </c>
      <c r="G210" s="3" t="n">
        <v>112</v>
      </c>
      <c r="H210" s="3"/>
      <c r="I210" s="3" t="s">
        <v>15</v>
      </c>
      <c r="J210" s="3" t="n">
        <f aca="false">SUMIFS($G$2:G210,$B$2:B210,B210,$F$2:F210,"Masuk")-SUMIFS($G$2:G210,$B$2:B210,B210,$F$2:F210,"Keluar")</f>
        <v>23</v>
      </c>
      <c r="K210" s="3" t="str">
        <f aca="false">IF(F210="Masuk",MAX(0,MIN(G210,SUMIFS($G$2:G210,$B$2:B210,B210,$F$2:F210,"Masuk")-SUMIFS($G$2:G210,$B$2:B210,B210,$F$2:F210,"Keluar"))),"")</f>
        <v/>
      </c>
      <c r="L210" s="4" t="str">
        <f aca="false">IF(F210="Masuk",K210*H210,"")</f>
        <v/>
      </c>
    </row>
    <row r="211" customFormat="false" ht="15" hidden="false" customHeight="false" outlineLevel="0" collapsed="false">
      <c r="A211" s="2" t="s">
        <v>116</v>
      </c>
      <c r="B211" s="3" t="s">
        <v>155</v>
      </c>
      <c r="C211" s="3" t="s">
        <v>156</v>
      </c>
      <c r="D211" s="3" t="s">
        <v>157</v>
      </c>
      <c r="E211" s="3" t="s">
        <v>138</v>
      </c>
      <c r="F211" s="3" t="s">
        <v>14</v>
      </c>
      <c r="G211" s="3" t="n">
        <v>125</v>
      </c>
      <c r="H211" s="3" t="n">
        <v>12892</v>
      </c>
      <c r="I211" s="3" t="s">
        <v>15</v>
      </c>
      <c r="J211" s="3" t="n">
        <f aca="false">SUMIFS($G$2:G211,$B$2:B211,B211,$F$2:F211,"Masuk")-SUMIFS($G$2:G211,$B$2:B211,B211,$F$2:F211,"Keluar")</f>
        <v>148</v>
      </c>
      <c r="K211" s="3" t="n">
        <f aca="false">IF(F211="Masuk",MAX(0,MIN(G211,SUMIFS($G$2:G211,$B$2:B211,B211,$F$2:F211,"Masuk")-SUMIFS($G$2:G211,$B$2:B211,B211,$F$2:F211,"Keluar"))),"")</f>
        <v>125</v>
      </c>
      <c r="L211" s="4" t="n">
        <f aca="false">IF(F211="Masuk",K211*H211,"")</f>
        <v>1611500</v>
      </c>
    </row>
    <row r="212" customFormat="false" ht="15" hidden="false" customHeight="false" outlineLevel="0" collapsed="false">
      <c r="A212" s="2" t="s">
        <v>117</v>
      </c>
      <c r="B212" s="3" t="s">
        <v>155</v>
      </c>
      <c r="C212" s="3" t="s">
        <v>156</v>
      </c>
      <c r="D212" s="3" t="s">
        <v>157</v>
      </c>
      <c r="E212" s="3" t="s">
        <v>138</v>
      </c>
      <c r="F212" s="3" t="s">
        <v>17</v>
      </c>
      <c r="G212" s="3" t="n">
        <v>99</v>
      </c>
      <c r="H212" s="3"/>
      <c r="I212" s="3" t="s">
        <v>15</v>
      </c>
      <c r="J212" s="3" t="n">
        <f aca="false">SUMIFS($G$2:G212,$B$2:B212,B212,$F$2:F212,"Masuk")-SUMIFS($G$2:G212,$B$2:B212,B212,$F$2:F212,"Keluar")</f>
        <v>49</v>
      </c>
      <c r="K212" s="3" t="str">
        <f aca="false">IF(F212="Masuk",MAX(0,MIN(G212,SUMIFS($G$2:G212,$B$2:B212,B212,$F$2:F212,"Masuk")-SUMIFS($G$2:G212,$B$2:B212,B212,$F$2:F212,"Keluar"))),"")</f>
        <v/>
      </c>
      <c r="L212" s="4" t="str">
        <f aca="false">IF(F212="Masuk",K212*H212,"")</f>
        <v/>
      </c>
    </row>
    <row r="213" customFormat="false" ht="15" hidden="false" customHeight="false" outlineLevel="0" collapsed="false">
      <c r="A213" s="2" t="s">
        <v>146</v>
      </c>
      <c r="B213" s="3" t="s">
        <v>155</v>
      </c>
      <c r="C213" s="3" t="s">
        <v>156</v>
      </c>
      <c r="D213" s="3" t="s">
        <v>157</v>
      </c>
      <c r="E213" s="3" t="s">
        <v>138</v>
      </c>
      <c r="F213" s="3" t="s">
        <v>14</v>
      </c>
      <c r="G213" s="3" t="n">
        <v>43</v>
      </c>
      <c r="H213" s="3" t="n">
        <v>13268</v>
      </c>
      <c r="I213" s="3" t="s">
        <v>15</v>
      </c>
      <c r="J213" s="3" t="n">
        <f aca="false">SUMIFS($G$2:G213,$B$2:B213,B213,$F$2:F213,"Masuk")-SUMIFS($G$2:G213,$B$2:B213,B213,$F$2:F213,"Keluar")</f>
        <v>92</v>
      </c>
      <c r="K213" s="3" t="n">
        <f aca="false">IF(F213="Masuk",MAX(0,MIN(G213,SUMIFS($G$2:G213,$B$2:B213,B213,$F$2:F213,"Masuk")-SUMIFS($G$2:G213,$B$2:B213,B213,$F$2:F213,"Keluar"))),"")</f>
        <v>43</v>
      </c>
      <c r="L213" s="4" t="n">
        <f aca="false">IF(F213="Masuk",K213*H213,"")</f>
        <v>570524</v>
      </c>
    </row>
    <row r="214" customFormat="false" ht="15" hidden="false" customHeight="false" outlineLevel="0" collapsed="false">
      <c r="A214" s="2" t="s">
        <v>119</v>
      </c>
      <c r="B214" s="3" t="s">
        <v>155</v>
      </c>
      <c r="C214" s="3" t="s">
        <v>156</v>
      </c>
      <c r="D214" s="3" t="s">
        <v>157</v>
      </c>
      <c r="E214" s="3" t="s">
        <v>138</v>
      </c>
      <c r="F214" s="3" t="s">
        <v>17</v>
      </c>
      <c r="G214" s="3" t="n">
        <v>53</v>
      </c>
      <c r="H214" s="3"/>
      <c r="I214" s="3" t="s">
        <v>15</v>
      </c>
      <c r="J214" s="3" t="n">
        <f aca="false">SUMIFS($G$2:G214,$B$2:B214,B214,$F$2:F214,"Masuk")-SUMIFS($G$2:G214,$B$2:B214,B214,$F$2:F214,"Keluar")</f>
        <v>39</v>
      </c>
      <c r="K214" s="3" t="str">
        <f aca="false">IF(F214="Masuk",MAX(0,MIN(G214,SUMIFS($G$2:G214,$B$2:B214,B214,$F$2:F214,"Masuk")-SUMIFS($G$2:G214,$B$2:B214,B214,$F$2:F214,"Keluar"))),"")</f>
        <v/>
      </c>
      <c r="L214" s="4" t="str">
        <f aca="false">IF(F214="Masuk",K214*H214,"")</f>
        <v/>
      </c>
    </row>
    <row r="215" customFormat="false" ht="15" hidden="false" customHeight="false" outlineLevel="0" collapsed="false">
      <c r="A215" s="2" t="s">
        <v>164</v>
      </c>
      <c r="B215" s="3" t="s">
        <v>155</v>
      </c>
      <c r="C215" s="3" t="s">
        <v>156</v>
      </c>
      <c r="D215" s="3" t="s">
        <v>157</v>
      </c>
      <c r="E215" s="3" t="s">
        <v>138</v>
      </c>
      <c r="F215" s="3" t="s">
        <v>17</v>
      </c>
      <c r="G215" s="3" t="n">
        <v>15</v>
      </c>
      <c r="H215" s="3"/>
      <c r="I215" s="3" t="s">
        <v>15</v>
      </c>
      <c r="J215" s="3" t="n">
        <f aca="false">SUMIFS($G$2:G215,$B$2:B215,B215,$F$2:F215,"Masuk")-SUMIFS($G$2:G215,$B$2:B215,B215,$F$2:F215,"Keluar")</f>
        <v>24</v>
      </c>
      <c r="K215" s="3" t="str">
        <f aca="false">IF(F215="Masuk",MAX(0,MIN(G215,SUMIFS($G$2:G215,$B$2:B215,B215,$F$2:F215,"Masuk")-SUMIFS($G$2:G215,$B$2:B215,B215,$F$2:F215,"Keluar"))),"")</f>
        <v/>
      </c>
      <c r="L215" s="4" t="str">
        <f aca="false">IF(F215="Masuk",K215*H215,"")</f>
        <v/>
      </c>
    </row>
    <row r="216" customFormat="false" ht="15" hidden="false" customHeight="false" outlineLevel="0" collapsed="false">
      <c r="A216" s="2" t="s">
        <v>120</v>
      </c>
      <c r="B216" s="3" t="s">
        <v>155</v>
      </c>
      <c r="C216" s="3" t="s">
        <v>156</v>
      </c>
      <c r="D216" s="3" t="s">
        <v>157</v>
      </c>
      <c r="E216" s="3" t="s">
        <v>138</v>
      </c>
      <c r="F216" s="3" t="s">
        <v>14</v>
      </c>
      <c r="G216" s="3" t="n">
        <v>100</v>
      </c>
      <c r="H216" s="3" t="n">
        <v>12896</v>
      </c>
      <c r="I216" s="3" t="s">
        <v>15</v>
      </c>
      <c r="J216" s="3" t="n">
        <f aca="false">SUMIFS($G$2:G216,$B$2:B216,B216,$F$2:F216,"Masuk")-SUMIFS($G$2:G216,$B$2:B216,B216,$F$2:F216,"Keluar")</f>
        <v>124</v>
      </c>
      <c r="K216" s="3" t="n">
        <f aca="false">IF(F216="Masuk",MAX(0,MIN(G216,SUMIFS($G$2:G216,$B$2:B216,B216,$F$2:F216,"Masuk")-SUMIFS($G$2:G216,$B$2:B216,B216,$F$2:F216,"Keluar"))),"")</f>
        <v>100</v>
      </c>
      <c r="L216" s="4" t="n">
        <f aca="false">IF(F216="Masuk",K216*H216,"")</f>
        <v>1289600</v>
      </c>
    </row>
    <row r="217" customFormat="false" ht="15" hidden="false" customHeight="false" outlineLevel="0" collapsed="false">
      <c r="A217" s="2" t="s">
        <v>39</v>
      </c>
      <c r="B217" s="3" t="s">
        <v>155</v>
      </c>
      <c r="C217" s="3" t="s">
        <v>156</v>
      </c>
      <c r="D217" s="3" t="s">
        <v>157</v>
      </c>
      <c r="E217" s="3" t="s">
        <v>138</v>
      </c>
      <c r="F217" s="3" t="s">
        <v>17</v>
      </c>
      <c r="G217" s="3" t="n">
        <v>44</v>
      </c>
      <c r="H217" s="3"/>
      <c r="I217" s="3" t="s">
        <v>15</v>
      </c>
      <c r="J217" s="3" t="n">
        <f aca="false">SUMIFS($G$2:G217,$B$2:B217,B217,$F$2:F217,"Masuk")-SUMIFS($G$2:G217,$B$2:B217,B217,$F$2:F217,"Keluar")</f>
        <v>80</v>
      </c>
      <c r="K217" s="3" t="str">
        <f aca="false">IF(F217="Masuk",MAX(0,MIN(G217,SUMIFS($G$2:G217,$B$2:B217,B217,$F$2:F217,"Masuk")-SUMIFS($G$2:G217,$B$2:B217,B217,$F$2:F217,"Keluar"))),"")</f>
        <v/>
      </c>
      <c r="L217" s="4" t="str">
        <f aca="false">IF(F217="Masuk",K217*H217,"")</f>
        <v/>
      </c>
    </row>
    <row r="218" customFormat="false" ht="15" hidden="false" customHeight="false" outlineLevel="0" collapsed="false">
      <c r="A218" s="2" t="s">
        <v>121</v>
      </c>
      <c r="B218" s="3" t="s">
        <v>155</v>
      </c>
      <c r="C218" s="3" t="s">
        <v>156</v>
      </c>
      <c r="D218" s="3" t="s">
        <v>157</v>
      </c>
      <c r="E218" s="3" t="s">
        <v>138</v>
      </c>
      <c r="F218" s="3" t="s">
        <v>17</v>
      </c>
      <c r="G218" s="3" t="n">
        <v>34</v>
      </c>
      <c r="H218" s="3"/>
      <c r="I218" s="3" t="s">
        <v>15</v>
      </c>
      <c r="J218" s="3" t="n">
        <f aca="false">SUMIFS($G$2:G218,$B$2:B218,B218,$F$2:F218,"Masuk")-SUMIFS($G$2:G218,$B$2:B218,B218,$F$2:F218,"Keluar")</f>
        <v>46</v>
      </c>
      <c r="K218" s="3" t="str">
        <f aca="false">IF(F218="Masuk",MAX(0,MIN(G218,SUMIFS($G$2:G218,$B$2:B218,B218,$F$2:F218,"Masuk")-SUMIFS($G$2:G218,$B$2:B218,B218,$F$2:F218,"Keluar"))),"")</f>
        <v/>
      </c>
      <c r="L218" s="4" t="str">
        <f aca="false">IF(F218="Masuk",K218*H218,"")</f>
        <v/>
      </c>
    </row>
    <row r="219" customFormat="false" ht="15" hidden="false" customHeight="false" outlineLevel="0" collapsed="false">
      <c r="A219" s="2" t="s">
        <v>122</v>
      </c>
      <c r="B219" s="3" t="s">
        <v>155</v>
      </c>
      <c r="C219" s="3" t="s">
        <v>156</v>
      </c>
      <c r="D219" s="3" t="s">
        <v>157</v>
      </c>
      <c r="E219" s="3" t="s">
        <v>138</v>
      </c>
      <c r="F219" s="3" t="s">
        <v>17</v>
      </c>
      <c r="G219" s="3" t="n">
        <v>25</v>
      </c>
      <c r="H219" s="3"/>
      <c r="I219" s="3" t="s">
        <v>15</v>
      </c>
      <c r="J219" s="3" t="n">
        <f aca="false">SUMIFS($G$2:G219,$B$2:B219,B219,$F$2:F219,"Masuk")-SUMIFS($G$2:G219,$B$2:B219,B219,$F$2:F219,"Keluar")</f>
        <v>21</v>
      </c>
      <c r="K219" s="3" t="str">
        <f aca="false">IF(F219="Masuk",MAX(0,MIN(G219,SUMIFS($G$2:G219,$B$2:B219,B219,$F$2:F219,"Masuk")-SUMIFS($G$2:G219,$B$2:B219,B219,$F$2:F219,"Keluar"))),"")</f>
        <v/>
      </c>
      <c r="L219" s="4" t="str">
        <f aca="false">IF(F219="Masuk",K219*H219,"")</f>
        <v/>
      </c>
    </row>
    <row r="220" customFormat="false" ht="15" hidden="false" customHeight="false" outlineLevel="0" collapsed="false">
      <c r="A220" s="2" t="s">
        <v>165</v>
      </c>
      <c r="B220" s="3" t="s">
        <v>155</v>
      </c>
      <c r="C220" s="3" t="s">
        <v>156</v>
      </c>
      <c r="D220" s="3" t="s">
        <v>157</v>
      </c>
      <c r="E220" s="3" t="s">
        <v>138</v>
      </c>
      <c r="F220" s="3" t="s">
        <v>14</v>
      </c>
      <c r="G220" s="3" t="n">
        <v>81</v>
      </c>
      <c r="H220" s="3" t="n">
        <v>12174</v>
      </c>
      <c r="I220" s="3" t="s">
        <v>15</v>
      </c>
      <c r="J220" s="3" t="n">
        <f aca="false">SUMIFS($G$2:G220,$B$2:B220,B220,$F$2:F220,"Masuk")-SUMIFS($G$2:G220,$B$2:B220,B220,$F$2:F220,"Keluar")</f>
        <v>102</v>
      </c>
      <c r="K220" s="3" t="n">
        <f aca="false">IF(F220="Masuk",MAX(0,MIN(G220,SUMIFS($G$2:G220,$B$2:B220,B220,$F$2:F220,"Masuk")-SUMIFS($G$2:G220,$B$2:B220,B220,$F$2:F220,"Keluar"))),"")</f>
        <v>81</v>
      </c>
      <c r="L220" s="4" t="n">
        <f aca="false">IF(F220="Masuk",K220*H220,"")</f>
        <v>986094</v>
      </c>
    </row>
    <row r="221" customFormat="false" ht="15" hidden="false" customHeight="false" outlineLevel="0" collapsed="false">
      <c r="A221" s="2" t="s">
        <v>149</v>
      </c>
      <c r="B221" s="3" t="s">
        <v>155</v>
      </c>
      <c r="C221" s="3" t="s">
        <v>156</v>
      </c>
      <c r="D221" s="3" t="s">
        <v>157</v>
      </c>
      <c r="E221" s="3" t="s">
        <v>138</v>
      </c>
      <c r="F221" s="3" t="s">
        <v>14</v>
      </c>
      <c r="G221" s="3" t="n">
        <v>83</v>
      </c>
      <c r="H221" s="3" t="n">
        <v>12916</v>
      </c>
      <c r="I221" s="3" t="s">
        <v>15</v>
      </c>
      <c r="J221" s="3" t="n">
        <f aca="false">SUMIFS($G$2:G221,$B$2:B221,B221,$F$2:F221,"Masuk")-SUMIFS($G$2:G221,$B$2:B221,B221,$F$2:F221,"Keluar")</f>
        <v>185</v>
      </c>
      <c r="K221" s="3" t="n">
        <f aca="false">IF(F221="Masuk",MAX(0,MIN(G221,SUMIFS($G$2:G221,$B$2:B221,B221,$F$2:F221,"Masuk")-SUMIFS($G$2:G221,$B$2:B221,B221,$F$2:F221,"Keluar"))),"")</f>
        <v>83</v>
      </c>
      <c r="L221" s="4" t="n">
        <f aca="false">IF(F221="Masuk",K221*H221,"")</f>
        <v>1072028</v>
      </c>
    </row>
    <row r="222" customFormat="false" ht="15" hidden="false" customHeight="false" outlineLevel="0" collapsed="false">
      <c r="A222" s="2" t="s">
        <v>82</v>
      </c>
      <c r="B222" s="3" t="s">
        <v>155</v>
      </c>
      <c r="C222" s="3" t="s">
        <v>156</v>
      </c>
      <c r="D222" s="3" t="s">
        <v>157</v>
      </c>
      <c r="E222" s="3" t="s">
        <v>138</v>
      </c>
      <c r="F222" s="3" t="s">
        <v>17</v>
      </c>
      <c r="G222" s="3" t="n">
        <v>25</v>
      </c>
      <c r="H222" s="3"/>
      <c r="I222" s="3" t="s">
        <v>15</v>
      </c>
      <c r="J222" s="3" t="n">
        <f aca="false">SUMIFS($G$2:G222,$B$2:B222,B222,$F$2:F222,"Masuk")-SUMIFS($G$2:G222,$B$2:B222,B222,$F$2:F222,"Keluar")</f>
        <v>160</v>
      </c>
      <c r="K222" s="3" t="str">
        <f aca="false">IF(F222="Masuk",MAX(0,MIN(G222,SUMIFS($G$2:G222,$B$2:B222,B222,$F$2:F222,"Masuk")-SUMIFS($G$2:G222,$B$2:B222,B222,$F$2:F222,"Keluar"))),"")</f>
        <v/>
      </c>
      <c r="L222" s="4" t="str">
        <f aca="false">IF(F222="Masuk",K222*H222,"")</f>
        <v/>
      </c>
    </row>
    <row r="223" customFormat="false" ht="15" hidden="false" customHeight="false" outlineLevel="0" collapsed="false">
      <c r="A223" s="2" t="s">
        <v>166</v>
      </c>
      <c r="B223" s="3" t="s">
        <v>155</v>
      </c>
      <c r="C223" s="3" t="s">
        <v>156</v>
      </c>
      <c r="D223" s="3" t="s">
        <v>157</v>
      </c>
      <c r="E223" s="3" t="s">
        <v>138</v>
      </c>
      <c r="F223" s="3" t="s">
        <v>17</v>
      </c>
      <c r="G223" s="3" t="n">
        <v>94</v>
      </c>
      <c r="H223" s="3"/>
      <c r="I223" s="3" t="s">
        <v>15</v>
      </c>
      <c r="J223" s="3" t="n">
        <f aca="false">SUMIFS($G$2:G223,$B$2:B223,B223,$F$2:F223,"Masuk")-SUMIFS($G$2:G223,$B$2:B223,B223,$F$2:F223,"Keluar")</f>
        <v>66</v>
      </c>
      <c r="K223" s="3" t="str">
        <f aca="false">IF(F223="Masuk",MAX(0,MIN(G223,SUMIFS($G$2:G223,$B$2:B223,B223,$F$2:F223,"Masuk")-SUMIFS($G$2:G223,$B$2:B223,B223,$F$2:F223,"Keluar"))),"")</f>
        <v/>
      </c>
      <c r="L223" s="4" t="str">
        <f aca="false">IF(F223="Masuk",K223*H223,"")</f>
        <v/>
      </c>
    </row>
    <row r="224" customFormat="false" ht="15" hidden="false" customHeight="false" outlineLevel="0" collapsed="false">
      <c r="A224" s="2" t="s">
        <v>45</v>
      </c>
      <c r="B224" s="3" t="s">
        <v>155</v>
      </c>
      <c r="C224" s="3" t="s">
        <v>156</v>
      </c>
      <c r="D224" s="3" t="s">
        <v>157</v>
      </c>
      <c r="E224" s="3" t="s">
        <v>138</v>
      </c>
      <c r="F224" s="3" t="s">
        <v>17</v>
      </c>
      <c r="G224" s="3" t="n">
        <v>58</v>
      </c>
      <c r="H224" s="3"/>
      <c r="I224" s="3" t="s">
        <v>15</v>
      </c>
      <c r="J224" s="3" t="n">
        <f aca="false">SUMIFS($G$2:G224,$B$2:B224,B224,$F$2:F224,"Masuk")-SUMIFS($G$2:G224,$B$2:B224,B224,$F$2:F224,"Keluar")</f>
        <v>8</v>
      </c>
      <c r="K224" s="3" t="str">
        <f aca="false">IF(F224="Masuk",MAX(0,MIN(G224,SUMIFS($G$2:G224,$B$2:B224,B224,$F$2:F224,"Masuk")-SUMIFS($G$2:G224,$B$2:B224,B224,$F$2:F224,"Keluar"))),"")</f>
        <v/>
      </c>
      <c r="L224" s="4" t="str">
        <f aca="false">IF(F224="Masuk",K224*H224,"")</f>
        <v/>
      </c>
    </row>
    <row r="225" customFormat="false" ht="15" hidden="false" customHeight="false" outlineLevel="0" collapsed="false">
      <c r="A225" s="2" t="s">
        <v>47</v>
      </c>
      <c r="B225" s="3" t="s">
        <v>155</v>
      </c>
      <c r="C225" s="3" t="s">
        <v>156</v>
      </c>
      <c r="D225" s="3" t="s">
        <v>157</v>
      </c>
      <c r="E225" s="3" t="s">
        <v>138</v>
      </c>
      <c r="F225" s="3" t="s">
        <v>14</v>
      </c>
      <c r="G225" s="3" t="n">
        <v>30</v>
      </c>
      <c r="H225" s="3" t="n">
        <v>13950</v>
      </c>
      <c r="I225" s="3" t="s">
        <v>15</v>
      </c>
      <c r="J225" s="3" t="n">
        <f aca="false">SUMIFS($G$2:G225,$B$2:B225,B225,$F$2:F225,"Masuk")-SUMIFS($G$2:G225,$B$2:B225,B225,$F$2:F225,"Keluar")</f>
        <v>38</v>
      </c>
      <c r="K225" s="3" t="n">
        <f aca="false">IF(F225="Masuk",MAX(0,MIN(G225,SUMIFS($G$2:G225,$B$2:B225,B225,$F$2:F225,"Masuk")-SUMIFS($G$2:G225,$B$2:B225,B225,$F$2:F225,"Keluar"))),"")</f>
        <v>30</v>
      </c>
      <c r="L225" s="4" t="n">
        <f aca="false">IF(F225="Masuk",K225*H225,"")</f>
        <v>418500</v>
      </c>
    </row>
    <row r="226" customFormat="false" ht="15" hidden="false" customHeight="false" outlineLevel="0" collapsed="false">
      <c r="A226" s="2" t="s">
        <v>85</v>
      </c>
      <c r="B226" s="3" t="s">
        <v>155</v>
      </c>
      <c r="C226" s="3" t="s">
        <v>156</v>
      </c>
      <c r="D226" s="3" t="s">
        <v>157</v>
      </c>
      <c r="E226" s="3" t="s">
        <v>138</v>
      </c>
      <c r="F226" s="3" t="s">
        <v>17</v>
      </c>
      <c r="G226" s="3" t="n">
        <v>25</v>
      </c>
      <c r="H226" s="3"/>
      <c r="I226" s="3" t="s">
        <v>15</v>
      </c>
      <c r="J226" s="3" t="n">
        <f aca="false">SUMIFS($G$2:G226,$B$2:B226,B226,$F$2:F226,"Masuk")-SUMIFS($G$2:G226,$B$2:B226,B226,$F$2:F226,"Keluar")</f>
        <v>13</v>
      </c>
      <c r="K226" s="3" t="str">
        <f aca="false">IF(F226="Masuk",MAX(0,MIN(G226,SUMIFS($G$2:G226,$B$2:B226,B226,$F$2:F226,"Masuk")-SUMIFS($G$2:G226,$B$2:B226,B226,$F$2:F226,"Keluar"))),"")</f>
        <v/>
      </c>
      <c r="L226" s="4" t="str">
        <f aca="false">IF(F226="Masuk",K226*H226,"")</f>
        <v/>
      </c>
    </row>
    <row r="227" customFormat="false" ht="15" hidden="false" customHeight="false" outlineLevel="0" collapsed="false">
      <c r="A227" s="2" t="s">
        <v>127</v>
      </c>
      <c r="B227" s="3" t="s">
        <v>155</v>
      </c>
      <c r="C227" s="3" t="s">
        <v>156</v>
      </c>
      <c r="D227" s="3" t="s">
        <v>157</v>
      </c>
      <c r="E227" s="3" t="s">
        <v>138</v>
      </c>
      <c r="F227" s="3" t="s">
        <v>14</v>
      </c>
      <c r="G227" s="3" t="n">
        <v>90</v>
      </c>
      <c r="H227" s="3" t="n">
        <v>14020</v>
      </c>
      <c r="I227" s="3" t="s">
        <v>15</v>
      </c>
      <c r="J227" s="3" t="n">
        <f aca="false">SUMIFS($G$2:G227,$B$2:B227,B227,$F$2:F227,"Masuk")-SUMIFS($G$2:G227,$B$2:B227,B227,$F$2:F227,"Keluar")</f>
        <v>103</v>
      </c>
      <c r="K227" s="3" t="n">
        <f aca="false">IF(F227="Masuk",MAX(0,MIN(G227,SUMIFS($G$2:G227,$B$2:B227,B227,$F$2:F227,"Masuk")-SUMIFS($G$2:G227,$B$2:B227,B227,$F$2:F227,"Keluar"))),"")</f>
        <v>90</v>
      </c>
      <c r="L227" s="4" t="n">
        <f aca="false">IF(F227="Masuk",K227*H227,"")</f>
        <v>1261800</v>
      </c>
    </row>
    <row r="228" customFormat="false" ht="15" hidden="false" customHeight="false" outlineLevel="0" collapsed="false">
      <c r="A228" s="2" t="s">
        <v>167</v>
      </c>
      <c r="B228" s="3" t="s">
        <v>155</v>
      </c>
      <c r="C228" s="3" t="s">
        <v>156</v>
      </c>
      <c r="D228" s="3" t="s">
        <v>157</v>
      </c>
      <c r="E228" s="3" t="s">
        <v>138</v>
      </c>
      <c r="F228" s="3" t="s">
        <v>17</v>
      </c>
      <c r="G228" s="3" t="n">
        <v>75</v>
      </c>
      <c r="H228" s="3"/>
      <c r="I228" s="3" t="s">
        <v>15</v>
      </c>
      <c r="J228" s="3" t="n">
        <f aca="false">SUMIFS($G$2:G228,$B$2:B228,B228,$F$2:F228,"Masuk")-SUMIFS($G$2:G228,$B$2:B228,B228,$F$2:F228,"Keluar")</f>
        <v>28</v>
      </c>
      <c r="K228" s="3" t="str">
        <f aca="false">IF(F228="Masuk",MAX(0,MIN(G228,SUMIFS($G$2:G228,$B$2:B228,B228,$F$2:F228,"Masuk")-SUMIFS($G$2:G228,$B$2:B228,B228,$F$2:F228,"Keluar"))),"")</f>
        <v/>
      </c>
      <c r="L228" s="4" t="str">
        <f aca="false">IF(F228="Masuk",K228*H228,"")</f>
        <v/>
      </c>
    </row>
    <row r="229" customFormat="false" ht="15" hidden="false" customHeight="false" outlineLevel="0" collapsed="false">
      <c r="A229" s="2" t="s">
        <v>151</v>
      </c>
      <c r="B229" s="3" t="s">
        <v>155</v>
      </c>
      <c r="C229" s="3" t="s">
        <v>156</v>
      </c>
      <c r="D229" s="3" t="s">
        <v>157</v>
      </c>
      <c r="E229" s="3" t="s">
        <v>138</v>
      </c>
      <c r="F229" s="3" t="s">
        <v>14</v>
      </c>
      <c r="G229" s="3" t="n">
        <v>121</v>
      </c>
      <c r="H229" s="3" t="n">
        <v>11819</v>
      </c>
      <c r="I229" s="3" t="s">
        <v>15</v>
      </c>
      <c r="J229" s="3" t="n">
        <f aca="false">SUMIFS($G$2:G229,$B$2:B229,B229,$F$2:F229,"Masuk")-SUMIFS($G$2:G229,$B$2:B229,B229,$F$2:F229,"Keluar")</f>
        <v>149</v>
      </c>
      <c r="K229" s="3" t="n">
        <f aca="false">IF(F229="Masuk",MAX(0,MIN(G229,SUMIFS($G$2:G229,$B$2:B229,B229,$F$2:F229,"Masuk")-SUMIFS($G$2:G229,$B$2:B229,B229,$F$2:F229,"Keluar"))),"")</f>
        <v>121</v>
      </c>
      <c r="L229" s="4" t="n">
        <f aca="false">IF(F229="Masuk",K229*H229,"")</f>
        <v>1430099</v>
      </c>
    </row>
    <row r="230" customFormat="false" ht="15" hidden="false" customHeight="false" outlineLevel="0" collapsed="false">
      <c r="A230" s="2" t="s">
        <v>168</v>
      </c>
      <c r="B230" s="3" t="s">
        <v>155</v>
      </c>
      <c r="C230" s="3" t="s">
        <v>156</v>
      </c>
      <c r="D230" s="3" t="s">
        <v>157</v>
      </c>
      <c r="E230" s="3" t="s">
        <v>138</v>
      </c>
      <c r="F230" s="3" t="s">
        <v>14</v>
      </c>
      <c r="G230" s="3" t="n">
        <v>154</v>
      </c>
      <c r="H230" s="3" t="n">
        <v>13466</v>
      </c>
      <c r="I230" s="3" t="s">
        <v>15</v>
      </c>
      <c r="J230" s="3" t="n">
        <f aca="false">SUMIFS($G$2:G230,$B$2:B230,B230,$F$2:F230,"Masuk")-SUMIFS($G$2:G230,$B$2:B230,B230,$F$2:F230,"Keluar")</f>
        <v>303</v>
      </c>
      <c r="K230" s="3" t="n">
        <f aca="false">IF(F230="Masuk",MAX(0,MIN(G230,SUMIFS($G$2:G230,$B$2:B230,B230,$F$2:F230,"Masuk")-SUMIFS($G$2:G230,$B$2:B230,B230,$F$2:F230,"Keluar"))),"")</f>
        <v>154</v>
      </c>
      <c r="L230" s="4" t="n">
        <f aca="false">IF(F230="Masuk",K230*H230,"")</f>
        <v>2073764</v>
      </c>
    </row>
    <row r="231" customFormat="false" ht="15" hidden="false" customHeight="false" outlineLevel="0" collapsed="false">
      <c r="A231" s="2" t="s">
        <v>89</v>
      </c>
      <c r="B231" s="3" t="s">
        <v>155</v>
      </c>
      <c r="C231" s="3" t="s">
        <v>156</v>
      </c>
      <c r="D231" s="3" t="s">
        <v>157</v>
      </c>
      <c r="E231" s="3" t="s">
        <v>138</v>
      </c>
      <c r="F231" s="3" t="s">
        <v>17</v>
      </c>
      <c r="G231" s="3" t="n">
        <v>14</v>
      </c>
      <c r="H231" s="3"/>
      <c r="I231" s="3" t="s">
        <v>15</v>
      </c>
      <c r="J231" s="3" t="n">
        <f aca="false">SUMIFS($G$2:G231,$B$2:B231,B231,$F$2:F231,"Masuk")-SUMIFS($G$2:G231,$B$2:B231,B231,$F$2:F231,"Keluar")</f>
        <v>289</v>
      </c>
      <c r="K231" s="3" t="str">
        <f aca="false">IF(F231="Masuk",MAX(0,MIN(G231,SUMIFS($G$2:G231,$B$2:B231,B231,$F$2:F231,"Masuk")-SUMIFS($G$2:G231,$B$2:B231,B231,$F$2:F231,"Keluar"))),"")</f>
        <v/>
      </c>
      <c r="L231" s="4" t="str">
        <f aca="false">IF(F231="Masuk",K231*H231,"")</f>
        <v/>
      </c>
    </row>
    <row r="232" customFormat="false" ht="15" hidden="false" customHeight="false" outlineLevel="0" collapsed="false">
      <c r="A232" s="2" t="s">
        <v>90</v>
      </c>
      <c r="B232" s="3" t="s">
        <v>155</v>
      </c>
      <c r="C232" s="3" t="s">
        <v>156</v>
      </c>
      <c r="D232" s="3" t="s">
        <v>157</v>
      </c>
      <c r="E232" s="3" t="s">
        <v>138</v>
      </c>
      <c r="F232" s="3" t="s">
        <v>14</v>
      </c>
      <c r="G232" s="3" t="n">
        <v>195</v>
      </c>
      <c r="H232" s="3" t="n">
        <v>11431</v>
      </c>
      <c r="I232" s="3" t="s">
        <v>15</v>
      </c>
      <c r="J232" s="3" t="n">
        <f aca="false">SUMIFS($G$2:G232,$B$2:B232,B232,$F$2:F232,"Masuk")-SUMIFS($G$2:G232,$B$2:B232,B232,$F$2:F232,"Keluar")</f>
        <v>484</v>
      </c>
      <c r="K232" s="3" t="n">
        <f aca="false">IF(F232="Masuk",MAX(0,MIN(G232,SUMIFS($G$2:G232,$B$2:B232,B232,$F$2:F232,"Masuk")-SUMIFS($G$2:G232,$B$2:B232,B232,$F$2:F232,"Keluar"))),"")</f>
        <v>195</v>
      </c>
      <c r="L232" s="4" t="n">
        <f aca="false">IF(F232="Masuk",K232*H232,"")</f>
        <v>2229045</v>
      </c>
    </row>
    <row r="233" customFormat="false" ht="15" hidden="false" customHeight="false" outlineLevel="0" collapsed="false">
      <c r="A233" s="2" t="s">
        <v>152</v>
      </c>
      <c r="B233" s="3" t="s">
        <v>155</v>
      </c>
      <c r="C233" s="3" t="s">
        <v>156</v>
      </c>
      <c r="D233" s="3" t="s">
        <v>157</v>
      </c>
      <c r="E233" s="3" t="s">
        <v>138</v>
      </c>
      <c r="F233" s="3" t="s">
        <v>17</v>
      </c>
      <c r="G233" s="3" t="n">
        <v>99</v>
      </c>
      <c r="H233" s="3"/>
      <c r="I233" s="3" t="s">
        <v>15</v>
      </c>
      <c r="J233" s="3" t="n">
        <f aca="false">SUMIFS($G$2:G233,$B$2:B233,B233,$F$2:F233,"Masuk")-SUMIFS($G$2:G233,$B$2:B233,B233,$F$2:F233,"Keluar")</f>
        <v>385</v>
      </c>
      <c r="K233" s="3" t="str">
        <f aca="false">IF(F233="Masuk",MAX(0,MIN(G233,SUMIFS($G$2:G233,$B$2:B233,B233,$F$2:F233,"Masuk")-SUMIFS($G$2:G233,$B$2:B233,B233,$F$2:F233,"Keluar"))),"")</f>
        <v/>
      </c>
      <c r="L233" s="4" t="str">
        <f aca="false">IF(F233="Masuk",K233*H233,"")</f>
        <v/>
      </c>
    </row>
    <row r="234" customFormat="false" ht="15" hidden="false" customHeight="false" outlineLevel="0" collapsed="false">
      <c r="A234" s="2" t="s">
        <v>169</v>
      </c>
      <c r="B234" s="3" t="s">
        <v>155</v>
      </c>
      <c r="C234" s="3" t="s">
        <v>156</v>
      </c>
      <c r="D234" s="3" t="s">
        <v>157</v>
      </c>
      <c r="E234" s="3" t="s">
        <v>138</v>
      </c>
      <c r="F234" s="3" t="s">
        <v>17</v>
      </c>
      <c r="G234" s="3" t="n">
        <v>98</v>
      </c>
      <c r="H234" s="3"/>
      <c r="I234" s="3" t="s">
        <v>15</v>
      </c>
      <c r="J234" s="3" t="n">
        <f aca="false">SUMIFS($G$2:G234,$B$2:B234,B234,$F$2:F234,"Masuk")-SUMIFS($G$2:G234,$B$2:B234,B234,$F$2:F234,"Keluar")</f>
        <v>287</v>
      </c>
      <c r="K234" s="3" t="str">
        <f aca="false">IF(F234="Masuk",MAX(0,MIN(G234,SUMIFS($G$2:G234,$B$2:B234,B234,$F$2:F234,"Masuk")-SUMIFS($G$2:G234,$B$2:B234,B234,$F$2:F234,"Keluar"))),"")</f>
        <v/>
      </c>
      <c r="L234" s="4" t="str">
        <f aca="false">IF(F234="Masuk",K234*H234,"")</f>
        <v/>
      </c>
    </row>
    <row r="235" customFormat="false" ht="15" hidden="false" customHeight="false" outlineLevel="0" collapsed="false">
      <c r="A235" s="2" t="s">
        <v>153</v>
      </c>
      <c r="B235" s="3" t="s">
        <v>155</v>
      </c>
      <c r="C235" s="3" t="s">
        <v>156</v>
      </c>
      <c r="D235" s="3" t="s">
        <v>157</v>
      </c>
      <c r="E235" s="3" t="s">
        <v>138</v>
      </c>
      <c r="F235" s="3" t="s">
        <v>14</v>
      </c>
      <c r="G235" s="3" t="n">
        <v>73</v>
      </c>
      <c r="H235" s="3" t="n">
        <v>13108</v>
      </c>
      <c r="I235" s="3" t="s">
        <v>15</v>
      </c>
      <c r="J235" s="3" t="n">
        <f aca="false">SUMIFS($G$2:G235,$B$2:B235,B235,$F$2:F235,"Masuk")-SUMIFS($G$2:G235,$B$2:B235,B235,$F$2:F235,"Keluar")</f>
        <v>360</v>
      </c>
      <c r="K235" s="3" t="n">
        <f aca="false">IF(F235="Masuk",MAX(0,MIN(G235,SUMIFS($G$2:G235,$B$2:B235,B235,$F$2:F235,"Masuk")-SUMIFS($G$2:G235,$B$2:B235,B235,$F$2:F235,"Keluar"))),"")</f>
        <v>73</v>
      </c>
      <c r="L235" s="4" t="n">
        <f aca="false">IF(F235="Masuk",K235*H235,"")</f>
        <v>956884</v>
      </c>
    </row>
    <row r="236" customFormat="false" ht="15" hidden="false" customHeight="false" outlineLevel="0" collapsed="false">
      <c r="A236" s="2" t="s">
        <v>170</v>
      </c>
      <c r="B236" s="3" t="s">
        <v>155</v>
      </c>
      <c r="C236" s="3" t="s">
        <v>156</v>
      </c>
      <c r="D236" s="3" t="s">
        <v>157</v>
      </c>
      <c r="E236" s="3" t="s">
        <v>138</v>
      </c>
      <c r="F236" s="3" t="s">
        <v>14</v>
      </c>
      <c r="G236" s="3" t="n">
        <v>112</v>
      </c>
      <c r="H236" s="3" t="n">
        <v>12127</v>
      </c>
      <c r="I236" s="3" t="s">
        <v>15</v>
      </c>
      <c r="J236" s="3" t="n">
        <f aca="false">SUMIFS($G$2:G236,$B$2:B236,B236,$F$2:F236,"Masuk")-SUMIFS($G$2:G236,$B$2:B236,B236,$F$2:F236,"Keluar")</f>
        <v>472</v>
      </c>
      <c r="K236" s="3" t="n">
        <f aca="false">IF(F236="Masuk",MAX(0,MIN(G236,SUMIFS($G$2:G236,$B$2:B236,B236,$F$2:F236,"Masuk")-SUMIFS($G$2:G236,$B$2:B236,B236,$F$2:F236,"Keluar"))),"")</f>
        <v>112</v>
      </c>
      <c r="L236" s="4" t="n">
        <f aca="false">IF(F236="Masuk",K236*H236,"")</f>
        <v>1358224</v>
      </c>
    </row>
    <row r="237" customFormat="false" ht="15" hidden="false" customHeight="false" outlineLevel="0" collapsed="false">
      <c r="A237" s="2" t="s">
        <v>171</v>
      </c>
      <c r="B237" s="3" t="s">
        <v>155</v>
      </c>
      <c r="C237" s="3" t="s">
        <v>156</v>
      </c>
      <c r="D237" s="3" t="s">
        <v>157</v>
      </c>
      <c r="E237" s="3" t="s">
        <v>138</v>
      </c>
      <c r="F237" s="3" t="s">
        <v>17</v>
      </c>
      <c r="G237" s="3" t="n">
        <v>40</v>
      </c>
      <c r="H237" s="3"/>
      <c r="I237" s="3" t="s">
        <v>15</v>
      </c>
      <c r="J237" s="3" t="n">
        <f aca="false">SUMIFS($G$2:G237,$B$2:B237,B237,$F$2:F237,"Masuk")-SUMIFS($G$2:G237,$B$2:B237,B237,$F$2:F237,"Keluar")</f>
        <v>432</v>
      </c>
      <c r="K237" s="3" t="str">
        <f aca="false">IF(F237="Masuk",MAX(0,MIN(G237,SUMIFS($G$2:G237,$B$2:B237,B237,$F$2:F237,"Masuk")-SUMIFS($G$2:G237,$B$2:B237,B237,$F$2:F237,"Keluar"))),"")</f>
        <v/>
      </c>
      <c r="L237" s="4" t="str">
        <f aca="false">IF(F237="Masuk",K237*H237,"")</f>
        <v/>
      </c>
    </row>
    <row r="238" customFormat="false" ht="15" hidden="false" customHeight="false" outlineLevel="0" collapsed="false">
      <c r="A238" s="2" t="s">
        <v>94</v>
      </c>
      <c r="B238" s="3" t="s">
        <v>155</v>
      </c>
      <c r="C238" s="3" t="s">
        <v>156</v>
      </c>
      <c r="D238" s="3" t="s">
        <v>157</v>
      </c>
      <c r="E238" s="3" t="s">
        <v>138</v>
      </c>
      <c r="F238" s="3" t="s">
        <v>17</v>
      </c>
      <c r="G238" s="3" t="n">
        <v>88</v>
      </c>
      <c r="H238" s="3"/>
      <c r="I238" s="3" t="s">
        <v>15</v>
      </c>
      <c r="J238" s="3" t="n">
        <f aca="false">SUMIFS($G$2:G238,$B$2:B238,B238,$F$2:F238,"Masuk")-SUMIFS($G$2:G238,$B$2:B238,B238,$F$2:F238,"Keluar")</f>
        <v>344</v>
      </c>
      <c r="K238" s="3" t="str">
        <f aca="false">IF(F238="Masuk",MAX(0,MIN(G238,SUMIFS($G$2:G238,$B$2:B238,B238,$F$2:F238,"Masuk")-SUMIFS($G$2:G238,$B$2:B238,B238,$F$2:F238,"Keluar"))),"")</f>
        <v/>
      </c>
      <c r="L238" s="4" t="str">
        <f aca="false">IF(F238="Masuk",K238*H238,"")</f>
        <v/>
      </c>
    </row>
    <row r="239" customFormat="false" ht="15" hidden="false" customHeight="false" outlineLevel="0" collapsed="false">
      <c r="A239" s="2" t="s">
        <v>95</v>
      </c>
      <c r="B239" s="3" t="s">
        <v>155</v>
      </c>
      <c r="C239" s="3" t="s">
        <v>156</v>
      </c>
      <c r="D239" s="3" t="s">
        <v>157</v>
      </c>
      <c r="E239" s="3" t="s">
        <v>138</v>
      </c>
      <c r="F239" s="3" t="s">
        <v>14</v>
      </c>
      <c r="G239" s="3" t="n">
        <v>147</v>
      </c>
      <c r="H239" s="3" t="n">
        <v>13472</v>
      </c>
      <c r="I239" s="3" t="s">
        <v>15</v>
      </c>
      <c r="J239" s="3" t="n">
        <f aca="false">SUMIFS($G$2:G239,$B$2:B239,B239,$F$2:F239,"Masuk")-SUMIFS($G$2:G239,$B$2:B239,B239,$F$2:F239,"Keluar")</f>
        <v>491</v>
      </c>
      <c r="K239" s="3" t="n">
        <f aca="false">IF(F239="Masuk",MAX(0,MIN(G239,SUMIFS($G$2:G239,$B$2:B239,B239,$F$2:F239,"Masuk")-SUMIFS($G$2:G239,$B$2:B239,B239,$F$2:F239,"Keluar"))),"")</f>
        <v>147</v>
      </c>
      <c r="L239" s="4" t="n">
        <f aca="false">IF(F239="Masuk",K239*H239,"")</f>
        <v>1980384</v>
      </c>
    </row>
    <row r="240" customFormat="false" ht="15" hidden="false" customHeight="false" outlineLevel="0" collapsed="false">
      <c r="A240" s="2" t="s">
        <v>172</v>
      </c>
      <c r="B240" s="3" t="s">
        <v>155</v>
      </c>
      <c r="C240" s="3" t="s">
        <v>156</v>
      </c>
      <c r="D240" s="3" t="s">
        <v>157</v>
      </c>
      <c r="E240" s="3" t="s">
        <v>138</v>
      </c>
      <c r="F240" s="3" t="s">
        <v>14</v>
      </c>
      <c r="G240" s="3" t="n">
        <v>115</v>
      </c>
      <c r="H240" s="3" t="n">
        <v>12990</v>
      </c>
      <c r="I240" s="3" t="s">
        <v>15</v>
      </c>
      <c r="J240" s="3" t="n">
        <f aca="false">SUMIFS($G$2:G240,$B$2:B240,B240,$F$2:F240,"Masuk")-SUMIFS($G$2:G240,$B$2:B240,B240,$F$2:F240,"Keluar")</f>
        <v>606</v>
      </c>
      <c r="K240" s="3" t="n">
        <f aca="false">IF(F240="Masuk",MAX(0,MIN(G240,SUMIFS($G$2:G240,$B$2:B240,B240,$F$2:F240,"Masuk")-SUMIFS($G$2:G240,$B$2:B240,B240,$F$2:F240,"Keluar"))),"")</f>
        <v>115</v>
      </c>
      <c r="L240" s="4" t="n">
        <f aca="false">IF(F240="Masuk",K240*H240,"")</f>
        <v>1493850</v>
      </c>
    </row>
  </sheetData>
  <autoFilter ref="A1:L2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4" min="3" style="0" width="38"/>
    <col collapsed="false" customWidth="true" hidden="false" outlineLevel="0" max="5" min="5" style="0" width="19"/>
    <col collapsed="false" customWidth="true" hidden="false" outlineLevel="0" max="6" min="6" style="0" width="38"/>
  </cols>
  <sheetData>
    <row r="1" customFormat="false" ht="16.15" hidden="false" customHeight="false" outlineLevel="0" collapsed="false">
      <c r="A1" s="9" t="s">
        <v>179</v>
      </c>
    </row>
    <row r="2" customFormat="false" ht="15" hidden="false" customHeight="false" outlineLevel="0" collapsed="false">
      <c r="A2" s="8" t="s">
        <v>180</v>
      </c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181</v>
      </c>
      <c r="D4" s="1" t="s">
        <v>182</v>
      </c>
      <c r="E4" s="1" t="s">
        <v>183</v>
      </c>
      <c r="F4" s="1" t="s">
        <v>184</v>
      </c>
    </row>
    <row r="5" customFormat="false" ht="15" hidden="false" customHeight="false" outlineLevel="0" collapsed="false">
      <c r="A5" s="3" t="s">
        <v>10</v>
      </c>
      <c r="B5" s="3" t="s">
        <v>11</v>
      </c>
      <c r="C5" s="3" t="n">
        <f aca="false">SUMIFS(Kunci_Jawaban!G:G,Kunci_Jawaban!B:B,A5,Kunci_Jawaban!F:F,"Masuk")</f>
        <v>1821</v>
      </c>
      <c r="D5" s="3" t="n">
        <f aca="false">SUMIFS(Kunci_Jawaban!G:G,Kunci_Jawaban!B:B,A5,Kunci_Jawaban!F:F,"Keluar")</f>
        <v>1713</v>
      </c>
      <c r="E5" s="3" t="n">
        <f aca="false">C5-D5</f>
        <v>108</v>
      </c>
      <c r="F5" s="4" t="n">
        <f aca="false">SUMIF(Kunci_Jawaban!B:B,A5,Kunci_Jawaban!L:L)</f>
        <v>33898012</v>
      </c>
    </row>
    <row r="6" customFormat="false" ht="15" hidden="false" customHeight="false" outlineLevel="0" collapsed="false">
      <c r="A6" s="3" t="s">
        <v>62</v>
      </c>
      <c r="B6" s="3" t="s">
        <v>63</v>
      </c>
      <c r="C6" s="3" t="n">
        <f aca="false">SUMIFS(Kunci_Jawaban!G:G,Kunci_Jawaban!B:B,A6,Kunci_Jawaban!F:F,"Masuk")</f>
        <v>2757</v>
      </c>
      <c r="D6" s="3" t="n">
        <f aca="false">SUMIFS(Kunci_Jawaban!G:G,Kunci_Jawaban!B:B,A6,Kunci_Jawaban!F:F,"Keluar")</f>
        <v>1663</v>
      </c>
      <c r="E6" s="3" t="n">
        <f aca="false">C6-D6</f>
        <v>1094</v>
      </c>
      <c r="F6" s="4" t="n">
        <f aca="false">SUMIF(Kunci_Jawaban!B:B,A6,Kunci_Jawaban!L:L)</f>
        <v>70652695</v>
      </c>
    </row>
    <row r="7" customFormat="false" ht="15" hidden="false" customHeight="false" outlineLevel="0" collapsed="false">
      <c r="A7" s="3" t="s">
        <v>101</v>
      </c>
      <c r="B7" s="3" t="s">
        <v>102</v>
      </c>
      <c r="C7" s="3" t="n">
        <f aca="false">SUMIFS(Kunci_Jawaban!G:G,Kunci_Jawaban!B:B,A7,Kunci_Jawaban!F:F,"Masuk")</f>
        <v>3076</v>
      </c>
      <c r="D7" s="3" t="n">
        <f aca="false">SUMIFS(Kunci_Jawaban!G:G,Kunci_Jawaban!B:B,A7,Kunci_Jawaban!F:F,"Keluar")</f>
        <v>1369</v>
      </c>
      <c r="E7" s="3" t="n">
        <f aca="false">C7-D7</f>
        <v>1707</v>
      </c>
      <c r="F7" s="4" t="n">
        <f aca="false">SUMIF(Kunci_Jawaban!B:B,A7,Kunci_Jawaban!L:L)</f>
        <v>78567456</v>
      </c>
    </row>
    <row r="8" customFormat="false" ht="15" hidden="false" customHeight="false" outlineLevel="0" collapsed="false">
      <c r="A8" s="3" t="s">
        <v>135</v>
      </c>
      <c r="B8" s="3" t="s">
        <v>136</v>
      </c>
      <c r="C8" s="3" t="n">
        <f aca="false">SUMIFS(Kunci_Jawaban!G:G,Kunci_Jawaban!B:B,A8,Kunci_Jawaban!F:F,"Masuk")</f>
        <v>2129</v>
      </c>
      <c r="D8" s="3" t="n">
        <f aca="false">SUMIFS(Kunci_Jawaban!G:G,Kunci_Jawaban!B:B,A8,Kunci_Jawaban!F:F,"Keluar")</f>
        <v>1545</v>
      </c>
      <c r="E8" s="3" t="n">
        <f aca="false">C8-D8</f>
        <v>584</v>
      </c>
      <c r="F8" s="4" t="n">
        <f aca="false">SUMIF(Kunci_Jawaban!B:B,A8,Kunci_Jawaban!L:L)</f>
        <v>38992846</v>
      </c>
    </row>
    <row r="9" customFormat="false" ht="15" hidden="false" customHeight="false" outlineLevel="0" collapsed="false">
      <c r="A9" s="3" t="s">
        <v>155</v>
      </c>
      <c r="B9" s="3" t="s">
        <v>156</v>
      </c>
      <c r="C9" s="3" t="n">
        <f aca="false">SUMIFS(Kunci_Jawaban!G:G,Kunci_Jawaban!B:B,A9,Kunci_Jawaban!F:F,"Masuk")</f>
        <v>2271</v>
      </c>
      <c r="D9" s="3" t="n">
        <f aca="false">SUMIFS(Kunci_Jawaban!G:G,Kunci_Jawaban!B:B,A9,Kunci_Jawaban!F:F,"Keluar")</f>
        <v>1665</v>
      </c>
      <c r="E9" s="3" t="n">
        <f aca="false">C9-D9</f>
        <v>606</v>
      </c>
      <c r="F9" s="4" t="n">
        <f aca="false">SUMIF(Kunci_Jawaban!B:B,A9,Kunci_Jawaban!L:L)</f>
        <v>28830744</v>
      </c>
    </row>
    <row r="10" customFormat="false" ht="15" hidden="false" customHeight="false" outlineLevel="0" collapsed="false">
      <c r="B10" s="10" t="s">
        <v>185</v>
      </c>
      <c r="F10" s="11" t="n">
        <f aca="false">SUM(F5:F9)</f>
        <v>250941753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2" t="s">
        <v>186</v>
      </c>
      <c r="B1" s="12" t="s">
        <v>187</v>
      </c>
      <c r="C1" s="12" t="s">
        <v>188</v>
      </c>
    </row>
    <row r="2" customFormat="false" ht="46.25" hidden="false" customHeight="false" outlineLevel="0" collapsed="false">
      <c r="A2" s="13" t="s">
        <v>189</v>
      </c>
      <c r="B2" s="13" t="s">
        <v>190</v>
      </c>
      <c r="C2" s="13" t="s">
        <v>191</v>
      </c>
    </row>
    <row r="3" customFormat="false" ht="23.85" hidden="false" customHeight="false" outlineLevel="0" collapsed="false">
      <c r="A3" s="13" t="s">
        <v>192</v>
      </c>
      <c r="B3" s="13" t="s">
        <v>193</v>
      </c>
      <c r="C3" s="13" t="s">
        <v>194</v>
      </c>
    </row>
    <row r="4" customFormat="false" ht="35.05" hidden="false" customHeight="false" outlineLevel="0" collapsed="false">
      <c r="A4" s="13" t="s">
        <v>195</v>
      </c>
      <c r="B4" s="13" t="s">
        <v>196</v>
      </c>
      <c r="C4" s="13" t="s">
        <v>197</v>
      </c>
    </row>
    <row r="5" customFormat="false" ht="23.85" hidden="false" customHeight="false" outlineLevel="0" collapsed="false">
      <c r="A5" s="13" t="s">
        <v>198</v>
      </c>
      <c r="B5" s="13" t="s">
        <v>199</v>
      </c>
      <c r="C5" s="13" t="s">
        <v>200</v>
      </c>
    </row>
    <row r="6" customFormat="false" ht="35.05" hidden="false" customHeight="false" outlineLevel="0" collapsed="false">
      <c r="A6" s="13" t="s">
        <v>201</v>
      </c>
      <c r="B6" s="13" t="s">
        <v>202</v>
      </c>
      <c r="C6" s="13" t="s">
        <v>203</v>
      </c>
    </row>
    <row r="7" customFormat="false" ht="15" hidden="false" customHeight="false" outlineLevel="0" collapsed="false">
      <c r="A7" s="13"/>
      <c r="B7" s="13"/>
      <c r="C7" s="13"/>
    </row>
    <row r="8" customFormat="false" ht="46.25" hidden="false" customHeight="false" outlineLevel="0" collapsed="false">
      <c r="A8" s="13" t="s">
        <v>204</v>
      </c>
      <c r="B8" s="13" t="s">
        <v>205</v>
      </c>
      <c r="C8" s="13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5" min="4" style="0" width="38"/>
    <col collapsed="false" customWidth="true" hidden="false" outlineLevel="0" max="6" min="6" style="0" width="35"/>
  </cols>
  <sheetData>
    <row r="1" customFormat="false" ht="16.15" hidden="false" customHeight="false" outlineLevel="0" collapsed="false">
      <c r="A1" s="9" t="s">
        <v>207</v>
      </c>
    </row>
    <row r="2" customFormat="false" ht="15" hidden="false" customHeight="false" outlineLevel="0" collapsed="false">
      <c r="A2" s="8" t="s">
        <v>208</v>
      </c>
    </row>
    <row r="4" customFormat="false" ht="15" hidden="false" customHeight="false" outlineLevel="0" collapsed="false">
      <c r="A4" s="14" t="s">
        <v>209</v>
      </c>
    </row>
    <row r="5" customFormat="false" ht="15" hidden="false" customHeight="false" outlineLevel="0" collapsed="false">
      <c r="A5" s="1" t="s">
        <v>1</v>
      </c>
      <c r="B5" s="1" t="s">
        <v>2</v>
      </c>
      <c r="C5" s="1" t="s">
        <v>210</v>
      </c>
    </row>
    <row r="6" customFormat="false" ht="15" hidden="false" customHeight="false" outlineLevel="0" collapsed="false">
      <c r="A6" s="3" t="s">
        <v>10</v>
      </c>
      <c r="B6" s="3" t="s">
        <v>11</v>
      </c>
      <c r="C6" s="3" t="n">
        <v>100</v>
      </c>
    </row>
    <row r="7" customFormat="false" ht="15" hidden="false" customHeight="false" outlineLevel="0" collapsed="false">
      <c r="A7" s="3" t="s">
        <v>62</v>
      </c>
      <c r="B7" s="3" t="s">
        <v>63</v>
      </c>
      <c r="C7" s="3" t="n">
        <v>100</v>
      </c>
    </row>
    <row r="8" customFormat="false" ht="15" hidden="false" customHeight="false" outlineLevel="0" collapsed="false">
      <c r="A8" s="3" t="s">
        <v>101</v>
      </c>
      <c r="B8" s="3" t="s">
        <v>102</v>
      </c>
      <c r="C8" s="3" t="n">
        <v>80</v>
      </c>
    </row>
    <row r="9" customFormat="false" ht="15" hidden="false" customHeight="false" outlineLevel="0" collapsed="false">
      <c r="A9" s="3" t="s">
        <v>135</v>
      </c>
      <c r="B9" s="3" t="s">
        <v>136</v>
      </c>
      <c r="C9" s="3" t="n">
        <v>80</v>
      </c>
    </row>
    <row r="10" customFormat="false" ht="15" hidden="false" customHeight="false" outlineLevel="0" collapsed="false">
      <c r="A10" s="3" t="s">
        <v>155</v>
      </c>
      <c r="B10" s="3" t="s">
        <v>156</v>
      </c>
      <c r="C10" s="3" t="n">
        <v>80</v>
      </c>
    </row>
    <row r="13" customFormat="false" ht="15" hidden="false" customHeight="false" outlineLevel="0" collapsed="false">
      <c r="A13" s="14" t="s">
        <v>211</v>
      </c>
    </row>
    <row r="14" customFormat="false" ht="15" hidden="false" customHeight="false" outlineLevel="0" collapsed="false">
      <c r="A14" s="12" t="s">
        <v>212</v>
      </c>
      <c r="B14" s="12" t="s">
        <v>213</v>
      </c>
      <c r="C14" s="12" t="s">
        <v>214</v>
      </c>
      <c r="D14" s="12" t="s">
        <v>215</v>
      </c>
    </row>
    <row r="15" customFormat="false" ht="15" hidden="false" customHeight="false" outlineLevel="0" collapsed="false">
      <c r="A15" s="15" t="s">
        <v>216</v>
      </c>
      <c r="B15" s="15" t="s">
        <v>217</v>
      </c>
      <c r="C15" s="15" t="s">
        <v>218</v>
      </c>
      <c r="D15" s="15" t="s">
        <v>219</v>
      </c>
    </row>
    <row r="18" customFormat="false" ht="15" hidden="false" customHeight="false" outlineLevel="0" collapsed="false">
      <c r="A18" s="14" t="s">
        <v>220</v>
      </c>
    </row>
    <row r="19" customFormat="false" ht="15" hidden="false" customHeight="false" outlineLevel="0" collapsed="false">
      <c r="A19" s="1" t="s">
        <v>1</v>
      </c>
      <c r="B19" s="1" t="s">
        <v>183</v>
      </c>
      <c r="C19" s="1" t="s">
        <v>221</v>
      </c>
      <c r="D19" s="1" t="s">
        <v>222</v>
      </c>
      <c r="E19" s="1" t="s">
        <v>223</v>
      </c>
      <c r="F19" s="1" t="s">
        <v>224</v>
      </c>
    </row>
    <row r="20" customFormat="false" ht="15" hidden="false" customHeight="false" outlineLevel="0" collapsed="false">
      <c r="A20" s="0" t="str">
        <f aca="false">Rekap_Ringkasan!A6</f>
        <v>BB-002</v>
      </c>
      <c r="B20" s="0" t="n">
        <f aca="false">Rekap_Ringkasan!E6</f>
        <v>1094</v>
      </c>
      <c r="C20" s="16" t="str">
        <f aca="false">VLOOKUP(A20,$A$6:$C$10,2,FALSE())</f>
        <v>Resin Polimer</v>
      </c>
      <c r="D20" s="16" t="n">
        <f aca="false">INDEX($C$6:$C$10,MATCH(A20,$A$6:$A$10,0))</f>
        <v>100</v>
      </c>
      <c r="E20" s="16" t="str">
        <f aca="false">IF(B20&lt;D20,"Kritis",IF(B20&lt;D20*1.5,"Waspada","Aman"))</f>
        <v>Aman</v>
      </c>
      <c r="F20" s="16" t="str">
        <f aca="false">HLOOKUP(E20,$B$14:$D$15,2,FALSE())</f>
        <v>Tidak Perlu Aksi</v>
      </c>
    </row>
    <row r="21" customFormat="false" ht="15" hidden="false" customHeight="false" outlineLevel="0" collapsed="false">
      <c r="A21" s="0" t="str">
        <f aca="false">Rekap_Ringkasan!A7</f>
        <v>CH-001</v>
      </c>
      <c r="B21" s="0" t="n">
        <f aca="false">Rekap_Ringkasan!E7</f>
        <v>1707</v>
      </c>
      <c r="C21" s="16"/>
      <c r="D21" s="16"/>
      <c r="E21" s="16"/>
      <c r="F21" s="16"/>
    </row>
    <row r="22" customFormat="false" ht="15" hidden="false" customHeight="false" outlineLevel="0" collapsed="false">
      <c r="A22" s="0" t="str">
        <f aca="false">Rekap_Ringkasan!A8</f>
        <v>KM-001</v>
      </c>
      <c r="B22" s="0" t="n">
        <f aca="false">Rekap_Ringkasan!E8</f>
        <v>584</v>
      </c>
      <c r="C22" s="16"/>
      <c r="D22" s="16"/>
      <c r="E22" s="16"/>
      <c r="F22" s="16"/>
    </row>
    <row r="23" customFormat="false" ht="15" hidden="false" customHeight="false" outlineLevel="0" collapsed="false">
      <c r="A23" s="0" t="str">
        <f aca="false">Rekap_Ringkasan!A9</f>
        <v>SP-001</v>
      </c>
      <c r="B23" s="0" t="n">
        <f aca="false">Rekap_Ringkasan!E9</f>
        <v>606</v>
      </c>
      <c r="C23" s="16"/>
      <c r="D23" s="16"/>
      <c r="E23" s="16"/>
      <c r="F23" s="16"/>
    </row>
    <row r="24" customFormat="false" ht="15" hidden="false" customHeight="false" outlineLevel="0" collapsed="false">
      <c r="A24" s="0" t="n">
        <f aca="false">Rekap_Ringkasan!A10</f>
        <v>0</v>
      </c>
      <c r="B24" s="0" t="n">
        <f aca="false">Rekap_Ringkasan!E10</f>
        <v>0</v>
      </c>
      <c r="C24" s="16"/>
      <c r="D24" s="16"/>
      <c r="E24" s="16"/>
      <c r="F24" s="16"/>
    </row>
    <row r="27" customFormat="false" ht="45" hidden="false" customHeight="true" outlineLevel="0" collapsed="false">
      <c r="A27" s="17" t="s">
        <v>225</v>
      </c>
      <c r="B27" s="17"/>
      <c r="C27" s="17"/>
      <c r="D27" s="17"/>
      <c r="E27" s="17"/>
      <c r="F27" s="17"/>
    </row>
  </sheetData>
  <mergeCells count="1"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2026-08-17T07:04:33Z</dcterms:created>
  <dc:creator>openpyxl</dc:creator>
  <dc:description/>
  <dc:language>en-US</dc:language>
  <cp:lastModifiedBy/>
  <dcterms:modified xsi:type="dcterms:W3CDTF">2026-08-17T07:04:34Z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