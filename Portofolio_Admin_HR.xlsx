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Mentah" sheetId="1" state="visible" r:id="rId3"/>
    <sheet name="Latihan_Isi_Sendiri" sheetId="2" state="visible" r:id="rId4"/>
    <sheet name="Kunci_Jawaban" sheetId="3" state="visible" r:id="rId5"/>
    <sheet name="Rekap_Ringkasan" sheetId="4" state="visible" r:id="rId6"/>
    <sheet name="Panduan_Rumus" sheetId="5" state="visible" r:id="rId7"/>
    <sheet name="Latihan_Lookup" sheetId="6" state="visible" r:id="rId8"/>
  </sheets>
  <definedNames>
    <definedName function="false" hidden="true" localSheetId="0" name="_xlnm._FilterDatabase" vbProcedure="false">Data_Mentah!$A$1:$O$221</definedName>
    <definedName function="false" hidden="true" localSheetId="2" name="_xlnm._FilterDatabase" vbProcedure="false">Kunci_Jawaban!$A$1:$V$221</definedName>
    <definedName function="false" hidden="true" localSheetId="1" name="_xlnm._FilterDatabase" vbProcedure="false">Latihan_Isi_Sendiri!$A$1:$V$221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<sst xmlns="http://schemas.openxmlformats.org/spreadsheetml/2006/main" count="4111" uniqueCount="738">
  <si>
    <t xml:space="preserve">NIK</t>
  </si>
  <si>
    <t xml:space="preserve">Nama Karyawan</t>
  </si>
  <si>
    <t xml:space="preserve">Departemen</t>
  </si>
  <si>
    <t xml:space="preserve">Jabatan</t>
  </si>
  <si>
    <t xml:space="preserve">Tanggal Masuk</t>
  </si>
  <si>
    <t xml:space="preserve">Status Karyawan</t>
  </si>
  <si>
    <t xml:space="preserve">Gaji Pokok</t>
  </si>
  <si>
    <t xml:space="preserve">Tunjangan Transport</t>
  </si>
  <si>
    <t xml:space="preserve">Tunjangan Makan</t>
  </si>
  <si>
    <t xml:space="preserve">Jml Hadir (hari)</t>
  </si>
  <si>
    <t xml:space="preserve">Jml Izin (hari)</t>
  </si>
  <si>
    <t xml:space="preserve">Jml Sakit (hari)</t>
  </si>
  <si>
    <t xml:space="preserve">Jml Alpha (hari)</t>
  </si>
  <si>
    <t xml:space="preserve">Potongan BPJS Kesehatan</t>
  </si>
  <si>
    <t xml:space="preserve">Potongan BPJS TK</t>
  </si>
  <si>
    <t xml:space="preserve">EMP1001</t>
  </si>
  <si>
    <t xml:space="preserve">Ayu Santoso</t>
  </si>
  <si>
    <t xml:space="preserve">Finance</t>
  </si>
  <si>
    <t xml:space="preserve">Staff Finance</t>
  </si>
  <si>
    <t xml:space="preserve">2020-07-03</t>
  </si>
  <si>
    <t xml:space="preserve">Kontrak</t>
  </si>
  <si>
    <t xml:space="preserve">EMP1002</t>
  </si>
  <si>
    <t xml:space="preserve">Ahmad Santoso</t>
  </si>
  <si>
    <t xml:space="preserve">Quality Control</t>
  </si>
  <si>
    <t xml:space="preserve">Staff QC</t>
  </si>
  <si>
    <t xml:space="preserve">2020-08-10</t>
  </si>
  <si>
    <t xml:space="preserve">Tetap</t>
  </si>
  <si>
    <t xml:space="preserve">EMP1003</t>
  </si>
  <si>
    <t xml:space="preserve">Arif Lubis</t>
  </si>
  <si>
    <t xml:space="preserve">2019-10-16</t>
  </si>
  <si>
    <t xml:space="preserve">EMP1004</t>
  </si>
  <si>
    <t xml:space="preserve">Rina Handayani</t>
  </si>
  <si>
    <t xml:space="preserve">Inspector QC</t>
  </si>
  <si>
    <t xml:space="preserve">2021-11-09</t>
  </si>
  <si>
    <t xml:space="preserve">EMP1005</t>
  </si>
  <si>
    <t xml:space="preserve">Rina Simanjuntak</t>
  </si>
  <si>
    <t xml:space="preserve">Akuntan</t>
  </si>
  <si>
    <t xml:space="preserve">2024-12-08</t>
  </si>
  <si>
    <t xml:space="preserve">EMP1006</t>
  </si>
  <si>
    <t xml:space="preserve">Dedi Hidayat</t>
  </si>
  <si>
    <t xml:space="preserve">2019-02-18</t>
  </si>
  <si>
    <t xml:space="preserve">EMP1007</t>
  </si>
  <si>
    <t xml:space="preserve">Yuni Wardani</t>
  </si>
  <si>
    <t xml:space="preserve">Supervisor QC</t>
  </si>
  <si>
    <t xml:space="preserve">2019-12-02</t>
  </si>
  <si>
    <t xml:space="preserve">EMP1008</t>
  </si>
  <si>
    <t xml:space="preserve">Taufik Wijaya</t>
  </si>
  <si>
    <t xml:space="preserve">HRD</t>
  </si>
  <si>
    <t xml:space="preserve">Staff HR</t>
  </si>
  <si>
    <t xml:space="preserve">2021-07-16</t>
  </si>
  <si>
    <t xml:space="preserve">EMP1009</t>
  </si>
  <si>
    <t xml:space="preserve">Anisa Handayani</t>
  </si>
  <si>
    <t xml:space="preserve">Marketing</t>
  </si>
  <si>
    <t xml:space="preserve">Staff Marketing</t>
  </si>
  <si>
    <t xml:space="preserve">2020-12-20</t>
  </si>
  <si>
    <t xml:space="preserve">EMP1010</t>
  </si>
  <si>
    <t xml:space="preserve">Maya Nugroho</t>
  </si>
  <si>
    <t xml:space="preserve">Gudang</t>
  </si>
  <si>
    <t xml:space="preserve">Kepala Gudang</t>
  </si>
  <si>
    <t xml:space="preserve">2023-07-15</t>
  </si>
  <si>
    <t xml:space="preserve">EMP1011</t>
  </si>
  <si>
    <t xml:space="preserve">Rahmat Pratama</t>
  </si>
  <si>
    <t xml:space="preserve">Maintenance</t>
  </si>
  <si>
    <t xml:space="preserve">Staff Maintenance</t>
  </si>
  <si>
    <t xml:space="preserve">2024-09-06</t>
  </si>
  <si>
    <t xml:space="preserve">Probation</t>
  </si>
  <si>
    <t xml:space="preserve">EMP1012</t>
  </si>
  <si>
    <t xml:space="preserve">Yudi Wardani</t>
  </si>
  <si>
    <t xml:space="preserve">Purchasing</t>
  </si>
  <si>
    <t xml:space="preserve">Staff Purchasing</t>
  </si>
  <si>
    <t xml:space="preserve">2021-04-17</t>
  </si>
  <si>
    <t xml:space="preserve">EMP1013</t>
  </si>
  <si>
    <t xml:space="preserve">Rudi Kurniawan</t>
  </si>
  <si>
    <t xml:space="preserve">2023-09-11</t>
  </si>
  <si>
    <t xml:space="preserve">EMP1014</t>
  </si>
  <si>
    <t xml:space="preserve">Anisa Santoso</t>
  </si>
  <si>
    <t xml:space="preserve">2021-06-13</t>
  </si>
  <si>
    <t xml:space="preserve">EMP1015</t>
  </si>
  <si>
    <t xml:space="preserve">Yudi Saputra</t>
  </si>
  <si>
    <t xml:space="preserve">2023-05-01</t>
  </si>
  <si>
    <t xml:space="preserve">EMP1016</t>
  </si>
  <si>
    <t xml:space="preserve">Yudi Rahayu</t>
  </si>
  <si>
    <t xml:space="preserve">Kasir</t>
  </si>
  <si>
    <t xml:space="preserve">2022-03-10</t>
  </si>
  <si>
    <t xml:space="preserve">EMP1017</t>
  </si>
  <si>
    <t xml:space="preserve">Sari Santoso</t>
  </si>
  <si>
    <t xml:space="preserve">IT</t>
  </si>
  <si>
    <t xml:space="preserve">Staff IT</t>
  </si>
  <si>
    <t xml:space="preserve">2024-08-07</t>
  </si>
  <si>
    <t xml:space="preserve">EMP1018</t>
  </si>
  <si>
    <t xml:space="preserve">Ahmad Susanti</t>
  </si>
  <si>
    <t xml:space="preserve">2020-09-01</t>
  </si>
  <si>
    <t xml:space="preserve">EMP1019</t>
  </si>
  <si>
    <t xml:space="preserve">Wahyu Gunawan</t>
  </si>
  <si>
    <t xml:space="preserve">2019-02-02</t>
  </si>
  <si>
    <t xml:space="preserve">EMP1020</t>
  </si>
  <si>
    <t xml:space="preserve">Dewi Handayani</t>
  </si>
  <si>
    <t xml:space="preserve">2020-10-15</t>
  </si>
  <si>
    <t xml:space="preserve">EMP1021</t>
  </si>
  <si>
    <t xml:space="preserve">Novi Nugroho</t>
  </si>
  <si>
    <t xml:space="preserve">2024-03-04</t>
  </si>
  <si>
    <t xml:space="preserve">EMP1022</t>
  </si>
  <si>
    <t xml:space="preserve">Deni Yulianti</t>
  </si>
  <si>
    <t xml:space="preserve">2022-07-01</t>
  </si>
  <si>
    <t xml:space="preserve">EMP1023</t>
  </si>
  <si>
    <t xml:space="preserve">Fajar Gunawan</t>
  </si>
  <si>
    <t xml:space="preserve">IT Support</t>
  </si>
  <si>
    <t xml:space="preserve">2019-09-27</t>
  </si>
  <si>
    <t xml:space="preserve">EMP1024</t>
  </si>
  <si>
    <t xml:space="preserve">Dewi Wijaya</t>
  </si>
  <si>
    <t xml:space="preserve">2018-08-21</t>
  </si>
  <si>
    <t xml:space="preserve">EMP1025</t>
  </si>
  <si>
    <t xml:space="preserve">Ratna Kurniawan</t>
  </si>
  <si>
    <t xml:space="preserve">HR Generalist</t>
  </si>
  <si>
    <t xml:space="preserve">2024-09-01</t>
  </si>
  <si>
    <t xml:space="preserve">EMP1026</t>
  </si>
  <si>
    <t xml:space="preserve">Yuni Susanti</t>
  </si>
  <si>
    <t xml:space="preserve">Recruiter</t>
  </si>
  <si>
    <t xml:space="preserve">2022-06-10</t>
  </si>
  <si>
    <t xml:space="preserve">EMP1027</t>
  </si>
  <si>
    <t xml:space="preserve">Novi Ramadhan</t>
  </si>
  <si>
    <t xml:space="preserve">2024-01-12</t>
  </si>
  <si>
    <t xml:space="preserve">EMP1028</t>
  </si>
  <si>
    <t xml:space="preserve">Fajar Setiawan</t>
  </si>
  <si>
    <t xml:space="preserve">Sales Executive</t>
  </si>
  <si>
    <t xml:space="preserve">2024-11-10</t>
  </si>
  <si>
    <t xml:space="preserve">EMP1029</t>
  </si>
  <si>
    <t xml:space="preserve">Rizky Wardani</t>
  </si>
  <si>
    <t xml:space="preserve">2024-03-16</t>
  </si>
  <si>
    <t xml:space="preserve">EMP1030</t>
  </si>
  <si>
    <t xml:space="preserve">Bayu Sitorus</t>
  </si>
  <si>
    <t xml:space="preserve">2018-07-28</t>
  </si>
  <si>
    <t xml:space="preserve">EMP1031</t>
  </si>
  <si>
    <t xml:space="preserve">Bayu Setiawan</t>
  </si>
  <si>
    <t xml:space="preserve">2024-04-16</t>
  </si>
  <si>
    <t xml:space="preserve">EMP1032</t>
  </si>
  <si>
    <t xml:space="preserve">Diah Simanjuntak</t>
  </si>
  <si>
    <t xml:space="preserve">Admin Gudang</t>
  </si>
  <si>
    <t xml:space="preserve">2019-06-07</t>
  </si>
  <si>
    <t xml:space="preserve">EMP1033</t>
  </si>
  <si>
    <t xml:space="preserve">Irfan Simanjuntak</t>
  </si>
  <si>
    <t xml:space="preserve">Teknisi</t>
  </si>
  <si>
    <t xml:space="preserve">2020-08-27</t>
  </si>
  <si>
    <t xml:space="preserve">EMP1034</t>
  </si>
  <si>
    <t xml:space="preserve">Lestari Wardani</t>
  </si>
  <si>
    <t xml:space="preserve">2019-03-19</t>
  </si>
  <si>
    <t xml:space="preserve">EMP1035</t>
  </si>
  <si>
    <t xml:space="preserve">Indah Nugroho</t>
  </si>
  <si>
    <t xml:space="preserve">2020-03-02</t>
  </si>
  <si>
    <t xml:space="preserve">EMP1036</t>
  </si>
  <si>
    <t xml:space="preserve">Siti Kurniawan</t>
  </si>
  <si>
    <t xml:space="preserve">2024-07-06</t>
  </si>
  <si>
    <t xml:space="preserve">EMP1037</t>
  </si>
  <si>
    <t xml:space="preserve">Taufik Gunawan</t>
  </si>
  <si>
    <t xml:space="preserve">2022-04-27</t>
  </si>
  <si>
    <t xml:space="preserve">EMP1038</t>
  </si>
  <si>
    <t xml:space="preserve">Melati Simanjuntak</t>
  </si>
  <si>
    <t xml:space="preserve">2022-11-02</t>
  </si>
  <si>
    <t xml:space="preserve">EMP1039</t>
  </si>
  <si>
    <t xml:space="preserve">Rudi Hidayat</t>
  </si>
  <si>
    <t xml:space="preserve">2022-07-07</t>
  </si>
  <si>
    <t xml:space="preserve">EMP1040</t>
  </si>
  <si>
    <t xml:space="preserve">Sinta Lubis</t>
  </si>
  <si>
    <t xml:space="preserve">2024-02-23</t>
  </si>
  <si>
    <t xml:space="preserve">EMP1041</t>
  </si>
  <si>
    <t xml:space="preserve">Arif Purnama</t>
  </si>
  <si>
    <t xml:space="preserve">2023-04-23</t>
  </si>
  <si>
    <t xml:space="preserve">EMP1042</t>
  </si>
  <si>
    <t xml:space="preserve">Lestari Hidayat</t>
  </si>
  <si>
    <t xml:space="preserve">2019-08-27</t>
  </si>
  <si>
    <t xml:space="preserve">EMP1043</t>
  </si>
  <si>
    <t xml:space="preserve">Deni Lubis</t>
  </si>
  <si>
    <t xml:space="preserve">2022-04-22</t>
  </si>
  <si>
    <t xml:space="preserve">EMP1044</t>
  </si>
  <si>
    <t xml:space="preserve">Putri Nugroho</t>
  </si>
  <si>
    <t xml:space="preserve">2023-10-23</t>
  </si>
  <si>
    <t xml:space="preserve">EMP1045</t>
  </si>
  <si>
    <t xml:space="preserve">Buyer</t>
  </si>
  <si>
    <t xml:space="preserve">2024-11-14</t>
  </si>
  <si>
    <t xml:space="preserve">EMP1046</t>
  </si>
  <si>
    <t xml:space="preserve">Arif Wardani</t>
  </si>
  <si>
    <t xml:space="preserve">2021-02-09</t>
  </si>
  <si>
    <t xml:space="preserve">EMP1047</t>
  </si>
  <si>
    <t xml:space="preserve">Andi Hidayat</t>
  </si>
  <si>
    <t xml:space="preserve">2021-10-07</t>
  </si>
  <si>
    <t xml:space="preserve">EMP1048</t>
  </si>
  <si>
    <t xml:space="preserve">Fitri Rahayu</t>
  </si>
  <si>
    <t xml:space="preserve">2022-07-28</t>
  </si>
  <si>
    <t xml:space="preserve">EMP1049</t>
  </si>
  <si>
    <t xml:space="preserve">Diah Santoso</t>
  </si>
  <si>
    <t xml:space="preserve">2018-01-25</t>
  </si>
  <si>
    <t xml:space="preserve">EMP1050</t>
  </si>
  <si>
    <t xml:space="preserve">Dedi Wardani</t>
  </si>
  <si>
    <t xml:space="preserve">2018-04-29</t>
  </si>
  <si>
    <t xml:space="preserve">EMP1051</t>
  </si>
  <si>
    <t xml:space="preserve">Sinta Simanjuntak</t>
  </si>
  <si>
    <t xml:space="preserve">Produksi</t>
  </si>
  <si>
    <t xml:space="preserve">Staff Produksi</t>
  </si>
  <si>
    <t xml:space="preserve">2024-08-21</t>
  </si>
  <si>
    <t xml:space="preserve">EMP1052</t>
  </si>
  <si>
    <t xml:space="preserve">Wulan Wijaya</t>
  </si>
  <si>
    <t xml:space="preserve">2021-09-02</t>
  </si>
  <si>
    <t xml:space="preserve">EMP1053</t>
  </si>
  <si>
    <t xml:space="preserve">Rina Yulianti</t>
  </si>
  <si>
    <t xml:space="preserve">Supervisor Produksi</t>
  </si>
  <si>
    <t xml:space="preserve">2024-01-19</t>
  </si>
  <si>
    <t xml:space="preserve">EMP1054</t>
  </si>
  <si>
    <t xml:space="preserve">Lestari Rahayu</t>
  </si>
  <si>
    <t xml:space="preserve">2019-09-17</t>
  </si>
  <si>
    <t xml:space="preserve">EMP1055</t>
  </si>
  <si>
    <t xml:space="preserve">Bayu Firmansyah</t>
  </si>
  <si>
    <t xml:space="preserve">2024-10-23</t>
  </si>
  <si>
    <t xml:space="preserve">EMP1056</t>
  </si>
  <si>
    <t xml:space="preserve">Hadi Handayani</t>
  </si>
  <si>
    <t xml:space="preserve">2018-11-08</t>
  </si>
  <si>
    <t xml:space="preserve">EMP1057</t>
  </si>
  <si>
    <t xml:space="preserve">Hadi Wijaya</t>
  </si>
  <si>
    <t xml:space="preserve">Supervisor Purchasing</t>
  </si>
  <si>
    <t xml:space="preserve">2022-10-21</t>
  </si>
  <si>
    <t xml:space="preserve">EMP1058</t>
  </si>
  <si>
    <t xml:space="preserve">Anisa Kurniawan</t>
  </si>
  <si>
    <t xml:space="preserve">2023-02-27</t>
  </si>
  <si>
    <t xml:space="preserve">EMP1059</t>
  </si>
  <si>
    <t xml:space="preserve">Novi Gunawan</t>
  </si>
  <si>
    <t xml:space="preserve">2020-10-02</t>
  </si>
  <si>
    <t xml:space="preserve">EMP1060</t>
  </si>
  <si>
    <t xml:space="preserve">2020-01-15</t>
  </si>
  <si>
    <t xml:space="preserve">EMP1061</t>
  </si>
  <si>
    <t xml:space="preserve">Melati Rahayu</t>
  </si>
  <si>
    <t xml:space="preserve">2022-07-23</t>
  </si>
  <si>
    <t xml:space="preserve">EMP1062</t>
  </si>
  <si>
    <t xml:space="preserve">Siti Pratama</t>
  </si>
  <si>
    <t xml:space="preserve">2022-07-15</t>
  </si>
  <si>
    <t xml:space="preserve">EMP1063</t>
  </si>
  <si>
    <t xml:space="preserve">Putri Simanjuntak</t>
  </si>
  <si>
    <t xml:space="preserve">2023-02-02</t>
  </si>
  <si>
    <t xml:space="preserve">EMP1064</t>
  </si>
  <si>
    <t xml:space="preserve">Ayu Simanjuntak</t>
  </si>
  <si>
    <t xml:space="preserve">Staff Gudang</t>
  </si>
  <si>
    <t xml:space="preserve">2020-06-05</t>
  </si>
  <si>
    <t xml:space="preserve">EMP1065</t>
  </si>
  <si>
    <t xml:space="preserve">Hendra Hidayat</t>
  </si>
  <si>
    <t xml:space="preserve">2020-01-05</t>
  </si>
  <si>
    <t xml:space="preserve">EMP1066</t>
  </si>
  <si>
    <t xml:space="preserve">Rizky Yulianti</t>
  </si>
  <si>
    <t xml:space="preserve">2024-06-09</t>
  </si>
  <si>
    <t xml:space="preserve">EMP1067</t>
  </si>
  <si>
    <t xml:space="preserve">Wahyu Kurniawan</t>
  </si>
  <si>
    <t xml:space="preserve">2023-07-08</t>
  </si>
  <si>
    <t xml:space="preserve">EMP1068</t>
  </si>
  <si>
    <t xml:space="preserve">Lestari Kurniawan</t>
  </si>
  <si>
    <t xml:space="preserve">2024-10-19</t>
  </si>
  <si>
    <t xml:space="preserve">EMP1069</t>
  </si>
  <si>
    <t xml:space="preserve">Diah Gunawan</t>
  </si>
  <si>
    <t xml:space="preserve">2024-12-18</t>
  </si>
  <si>
    <t xml:space="preserve">EMP1070</t>
  </si>
  <si>
    <t xml:space="preserve">Agus Nugroho</t>
  </si>
  <si>
    <t xml:space="preserve">2018-11-04</t>
  </si>
  <si>
    <t xml:space="preserve">EMP1071</t>
  </si>
  <si>
    <t xml:space="preserve">Ahmad Nugroho</t>
  </si>
  <si>
    <t xml:space="preserve">2021-03-04</t>
  </si>
  <si>
    <t xml:space="preserve">EMP1072</t>
  </si>
  <si>
    <t xml:space="preserve">Putri Kurniawan</t>
  </si>
  <si>
    <t xml:space="preserve">2019-09-03</t>
  </si>
  <si>
    <t xml:space="preserve">EMP1073</t>
  </si>
  <si>
    <t xml:space="preserve">Arif Kurniawan</t>
  </si>
  <si>
    <t xml:space="preserve">EMP1074</t>
  </si>
  <si>
    <t xml:space="preserve">Putri Susanti</t>
  </si>
  <si>
    <t xml:space="preserve">2019-01-10</t>
  </si>
  <si>
    <t xml:space="preserve">EMP1075</t>
  </si>
  <si>
    <t xml:space="preserve">Wahyu Sitorus</t>
  </si>
  <si>
    <t xml:space="preserve">2020-01-14</t>
  </si>
  <si>
    <t xml:space="preserve">EMP1076</t>
  </si>
  <si>
    <t xml:space="preserve">Deni Susanti</t>
  </si>
  <si>
    <t xml:space="preserve">2019-03-05</t>
  </si>
  <si>
    <t xml:space="preserve">EMP1077</t>
  </si>
  <si>
    <t xml:space="preserve">Citra Wijaya</t>
  </si>
  <si>
    <t xml:space="preserve">2021-07-12</t>
  </si>
  <si>
    <t xml:space="preserve">EMP1078</t>
  </si>
  <si>
    <t xml:space="preserve">Deni Wijaya</t>
  </si>
  <si>
    <t xml:space="preserve">2022-01-21</t>
  </si>
  <si>
    <t xml:space="preserve">EMP1079</t>
  </si>
  <si>
    <t xml:space="preserve">Nurul Simanjuntak</t>
  </si>
  <si>
    <t xml:space="preserve">2022-11-30</t>
  </si>
  <si>
    <t xml:space="preserve">EMP1080</t>
  </si>
  <si>
    <t xml:space="preserve">Indah Simanjuntak</t>
  </si>
  <si>
    <t xml:space="preserve">2022-07-30</t>
  </si>
  <si>
    <t xml:space="preserve">EMP1081</t>
  </si>
  <si>
    <t xml:space="preserve">Fajar Sitorus</t>
  </si>
  <si>
    <t xml:space="preserve">2023-05-31</t>
  </si>
  <si>
    <t xml:space="preserve">EMP1082</t>
  </si>
  <si>
    <t xml:space="preserve">Rahmat Sitorus</t>
  </si>
  <si>
    <t xml:space="preserve">2021-02-05</t>
  </si>
  <si>
    <t xml:space="preserve">EMP1083</t>
  </si>
  <si>
    <t xml:space="preserve">Indah Lubis</t>
  </si>
  <si>
    <t xml:space="preserve">2023-01-04</t>
  </si>
  <si>
    <t xml:space="preserve">EMP1084</t>
  </si>
  <si>
    <t xml:space="preserve">Taufik Rahayu</t>
  </si>
  <si>
    <t xml:space="preserve">2022-04-18</t>
  </si>
  <si>
    <t xml:space="preserve">EMP1085</t>
  </si>
  <si>
    <t xml:space="preserve">Eko Saputra</t>
  </si>
  <si>
    <t xml:space="preserve">2019-06-02</t>
  </si>
  <si>
    <t xml:space="preserve">EMP1086</t>
  </si>
  <si>
    <t xml:space="preserve">Fitri Gunawan</t>
  </si>
  <si>
    <t xml:space="preserve">2023-04-08</t>
  </si>
  <si>
    <t xml:space="preserve">EMP1087</t>
  </si>
  <si>
    <t xml:space="preserve">Sari Simanjuntak</t>
  </si>
  <si>
    <t xml:space="preserve">2023-06-22</t>
  </si>
  <si>
    <t xml:space="preserve">EMP1088</t>
  </si>
  <si>
    <t xml:space="preserve">Rina Gunawan</t>
  </si>
  <si>
    <t xml:space="preserve">2019-02-16</t>
  </si>
  <si>
    <t xml:space="preserve">EMP1089</t>
  </si>
  <si>
    <t xml:space="preserve">Irfan Firmansyah</t>
  </si>
  <si>
    <t xml:space="preserve">2020-09-27</t>
  </si>
  <si>
    <t xml:space="preserve">EMP1090</t>
  </si>
  <si>
    <t xml:space="preserve">Anisa Lubis</t>
  </si>
  <si>
    <t xml:space="preserve">2023-03-04</t>
  </si>
  <si>
    <t xml:space="preserve">EMP1091</t>
  </si>
  <si>
    <t xml:space="preserve">Yudi Setiawan</t>
  </si>
  <si>
    <t xml:space="preserve">2021-11-16</t>
  </si>
  <si>
    <t xml:space="preserve">EMP1092</t>
  </si>
  <si>
    <t xml:space="preserve">Indah Rahayu</t>
  </si>
  <si>
    <t xml:space="preserve">2019-03-13</t>
  </si>
  <si>
    <t xml:space="preserve">EMP1093</t>
  </si>
  <si>
    <t xml:space="preserve">Ratna Wardani</t>
  </si>
  <si>
    <t xml:space="preserve">2018-07-20</t>
  </si>
  <si>
    <t xml:space="preserve">EMP1094</t>
  </si>
  <si>
    <t xml:space="preserve">Hendra Ramadhan</t>
  </si>
  <si>
    <t xml:space="preserve">2019-07-15</t>
  </si>
  <si>
    <t xml:space="preserve">EMP1095</t>
  </si>
  <si>
    <t xml:space="preserve">Rina Hidayat</t>
  </si>
  <si>
    <t xml:space="preserve">2022-08-29</t>
  </si>
  <si>
    <t xml:space="preserve">EMP1096</t>
  </si>
  <si>
    <t xml:space="preserve">Bayu Yulianti</t>
  </si>
  <si>
    <t xml:space="preserve">2021-10-19</t>
  </si>
  <si>
    <t xml:space="preserve">EMP1097</t>
  </si>
  <si>
    <t xml:space="preserve">Citra Firmansyah</t>
  </si>
  <si>
    <t xml:space="preserve">2018-02-27</t>
  </si>
  <si>
    <t xml:space="preserve">EMP1098</t>
  </si>
  <si>
    <t xml:space="preserve">Maya Kurniawan</t>
  </si>
  <si>
    <t xml:space="preserve">2018-04-13</t>
  </si>
  <si>
    <t xml:space="preserve">EMP1099</t>
  </si>
  <si>
    <t xml:space="preserve">Indah Gunawan</t>
  </si>
  <si>
    <t xml:space="preserve">2018-07-05</t>
  </si>
  <si>
    <t xml:space="preserve">EMP1100</t>
  </si>
  <si>
    <t xml:space="preserve">Eko Purnama</t>
  </si>
  <si>
    <t xml:space="preserve">2024-01-22</t>
  </si>
  <si>
    <t xml:space="preserve">EMP1101</t>
  </si>
  <si>
    <t xml:space="preserve">Nurul Wijaya</t>
  </si>
  <si>
    <t xml:space="preserve">2022-12-22</t>
  </si>
  <si>
    <t xml:space="preserve">EMP1102</t>
  </si>
  <si>
    <t xml:space="preserve">2019-05-16</t>
  </si>
  <si>
    <t xml:space="preserve">EMP1103</t>
  </si>
  <si>
    <t xml:space="preserve">Sari Nugroho</t>
  </si>
  <si>
    <t xml:space="preserve">2020-04-20</t>
  </si>
  <si>
    <t xml:space="preserve">EMP1104</t>
  </si>
  <si>
    <t xml:space="preserve">Fitri Ramadhan</t>
  </si>
  <si>
    <t xml:space="preserve">2019-08-16</t>
  </si>
  <si>
    <t xml:space="preserve">EMP1105</t>
  </si>
  <si>
    <t xml:space="preserve">Budi Firmansyah</t>
  </si>
  <si>
    <t xml:space="preserve">2021-08-19</t>
  </si>
  <si>
    <t xml:space="preserve">EMP1106</t>
  </si>
  <si>
    <t xml:space="preserve">Andi Yulianti</t>
  </si>
  <si>
    <t xml:space="preserve">2023-10-04</t>
  </si>
  <si>
    <t xml:space="preserve">EMP1107</t>
  </si>
  <si>
    <t xml:space="preserve">Novi Santoso</t>
  </si>
  <si>
    <t xml:space="preserve">2022-07-04</t>
  </si>
  <si>
    <t xml:space="preserve">EMP1108</t>
  </si>
  <si>
    <t xml:space="preserve">Taufik Ramadhan</t>
  </si>
  <si>
    <t xml:space="preserve">2019-06-01</t>
  </si>
  <si>
    <t xml:space="preserve">EMP1109</t>
  </si>
  <si>
    <t xml:space="preserve">Rudi Ramadhan</t>
  </si>
  <si>
    <t xml:space="preserve">2019-04-14</t>
  </si>
  <si>
    <t xml:space="preserve">EMP1110</t>
  </si>
  <si>
    <t xml:space="preserve">2022-08-31</t>
  </si>
  <si>
    <t xml:space="preserve">EMP1111</t>
  </si>
  <si>
    <t xml:space="preserve">Fitri Yulianti</t>
  </si>
  <si>
    <t xml:space="preserve">2018-12-16</t>
  </si>
  <si>
    <t xml:space="preserve">EMP1112</t>
  </si>
  <si>
    <t xml:space="preserve">EMP1113</t>
  </si>
  <si>
    <t xml:space="preserve">Joko Lubis</t>
  </si>
  <si>
    <t xml:space="preserve">2019-09-26</t>
  </si>
  <si>
    <t xml:space="preserve">EMP1114</t>
  </si>
  <si>
    <t xml:space="preserve">Nurul Lubis</t>
  </si>
  <si>
    <t xml:space="preserve">EMP1115</t>
  </si>
  <si>
    <t xml:space="preserve">Wulan Wardani</t>
  </si>
  <si>
    <t xml:space="preserve">2021-12-08</t>
  </si>
  <si>
    <t xml:space="preserve">EMP1116</t>
  </si>
  <si>
    <t xml:space="preserve">2022-03-21</t>
  </si>
  <si>
    <t xml:space="preserve">EMP1117</t>
  </si>
  <si>
    <t xml:space="preserve">Dewi Saputra</t>
  </si>
  <si>
    <t xml:space="preserve">2018-07-23</t>
  </si>
  <si>
    <t xml:space="preserve">EMP1118</t>
  </si>
  <si>
    <t xml:space="preserve">Deni Wardani</t>
  </si>
  <si>
    <t xml:space="preserve">2019-04-12</t>
  </si>
  <si>
    <t xml:space="preserve">EMP1119</t>
  </si>
  <si>
    <t xml:space="preserve">2018-02-01</t>
  </si>
  <si>
    <t xml:space="preserve">EMP1120</t>
  </si>
  <si>
    <t xml:space="preserve">Budi Yulianti</t>
  </si>
  <si>
    <t xml:space="preserve">2019-06-14</t>
  </si>
  <si>
    <t xml:space="preserve">EMP1121</t>
  </si>
  <si>
    <t xml:space="preserve">Ratna Wijaya</t>
  </si>
  <si>
    <t xml:space="preserve">EMP1122</t>
  </si>
  <si>
    <t xml:space="preserve">Fajar Kurniawan</t>
  </si>
  <si>
    <t xml:space="preserve">2021-08-23</t>
  </si>
  <si>
    <t xml:space="preserve">EMP1123</t>
  </si>
  <si>
    <t xml:space="preserve">Lestari Gunawan</t>
  </si>
  <si>
    <t xml:space="preserve">EMP1124</t>
  </si>
  <si>
    <t xml:space="preserve">2021-12-02</t>
  </si>
  <si>
    <t xml:space="preserve">EMP1125</t>
  </si>
  <si>
    <t xml:space="preserve">Wulan Ramadhan</t>
  </si>
  <si>
    <t xml:space="preserve">2018-11-05</t>
  </si>
  <si>
    <t xml:space="preserve">EMP1126</t>
  </si>
  <si>
    <t xml:space="preserve">Taufik Saputra</t>
  </si>
  <si>
    <t xml:space="preserve">2023-04-05</t>
  </si>
  <si>
    <t xml:space="preserve">EMP1127</t>
  </si>
  <si>
    <t xml:space="preserve">Indah Purnama</t>
  </si>
  <si>
    <t xml:space="preserve">2018-08-22</t>
  </si>
  <si>
    <t xml:space="preserve">EMP1128</t>
  </si>
  <si>
    <t xml:space="preserve">Novi Lubis</t>
  </si>
  <si>
    <t xml:space="preserve">2023-01-17</t>
  </si>
  <si>
    <t xml:space="preserve">EMP1129</t>
  </si>
  <si>
    <t xml:space="preserve">2018-12-12</t>
  </si>
  <si>
    <t xml:space="preserve">EMP1130</t>
  </si>
  <si>
    <t xml:space="preserve">Melati Sitorus</t>
  </si>
  <si>
    <t xml:space="preserve">2022-03-08</t>
  </si>
  <si>
    <t xml:space="preserve">EMP1131</t>
  </si>
  <si>
    <t xml:space="preserve">Andi Susanti</t>
  </si>
  <si>
    <t xml:space="preserve">2022-05-03</t>
  </si>
  <si>
    <t xml:space="preserve">EMP1132</t>
  </si>
  <si>
    <t xml:space="preserve">Indah Handayani</t>
  </si>
  <si>
    <t xml:space="preserve">2018-12-14</t>
  </si>
  <si>
    <t xml:space="preserve">EMP1133</t>
  </si>
  <si>
    <t xml:space="preserve">Putri Sitorus</t>
  </si>
  <si>
    <t xml:space="preserve">2022-01-25</t>
  </si>
  <si>
    <t xml:space="preserve">EMP1134</t>
  </si>
  <si>
    <t xml:space="preserve">Fitri Pratama</t>
  </si>
  <si>
    <t xml:space="preserve">EMP1135</t>
  </si>
  <si>
    <t xml:space="preserve">Fitri Setiawan</t>
  </si>
  <si>
    <t xml:space="preserve">2019-11-10</t>
  </si>
  <si>
    <t xml:space="preserve">EMP1136</t>
  </si>
  <si>
    <t xml:space="preserve">Sinta Hidayat</t>
  </si>
  <si>
    <t xml:space="preserve">2023-12-28</t>
  </si>
  <si>
    <t xml:space="preserve">EMP1137</t>
  </si>
  <si>
    <t xml:space="preserve">Fajar Handayani</t>
  </si>
  <si>
    <t xml:space="preserve">2019-10-26</t>
  </si>
  <si>
    <t xml:space="preserve">EMP1138</t>
  </si>
  <si>
    <t xml:space="preserve">Citra Kurniawan</t>
  </si>
  <si>
    <t xml:space="preserve">2021-03-13</t>
  </si>
  <si>
    <t xml:space="preserve">EMP1139</t>
  </si>
  <si>
    <t xml:space="preserve">Rina Nugroho</t>
  </si>
  <si>
    <t xml:space="preserve">2018-04-20</t>
  </si>
  <si>
    <t xml:space="preserve">EMP1140</t>
  </si>
  <si>
    <t xml:space="preserve">2019-02-10</t>
  </si>
  <si>
    <t xml:space="preserve">EMP1141</t>
  </si>
  <si>
    <t xml:space="preserve">2018-11-21</t>
  </si>
  <si>
    <t xml:space="preserve">EMP1142</t>
  </si>
  <si>
    <t xml:space="preserve">Fajar Nugroho</t>
  </si>
  <si>
    <t xml:space="preserve">2018-07-15</t>
  </si>
  <si>
    <t xml:space="preserve">EMP1143</t>
  </si>
  <si>
    <t xml:space="preserve">Rudi Lubis</t>
  </si>
  <si>
    <t xml:space="preserve">2019-08-12</t>
  </si>
  <si>
    <t xml:space="preserve">EMP1144</t>
  </si>
  <si>
    <t xml:space="preserve">Rina Sitorus</t>
  </si>
  <si>
    <t xml:space="preserve">2023-11-25</t>
  </si>
  <si>
    <t xml:space="preserve">EMP1145</t>
  </si>
  <si>
    <t xml:space="preserve">Eko Firmansyah</t>
  </si>
  <si>
    <t xml:space="preserve">2018-03-08</t>
  </si>
  <si>
    <t xml:space="preserve">EMP1146</t>
  </si>
  <si>
    <t xml:space="preserve">Rizky Wijaya</t>
  </si>
  <si>
    <t xml:space="preserve">2021-10-18</t>
  </si>
  <si>
    <t xml:space="preserve">EMP1147</t>
  </si>
  <si>
    <t xml:space="preserve">Rizky Pratama</t>
  </si>
  <si>
    <t xml:space="preserve">2021-04-16</t>
  </si>
  <si>
    <t xml:space="preserve">EMP1148</t>
  </si>
  <si>
    <t xml:space="preserve">Bayu Wijaya</t>
  </si>
  <si>
    <t xml:space="preserve">2022-01-02</t>
  </si>
  <si>
    <t xml:space="preserve">EMP1149</t>
  </si>
  <si>
    <t xml:space="preserve">Putri Handayani</t>
  </si>
  <si>
    <t xml:space="preserve">2021-10-20</t>
  </si>
  <si>
    <t xml:space="preserve">EMP1150</t>
  </si>
  <si>
    <t xml:space="preserve">Putri Pratama</t>
  </si>
  <si>
    <t xml:space="preserve">2024-02-13</t>
  </si>
  <si>
    <t xml:space="preserve">EMP1151</t>
  </si>
  <si>
    <t xml:space="preserve">Arif Ramadhan</t>
  </si>
  <si>
    <t xml:space="preserve">2022-12-24</t>
  </si>
  <si>
    <t xml:space="preserve">EMP1152</t>
  </si>
  <si>
    <t xml:space="preserve">Dewi Pratama</t>
  </si>
  <si>
    <t xml:space="preserve">2023-10-03</t>
  </si>
  <si>
    <t xml:space="preserve">EMP1153</t>
  </si>
  <si>
    <t xml:space="preserve">2022-02-09</t>
  </si>
  <si>
    <t xml:space="preserve">EMP1154</t>
  </si>
  <si>
    <t xml:space="preserve">Maya Purnama</t>
  </si>
  <si>
    <t xml:space="preserve">2019-07-18</t>
  </si>
  <si>
    <t xml:space="preserve">EMP1155</t>
  </si>
  <si>
    <t xml:space="preserve">Siti Setiawan</t>
  </si>
  <si>
    <t xml:space="preserve">2024-04-19</t>
  </si>
  <si>
    <t xml:space="preserve">EMP1156</t>
  </si>
  <si>
    <t xml:space="preserve">Hendra Kurniawan</t>
  </si>
  <si>
    <t xml:space="preserve">2023-01-26</t>
  </si>
  <si>
    <t xml:space="preserve">EMP1157</t>
  </si>
  <si>
    <t xml:space="preserve">Andi Simanjuntak</t>
  </si>
  <si>
    <t xml:space="preserve">2021-05-13</t>
  </si>
  <si>
    <t xml:space="preserve">EMP1158</t>
  </si>
  <si>
    <t xml:space="preserve">Rizky Nugroho</t>
  </si>
  <si>
    <t xml:space="preserve">2022-01-18</t>
  </si>
  <si>
    <t xml:space="preserve">EMP1159</t>
  </si>
  <si>
    <t xml:space="preserve">2022-08-05</t>
  </si>
  <si>
    <t xml:space="preserve">EMP1160</t>
  </si>
  <si>
    <t xml:space="preserve">Novi Sitorus</t>
  </si>
  <si>
    <t xml:space="preserve">2024-03-08</t>
  </si>
  <si>
    <t xml:space="preserve">EMP1161</t>
  </si>
  <si>
    <t xml:space="preserve">Melati Saputra</t>
  </si>
  <si>
    <t xml:space="preserve">EMP1162</t>
  </si>
  <si>
    <t xml:space="preserve">Hendra Simanjuntak</t>
  </si>
  <si>
    <t xml:space="preserve">2021-05-25</t>
  </si>
  <si>
    <t xml:space="preserve">EMP1163</t>
  </si>
  <si>
    <t xml:space="preserve">Sinta Ramadhan</t>
  </si>
  <si>
    <t xml:space="preserve">2018-06-18</t>
  </si>
  <si>
    <t xml:space="preserve">EMP1164</t>
  </si>
  <si>
    <t xml:space="preserve">Hadi Gunawan</t>
  </si>
  <si>
    <t xml:space="preserve">EMP1165</t>
  </si>
  <si>
    <t xml:space="preserve">Novi Pratama</t>
  </si>
  <si>
    <t xml:space="preserve">Operator Produksi</t>
  </si>
  <si>
    <t xml:space="preserve">2022-12-06</t>
  </si>
  <si>
    <t xml:space="preserve">EMP1166</t>
  </si>
  <si>
    <t xml:space="preserve">Taufik Firmansyah</t>
  </si>
  <si>
    <t xml:space="preserve">2022-02-26</t>
  </si>
  <si>
    <t xml:space="preserve">EMP1167</t>
  </si>
  <si>
    <t xml:space="preserve">Arif Nugroho</t>
  </si>
  <si>
    <t xml:space="preserve">2018-07-27</t>
  </si>
  <si>
    <t xml:space="preserve">EMP1168</t>
  </si>
  <si>
    <t xml:space="preserve">Hadi Susanti</t>
  </si>
  <si>
    <t xml:space="preserve">2023-08-03</t>
  </si>
  <si>
    <t xml:space="preserve">EMP1169</t>
  </si>
  <si>
    <t xml:space="preserve">Ratna Sitorus</t>
  </si>
  <si>
    <t xml:space="preserve">2020-05-31</t>
  </si>
  <si>
    <t xml:space="preserve">EMP1170</t>
  </si>
  <si>
    <t xml:space="preserve">Yudi Santoso</t>
  </si>
  <si>
    <t xml:space="preserve">2019-07-03</t>
  </si>
  <si>
    <t xml:space="preserve">EMP1171</t>
  </si>
  <si>
    <t xml:space="preserve">Hadi Simanjuntak</t>
  </si>
  <si>
    <t xml:space="preserve">EMP1172</t>
  </si>
  <si>
    <t xml:space="preserve">Rizky Kurniawan</t>
  </si>
  <si>
    <t xml:space="preserve">EMP1173</t>
  </si>
  <si>
    <t xml:space="preserve">Ahmad Wijaya</t>
  </si>
  <si>
    <t xml:space="preserve">2021-09-26</t>
  </si>
  <si>
    <t xml:space="preserve">EMP1174</t>
  </si>
  <si>
    <t xml:space="preserve">Sinta Susanti</t>
  </si>
  <si>
    <t xml:space="preserve">2024-11-30</t>
  </si>
  <si>
    <t xml:space="preserve">EMP1175</t>
  </si>
  <si>
    <t xml:space="preserve">Wahyu Santoso</t>
  </si>
  <si>
    <t xml:space="preserve">2019-03-25</t>
  </si>
  <si>
    <t xml:space="preserve">EMP1176</t>
  </si>
  <si>
    <t xml:space="preserve">Bayu Lubis</t>
  </si>
  <si>
    <t xml:space="preserve">2018-07-30</t>
  </si>
  <si>
    <t xml:space="preserve">EMP1177</t>
  </si>
  <si>
    <t xml:space="preserve">Lestari Wijaya</t>
  </si>
  <si>
    <t xml:space="preserve">2018-03-19</t>
  </si>
  <si>
    <t xml:space="preserve">EMP1178</t>
  </si>
  <si>
    <t xml:space="preserve">2019-07-20</t>
  </si>
  <si>
    <t xml:space="preserve">EMP1179</t>
  </si>
  <si>
    <t xml:space="preserve">Wulan Purnama</t>
  </si>
  <si>
    <t xml:space="preserve">2024-02-16</t>
  </si>
  <si>
    <t xml:space="preserve">EMP1180</t>
  </si>
  <si>
    <t xml:space="preserve">Citra Hidayat</t>
  </si>
  <si>
    <t xml:space="preserve">2021-03-29</t>
  </si>
  <si>
    <t xml:space="preserve">EMP1181</t>
  </si>
  <si>
    <t xml:space="preserve">Ayu Lubis</t>
  </si>
  <si>
    <t xml:space="preserve">2022-06-05</t>
  </si>
  <si>
    <t xml:space="preserve">EMP1182</t>
  </si>
  <si>
    <t xml:space="preserve">2020-04-07</t>
  </si>
  <si>
    <t xml:space="preserve">EMP1183</t>
  </si>
  <si>
    <t xml:space="preserve">EMP1184</t>
  </si>
  <si>
    <t xml:space="preserve">EMP1185</t>
  </si>
  <si>
    <t xml:space="preserve">2018-08-31</t>
  </si>
  <si>
    <t xml:space="preserve">EMP1186</t>
  </si>
  <si>
    <t xml:space="preserve">Deni Setiawan</t>
  </si>
  <si>
    <t xml:space="preserve">2023-07-23</t>
  </si>
  <si>
    <t xml:space="preserve">EMP1187</t>
  </si>
  <si>
    <t xml:space="preserve">Fajar Purnama</t>
  </si>
  <si>
    <t xml:space="preserve">2019-07-04</t>
  </si>
  <si>
    <t xml:space="preserve">EMP1188</t>
  </si>
  <si>
    <t xml:space="preserve">Agus Purnama</t>
  </si>
  <si>
    <t xml:space="preserve">2020-02-02</t>
  </si>
  <si>
    <t xml:space="preserve">EMP1189</t>
  </si>
  <si>
    <t xml:space="preserve">Sinta Handayani</t>
  </si>
  <si>
    <t xml:space="preserve">2018-12-22</t>
  </si>
  <si>
    <t xml:space="preserve">EMP1190</t>
  </si>
  <si>
    <t xml:space="preserve">Budi Wardani</t>
  </si>
  <si>
    <t xml:space="preserve">EMP1191</t>
  </si>
  <si>
    <t xml:space="preserve">2019-04-30</t>
  </si>
  <si>
    <t xml:space="preserve">EMP1192</t>
  </si>
  <si>
    <t xml:space="preserve">Fajar Firmansyah</t>
  </si>
  <si>
    <t xml:space="preserve">2019-07-02</t>
  </si>
  <si>
    <t xml:space="preserve">EMP1193</t>
  </si>
  <si>
    <t xml:space="preserve">EMP1194</t>
  </si>
  <si>
    <t xml:space="preserve">Hadi Kurniawan</t>
  </si>
  <si>
    <t xml:space="preserve">2023-09-02</t>
  </si>
  <si>
    <t xml:space="preserve">EMP1195</t>
  </si>
  <si>
    <t xml:space="preserve">Yuni Lubis</t>
  </si>
  <si>
    <t xml:space="preserve">2023-09-22</t>
  </si>
  <si>
    <t xml:space="preserve">EMP1196</t>
  </si>
  <si>
    <t xml:space="preserve">2021-06-16</t>
  </si>
  <si>
    <t xml:space="preserve">EMP1197</t>
  </si>
  <si>
    <t xml:space="preserve">Ahmad Gunawan</t>
  </si>
  <si>
    <t xml:space="preserve">2018-09-19</t>
  </si>
  <si>
    <t xml:space="preserve">EMP1198</t>
  </si>
  <si>
    <t xml:space="preserve">Wulan Saputra</t>
  </si>
  <si>
    <t xml:space="preserve">2022-04-16</t>
  </si>
  <si>
    <t xml:space="preserve">EMP1199</t>
  </si>
  <si>
    <t xml:space="preserve">Ayu Setiawan</t>
  </si>
  <si>
    <t xml:space="preserve">2023-12-07</t>
  </si>
  <si>
    <t xml:space="preserve">EMP1200</t>
  </si>
  <si>
    <t xml:space="preserve">Yudi Handayani</t>
  </si>
  <si>
    <t xml:space="preserve">2023-03-02</t>
  </si>
  <si>
    <t xml:space="preserve">EMP1201</t>
  </si>
  <si>
    <t xml:space="preserve">Deni Ramadhan</t>
  </si>
  <si>
    <t xml:space="preserve">2020-04-24</t>
  </si>
  <si>
    <t xml:space="preserve">EMP1202</t>
  </si>
  <si>
    <t xml:space="preserve">Ahmad Handayani</t>
  </si>
  <si>
    <t xml:space="preserve">2024-01-20</t>
  </si>
  <si>
    <t xml:space="preserve">EMP1203</t>
  </si>
  <si>
    <t xml:space="preserve">Hadi Ramadhan</t>
  </si>
  <si>
    <t xml:space="preserve">2021-05-21</t>
  </si>
  <si>
    <t xml:space="preserve">EMP1204</t>
  </si>
  <si>
    <t xml:space="preserve">Citra Lubis</t>
  </si>
  <si>
    <t xml:space="preserve">2022-10-16</t>
  </si>
  <si>
    <t xml:space="preserve">EMP1205</t>
  </si>
  <si>
    <t xml:space="preserve">Deni Gunawan</t>
  </si>
  <si>
    <t xml:space="preserve">2022-03-22</t>
  </si>
  <si>
    <t xml:space="preserve">EMP1206</t>
  </si>
  <si>
    <t xml:space="preserve">Fitri Purnama</t>
  </si>
  <si>
    <t xml:space="preserve">2022-08-18</t>
  </si>
  <si>
    <t xml:space="preserve">EMP1207</t>
  </si>
  <si>
    <t xml:space="preserve">2022-02-28</t>
  </si>
  <si>
    <t xml:space="preserve">EMP1208</t>
  </si>
  <si>
    <t xml:space="preserve">Hendra Lubis</t>
  </si>
  <si>
    <t xml:space="preserve">2023-05-18</t>
  </si>
  <si>
    <t xml:space="preserve">EMP1209</t>
  </si>
  <si>
    <t xml:space="preserve">Wahyu Nugroho</t>
  </si>
  <si>
    <t xml:space="preserve">2020-09-07</t>
  </si>
  <si>
    <t xml:space="preserve">EMP1210</t>
  </si>
  <si>
    <t xml:space="preserve">2023-03-24</t>
  </si>
  <si>
    <t xml:space="preserve">EMP1211</t>
  </si>
  <si>
    <t xml:space="preserve">Ahmad Lubis</t>
  </si>
  <si>
    <t xml:space="preserve">2019-08-21</t>
  </si>
  <si>
    <t xml:space="preserve">EMP1212</t>
  </si>
  <si>
    <t xml:space="preserve">2022-04-05</t>
  </si>
  <si>
    <t xml:space="preserve">EMP1213</t>
  </si>
  <si>
    <t xml:space="preserve">Anisa Yulianti</t>
  </si>
  <si>
    <t xml:space="preserve">2021-12-13</t>
  </si>
  <si>
    <t xml:space="preserve">EMP1214</t>
  </si>
  <si>
    <t xml:space="preserve">Andi Wijaya</t>
  </si>
  <si>
    <t xml:space="preserve">EMP1215</t>
  </si>
  <si>
    <t xml:space="preserve">Rudi Purnama</t>
  </si>
  <si>
    <t xml:space="preserve">2024-12-05</t>
  </si>
  <si>
    <t xml:space="preserve">EMP1216</t>
  </si>
  <si>
    <t xml:space="preserve">Budi Santoso</t>
  </si>
  <si>
    <t xml:space="preserve">2024-01-04</t>
  </si>
  <si>
    <t xml:space="preserve">EMP1217</t>
  </si>
  <si>
    <t xml:space="preserve">Joko Kurniawan</t>
  </si>
  <si>
    <t xml:space="preserve">2020-09-14</t>
  </si>
  <si>
    <t xml:space="preserve">EMP1218</t>
  </si>
  <si>
    <t xml:space="preserve">Maya Handayani</t>
  </si>
  <si>
    <t xml:space="preserve">2020-07-14</t>
  </si>
  <si>
    <t xml:space="preserve">EMP1219</t>
  </si>
  <si>
    <t xml:space="preserve">Ratna Handayani</t>
  </si>
  <si>
    <t xml:space="preserve">2018-08-18</t>
  </si>
  <si>
    <t xml:space="preserve">EMP1220</t>
  </si>
  <si>
    <t xml:space="preserve">2020-07-30</t>
  </si>
  <si>
    <t xml:space="preserve">Total Tunjangan</t>
  </si>
  <si>
    <t xml:space="preserve">Total Potongan</t>
  </si>
  <si>
    <t xml:space="preserve">Take Home Pay</t>
  </si>
  <si>
    <t xml:space="preserve">Masa Kerja (Tahun)</t>
  </si>
  <si>
    <t xml:space="preserve">Kategori Masa Kerja</t>
  </si>
  <si>
    <t xml:space="preserve">% Kehadiran</t>
  </si>
  <si>
    <t xml:space="preserve">Status Kehadiran</t>
  </si>
  <si>
    <t xml:space="preserve">Tanggal Laporan (acuan) &gt;&gt;</t>
  </si>
  <si>
    <t xml:space="preserve">2025-06-30</t>
  </si>
  <si>
    <t xml:space="preserve">Legenda: sel kuning = kolom yang HARUS Anda isi sendiri dengan rumus. Baris 2 sudah berisi contoh rumus sebagai acuan format. Sel $T$1/$U$1 = tanggal acuan laporan (jangan pakai TODAY() supaya hasil tidak berubah-ubah). Lihat sheet 'Panduan_Rumus' untuk penjelasan tiap rumus.</t>
  </si>
  <si>
    <t xml:space="preserve">REKAP HR - PT MAJUJAYA MANUFAKTUR</t>
  </si>
  <si>
    <t xml:space="preserve">Sumber data: sheet Kunci_Jawaban</t>
  </si>
  <si>
    <t xml:space="preserve">Jumlah Karyawan</t>
  </si>
  <si>
    <t xml:space="preserve">Total Gaji Pokok</t>
  </si>
  <si>
    <t xml:space="preserve">Rata-rata Gaji Pokok</t>
  </si>
  <si>
    <t xml:space="preserve">Rata-rata % Kehadiran</t>
  </si>
  <si>
    <t xml:space="preserve">Jml Karyawan Kontrak</t>
  </si>
  <si>
    <t xml:space="preserve">TOTAL PERUSAHAAN</t>
  </si>
  <si>
    <t xml:space="preserve">Kolom / Tugas</t>
  </si>
  <si>
    <t xml:space="preserve">Rumus &amp; Cara Kerja</t>
  </si>
  <si>
    <t xml:space="preserve">Untuk apa skill ini di dunia kerja / bullet CV</t>
  </si>
  <si>
    <t xml:space="preserve">Rumus: Tunjangan Transport + Tunjangan Makan</t>
  </si>
  <si>
    <t xml:space="preserve">Menunjukkan Anda bisa menyusun komponen payroll (operator aritmatika sel).</t>
  </si>
  <si>
    <t xml:space="preserve">Rumus: BPJS Kesehatan + BPJS TK</t>
  </si>
  <si>
    <t xml:space="preserve">Rekap potongan gaji karyawan sebelum THP.</t>
  </si>
  <si>
    <t xml:space="preserve">Take Home Pay (THP)</t>
  </si>
  <si>
    <t xml:space="preserve">Rumus: Gaji Pokok + Total Tunjangan - Total Potongan</t>
  </si>
  <si>
    <t xml:space="preserve">Menghitung gaji bersih 220 karyawan otomatis -&gt; bisa ditulis di CV: 'Menyusun perhitungan payroll otomatis untuk 200+ karyawan, mengurangi waktu proses manual hingga 70%'.</t>
  </si>
  <si>
    <t xml:space="preserve">Rumus: DATEDIF(TanggalMasuk, TanggalLaporan, "y")</t>
  </si>
  <si>
    <t xml:space="preserve">DATEDIF menghitung selisih tahun antar tanggal - dipakai untuk cek masa kerja, evaluasi kontrak, dan hak cuti.</t>
  </si>
  <si>
    <t xml:space="preserve">Rumus: IF(MasaKerja&gt;=5,"Senior",IF(MasaKerja&gt;=1,"Menengah","Baru"))</t>
  </si>
  <si>
    <t xml:space="preserve">Nested IF - klasifikasi otomatis, sering diminta perusahaan untuk laporan komposisi karyawan.</t>
  </si>
  <si>
    <t xml:space="preserve">Rumus: Hadir/(Hadir+Izin+Sakit+Alpha)*100</t>
  </si>
  <si>
    <t xml:space="preserve">Menghitung tingkat kehadiran per karyawan - dasar bonus kehadiran/reward.</t>
  </si>
  <si>
    <t xml:space="preserve">Rumus: IF(persen&gt;=95,"Baik",IF(persen&gt;=85,"Cukup","Perlu Perhatian"))</t>
  </si>
  <si>
    <t xml:space="preserve">Klasifikasi otomatis untuk rekap absensi bulanan HR.</t>
  </si>
  <si>
    <t xml:space="preserve">Rekap per Departemen</t>
  </si>
  <si>
    <t xml:space="preserve">Rumus: COUNTIF, SUMIF, AVERAGEIF, AVERAGEIFS, COUNTIFS</t>
  </si>
  <si>
    <t xml:space="preserve">Fungsi paling sering diminta rekruter admin/HR untuk membuat rekap &amp; laporan manajemen -&gt; bukti kuat skill Excel intermediate.</t>
  </si>
  <si>
    <t xml:space="preserve">Tips CV / Portofolio</t>
  </si>
  <si>
    <t xml:space="preserve">Cantumkan sebagai project: 'Membuat sistem rekap HR 220 karyawan (payroll, absensi, masa kerja) menggunakan Excel formula (IF, DATEDIF, SUMIF, COUNTIFS, AVERAGEIFS) - mempercepat pembuatan laporan bulanan dari manual (± 2 hari) menjadi otomatis (&lt; 1 jam).'</t>
  </si>
  <si>
    <t xml:space="preserve">Angka 'dari 2 hari jadi 1 jam' boleh dipakai sebagai estimasi realistis proses manual vs otomatis, cantumkan di CV sebagai simulasi/latihan mandiri, bukan pengalaman kerja formal supaya tetap jujur.</t>
  </si>
  <si>
    <t xml:space="preserve">LATIHAN LOOKUP: VLOOKUP, INDEX+MATCH, HLOOKUP</t>
  </si>
  <si>
    <t xml:space="preserve">Data karyawan diambil dari sheet Kunci_Jawaban. Isi kolom kuning sendiri di baris 4 dst (baris 3 = contoh).</t>
  </si>
  <si>
    <t xml:space="preserve">Tabel Referensi 1: Tunjangan Jabatan per Departemen (untuk VLOOKUP &amp; INDEX+MATCH)</t>
  </si>
  <si>
    <t xml:space="preserve">Kode Dept</t>
  </si>
  <si>
    <t xml:space="preserve">Tunjangan Jabatan (Rp)</t>
  </si>
  <si>
    <t xml:space="preserve">DPT01</t>
  </si>
  <si>
    <t xml:space="preserve">DPT02</t>
  </si>
  <si>
    <t xml:space="preserve">DPT03</t>
  </si>
  <si>
    <t xml:space="preserve">DPT04</t>
  </si>
  <si>
    <t xml:space="preserve">DPT05</t>
  </si>
  <si>
    <t xml:space="preserve">DPT06</t>
  </si>
  <si>
    <t xml:space="preserve">DPT07</t>
  </si>
  <si>
    <t xml:space="preserve">DPT08</t>
  </si>
  <si>
    <t xml:space="preserve">DPT09</t>
  </si>
  <si>
    <t xml:space="preserve">Tabel Referensi 2: Persentase Kenaikan Tunjangan per Kategori Masa Kerja (untuk HLOOKUP)</t>
  </si>
  <si>
    <t xml:space="preserve">Kategori</t>
  </si>
  <si>
    <t xml:space="preserve">Baru</t>
  </si>
  <si>
    <t xml:space="preserve">Menengah</t>
  </si>
  <si>
    <t xml:space="preserve">Senior</t>
  </si>
  <si>
    <t xml:space="preserve">% Kenaikan</t>
  </si>
  <si>
    <t xml:space="preserve">Area Praktik (data dari sheet Kunci_Jawaban)</t>
  </si>
  <si>
    <t xml:space="preserve">Tunjangan Jabatan (VLOOKUP)</t>
  </si>
  <si>
    <t xml:space="preserve">Tunjangan Jabatan (INDEX+MATCH, cek silang)</t>
  </si>
  <si>
    <t xml:space="preserve">% Kenaikan (HLOOKUP)</t>
  </si>
  <si>
    <t xml:space="preserve">Catatan: XLOOKUP sengaja tidak dipakai sebagai rumus hidup di file ini karena engine yang memverifikasi file ini belum bisa menghitungnya (berisiko rumus rusak/tidak terbaca saat dibuka). INDEX+MATCH di kolom F adalah pengganti XLOOKUP yang hasilnya identik dan didukung semua versi Excel/Google Sheets. Kalau Excel/Google Sheets kamu sudah versi baru, boleh dicoba sendiri (ketik manual, jangan copy-paste dari sini): XLOOKUP(C3,A6:A14,C6:C14) — hasilnya akan sama dengan kolom E &amp; F.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</si>
</sst>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General"/>
    <numFmt numFmtId="168" formatCode="0.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3" min="12" style="0" width="18"/>
    <col collapsed="false" customWidth="true" hidden="false" outlineLevel="0" max="14" min="14" style="0" width="25"/>
    <col collapsed="false" customWidth="true" hidden="false" outlineLevel="0" max="15" min="15" style="0" width="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2" t="s">
        <v>20</v>
      </c>
      <c r="G2" s="4" t="n">
        <v>4500000</v>
      </c>
      <c r="H2" s="4" t="n">
        <v>400000</v>
      </c>
      <c r="I2" s="4" t="n">
        <v>330000</v>
      </c>
      <c r="J2" s="2" t="n">
        <v>22</v>
      </c>
      <c r="K2" s="2" t="n">
        <v>0</v>
      </c>
      <c r="L2" s="2" t="n">
        <v>3</v>
      </c>
      <c r="M2" s="2" t="n">
        <v>0</v>
      </c>
      <c r="N2" s="4" t="n">
        <v>45000</v>
      </c>
      <c r="O2" s="4" t="n">
        <v>90000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3" t="s">
        <v>25</v>
      </c>
      <c r="F3" s="2" t="s">
        <v>26</v>
      </c>
      <c r="G3" s="4" t="n">
        <v>4200000</v>
      </c>
      <c r="H3" s="4" t="n">
        <v>400000</v>
      </c>
      <c r="I3" s="4" t="n">
        <v>250000</v>
      </c>
      <c r="J3" s="2" t="n">
        <v>23</v>
      </c>
      <c r="K3" s="2" t="n">
        <v>3</v>
      </c>
      <c r="L3" s="2" t="n">
        <v>1</v>
      </c>
      <c r="M3" s="2" t="n">
        <v>0</v>
      </c>
      <c r="N3" s="4" t="n">
        <v>42000</v>
      </c>
      <c r="O3" s="4" t="n">
        <v>84000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17</v>
      </c>
      <c r="D4" s="2" t="s">
        <v>18</v>
      </c>
      <c r="E4" s="3" t="s">
        <v>29</v>
      </c>
      <c r="F4" s="2" t="s">
        <v>26</v>
      </c>
      <c r="G4" s="4" t="n">
        <v>6500000</v>
      </c>
      <c r="H4" s="4" t="n">
        <v>350000</v>
      </c>
      <c r="I4" s="4" t="n">
        <v>250000</v>
      </c>
      <c r="J4" s="2" t="n">
        <v>19</v>
      </c>
      <c r="K4" s="2" t="n">
        <v>2</v>
      </c>
      <c r="L4" s="2" t="n">
        <v>0</v>
      </c>
      <c r="M4" s="2" t="n">
        <v>3</v>
      </c>
      <c r="N4" s="4" t="n">
        <v>65000</v>
      </c>
      <c r="O4" s="4" t="n">
        <v>130000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23</v>
      </c>
      <c r="D5" s="2" t="s">
        <v>32</v>
      </c>
      <c r="E5" s="3" t="s">
        <v>33</v>
      </c>
      <c r="F5" s="2" t="s">
        <v>26</v>
      </c>
      <c r="G5" s="4" t="n">
        <v>4200000</v>
      </c>
      <c r="H5" s="4" t="n">
        <v>400000</v>
      </c>
      <c r="I5" s="4" t="n">
        <v>300000</v>
      </c>
      <c r="J5" s="2" t="n">
        <v>22</v>
      </c>
      <c r="K5" s="2" t="n">
        <v>0</v>
      </c>
      <c r="L5" s="2" t="n">
        <v>3</v>
      </c>
      <c r="M5" s="2" t="n">
        <v>0</v>
      </c>
      <c r="N5" s="4" t="n">
        <v>42000</v>
      </c>
      <c r="O5" s="4" t="n">
        <v>84000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17</v>
      </c>
      <c r="D6" s="2" t="s">
        <v>36</v>
      </c>
      <c r="E6" s="3" t="s">
        <v>37</v>
      </c>
      <c r="F6" s="2" t="s">
        <v>26</v>
      </c>
      <c r="G6" s="4" t="n">
        <v>6500000</v>
      </c>
      <c r="H6" s="4" t="n">
        <v>400000</v>
      </c>
      <c r="I6" s="4" t="n">
        <v>250000</v>
      </c>
      <c r="J6" s="2" t="n">
        <v>23</v>
      </c>
      <c r="K6" s="2" t="n">
        <v>0</v>
      </c>
      <c r="L6" s="2" t="n">
        <v>0</v>
      </c>
      <c r="M6" s="2" t="n">
        <v>1</v>
      </c>
      <c r="N6" s="4" t="n">
        <v>65000</v>
      </c>
      <c r="O6" s="4" t="n">
        <v>130000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23</v>
      </c>
      <c r="D7" s="2" t="s">
        <v>24</v>
      </c>
      <c r="E7" s="3" t="s">
        <v>40</v>
      </c>
      <c r="F7" s="2" t="s">
        <v>26</v>
      </c>
      <c r="G7" s="4" t="n">
        <v>8500000</v>
      </c>
      <c r="H7" s="4" t="n">
        <v>400000</v>
      </c>
      <c r="I7" s="4" t="n">
        <v>300000</v>
      </c>
      <c r="J7" s="2" t="n">
        <v>19</v>
      </c>
      <c r="K7" s="2" t="n">
        <v>2</v>
      </c>
      <c r="L7" s="2" t="n">
        <v>2</v>
      </c>
      <c r="M7" s="2" t="n">
        <v>1</v>
      </c>
      <c r="N7" s="4" t="n">
        <v>85000</v>
      </c>
      <c r="O7" s="4" t="n">
        <v>170000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23</v>
      </c>
      <c r="D8" s="2" t="s">
        <v>43</v>
      </c>
      <c r="E8" s="3" t="s">
        <v>44</v>
      </c>
      <c r="F8" s="2" t="s">
        <v>26</v>
      </c>
      <c r="G8" s="4" t="n">
        <v>5200000</v>
      </c>
      <c r="H8" s="4" t="n">
        <v>300000</v>
      </c>
      <c r="I8" s="4" t="n">
        <v>300000</v>
      </c>
      <c r="J8" s="2" t="n">
        <v>21</v>
      </c>
      <c r="K8" s="2" t="n">
        <v>2</v>
      </c>
      <c r="L8" s="2" t="n">
        <v>1</v>
      </c>
      <c r="M8" s="2" t="n">
        <v>0</v>
      </c>
      <c r="N8" s="4" t="n">
        <v>52000</v>
      </c>
      <c r="O8" s="4" t="n">
        <v>104000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3" t="s">
        <v>49</v>
      </c>
      <c r="F9" s="2" t="s">
        <v>26</v>
      </c>
      <c r="G9" s="4" t="n">
        <v>4500000</v>
      </c>
      <c r="H9" s="4" t="n">
        <v>300000</v>
      </c>
      <c r="I9" s="4" t="n">
        <v>330000</v>
      </c>
      <c r="J9" s="2" t="n">
        <v>23</v>
      </c>
      <c r="K9" s="2" t="n">
        <v>2</v>
      </c>
      <c r="L9" s="2" t="n">
        <v>1</v>
      </c>
      <c r="M9" s="2" t="n">
        <v>0</v>
      </c>
      <c r="N9" s="4" t="n">
        <v>45000</v>
      </c>
      <c r="O9" s="4" t="n">
        <v>90000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3" t="s">
        <v>54</v>
      </c>
      <c r="F10" s="2" t="s">
        <v>20</v>
      </c>
      <c r="G10" s="4" t="n">
        <v>9500000</v>
      </c>
      <c r="H10" s="4" t="n">
        <v>400000</v>
      </c>
      <c r="I10" s="4" t="n">
        <v>300000</v>
      </c>
      <c r="J10" s="2" t="n">
        <v>23</v>
      </c>
      <c r="K10" s="2" t="n">
        <v>3</v>
      </c>
      <c r="L10" s="2" t="n">
        <v>3</v>
      </c>
      <c r="M10" s="2" t="n">
        <v>0</v>
      </c>
      <c r="N10" s="4" t="n">
        <v>95000</v>
      </c>
      <c r="O10" s="4" t="n">
        <v>190000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3" t="s">
        <v>59</v>
      </c>
      <c r="F11" s="2" t="s">
        <v>20</v>
      </c>
      <c r="G11" s="4" t="n">
        <v>4200000</v>
      </c>
      <c r="H11" s="4" t="n">
        <v>300000</v>
      </c>
      <c r="I11" s="4" t="n">
        <v>250000</v>
      </c>
      <c r="J11" s="2" t="n">
        <v>23</v>
      </c>
      <c r="K11" s="2" t="n">
        <v>1</v>
      </c>
      <c r="L11" s="2" t="n">
        <v>3</v>
      </c>
      <c r="M11" s="2" t="n">
        <v>0</v>
      </c>
      <c r="N11" s="4" t="n">
        <v>42000</v>
      </c>
      <c r="O11" s="4" t="n">
        <v>84000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3" t="s">
        <v>64</v>
      </c>
      <c r="F12" s="2" t="s">
        <v>65</v>
      </c>
      <c r="G12" s="4" t="n">
        <v>9500000</v>
      </c>
      <c r="H12" s="4" t="n">
        <v>350000</v>
      </c>
      <c r="I12" s="4" t="n">
        <v>330000</v>
      </c>
      <c r="J12" s="2" t="n">
        <v>24</v>
      </c>
      <c r="K12" s="2" t="n">
        <v>0</v>
      </c>
      <c r="L12" s="2" t="n">
        <v>0</v>
      </c>
      <c r="M12" s="2" t="n">
        <v>0</v>
      </c>
      <c r="N12" s="4" t="n">
        <v>95000</v>
      </c>
      <c r="O12" s="4" t="n">
        <v>190000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3" t="s">
        <v>70</v>
      </c>
      <c r="F13" s="2" t="s">
        <v>26</v>
      </c>
      <c r="G13" s="4" t="n">
        <v>8500000</v>
      </c>
      <c r="H13" s="4" t="n">
        <v>300000</v>
      </c>
      <c r="I13" s="4" t="n">
        <v>330000</v>
      </c>
      <c r="J13" s="2" t="n">
        <v>23</v>
      </c>
      <c r="K13" s="2" t="n">
        <v>2</v>
      </c>
      <c r="L13" s="2" t="n">
        <v>1</v>
      </c>
      <c r="M13" s="2" t="n">
        <v>0</v>
      </c>
      <c r="N13" s="4" t="n">
        <v>85000</v>
      </c>
      <c r="O13" s="4" t="n">
        <v>170000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17</v>
      </c>
      <c r="D14" s="2" t="s">
        <v>36</v>
      </c>
      <c r="E14" s="3" t="s">
        <v>73</v>
      </c>
      <c r="F14" s="2" t="s">
        <v>26</v>
      </c>
      <c r="G14" s="4" t="n">
        <v>4800000</v>
      </c>
      <c r="H14" s="4" t="n">
        <v>350000</v>
      </c>
      <c r="I14" s="4" t="n">
        <v>250000</v>
      </c>
      <c r="J14" s="2" t="n">
        <v>22</v>
      </c>
      <c r="K14" s="2" t="n">
        <v>0</v>
      </c>
      <c r="L14" s="2" t="n">
        <v>2</v>
      </c>
      <c r="M14" s="2" t="n">
        <v>0</v>
      </c>
      <c r="N14" s="4" t="n">
        <v>48000</v>
      </c>
      <c r="O14" s="4" t="n">
        <v>96000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23</v>
      </c>
      <c r="D15" s="2" t="s">
        <v>32</v>
      </c>
      <c r="E15" s="3" t="s">
        <v>76</v>
      </c>
      <c r="F15" s="2" t="s">
        <v>20</v>
      </c>
      <c r="G15" s="4" t="n">
        <v>5200000</v>
      </c>
      <c r="H15" s="4" t="n">
        <v>400000</v>
      </c>
      <c r="I15" s="4" t="n">
        <v>250000</v>
      </c>
      <c r="J15" s="2" t="n">
        <v>18</v>
      </c>
      <c r="K15" s="2" t="n">
        <v>3</v>
      </c>
      <c r="L15" s="2" t="n">
        <v>0</v>
      </c>
      <c r="M15" s="2" t="n">
        <v>3</v>
      </c>
      <c r="N15" s="4" t="n">
        <v>52000</v>
      </c>
      <c r="O15" s="4" t="n">
        <v>104000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57</v>
      </c>
      <c r="D16" s="2" t="s">
        <v>58</v>
      </c>
      <c r="E16" s="3" t="s">
        <v>79</v>
      </c>
      <c r="F16" s="2" t="s">
        <v>65</v>
      </c>
      <c r="G16" s="4" t="n">
        <v>4800000</v>
      </c>
      <c r="H16" s="4" t="n">
        <v>350000</v>
      </c>
      <c r="I16" s="4" t="n">
        <v>330000</v>
      </c>
      <c r="J16" s="2" t="n">
        <v>24</v>
      </c>
      <c r="K16" s="2" t="n">
        <v>3</v>
      </c>
      <c r="L16" s="2" t="n">
        <v>1</v>
      </c>
      <c r="M16" s="2" t="n">
        <v>0</v>
      </c>
      <c r="N16" s="4" t="n">
        <v>48000</v>
      </c>
      <c r="O16" s="4" t="n">
        <v>96000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17</v>
      </c>
      <c r="D17" s="2" t="s">
        <v>82</v>
      </c>
      <c r="E17" s="3" t="s">
        <v>83</v>
      </c>
      <c r="F17" s="2" t="s">
        <v>26</v>
      </c>
      <c r="G17" s="4" t="n">
        <v>9500000</v>
      </c>
      <c r="H17" s="4" t="n">
        <v>350000</v>
      </c>
      <c r="I17" s="4" t="n">
        <v>250000</v>
      </c>
      <c r="J17" s="2" t="n">
        <v>19</v>
      </c>
      <c r="K17" s="2" t="n">
        <v>1</v>
      </c>
      <c r="L17" s="2" t="n">
        <v>0</v>
      </c>
      <c r="M17" s="2" t="n">
        <v>4</v>
      </c>
      <c r="N17" s="4" t="n">
        <v>95000</v>
      </c>
      <c r="O17" s="4" t="n">
        <v>190000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3" t="s">
        <v>88</v>
      </c>
      <c r="F18" s="2" t="s">
        <v>20</v>
      </c>
      <c r="G18" s="4" t="n">
        <v>4500000</v>
      </c>
      <c r="H18" s="4" t="n">
        <v>400000</v>
      </c>
      <c r="I18" s="4" t="n">
        <v>330000</v>
      </c>
      <c r="J18" s="2" t="n">
        <v>18</v>
      </c>
      <c r="K18" s="2" t="n">
        <v>1</v>
      </c>
      <c r="L18" s="2" t="n">
        <v>0</v>
      </c>
      <c r="M18" s="2" t="n">
        <v>5</v>
      </c>
      <c r="N18" s="4" t="n">
        <v>45000</v>
      </c>
      <c r="O18" s="4" t="n">
        <v>90000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23</v>
      </c>
      <c r="D19" s="2" t="s">
        <v>43</v>
      </c>
      <c r="E19" s="3" t="s">
        <v>91</v>
      </c>
      <c r="F19" s="2" t="s">
        <v>20</v>
      </c>
      <c r="G19" s="4" t="n">
        <v>8500000</v>
      </c>
      <c r="H19" s="4" t="n">
        <v>300000</v>
      </c>
      <c r="I19" s="4" t="n">
        <v>330000</v>
      </c>
      <c r="J19" s="2" t="n">
        <v>19</v>
      </c>
      <c r="K19" s="2" t="n">
        <v>3</v>
      </c>
      <c r="L19" s="2" t="n">
        <v>1</v>
      </c>
      <c r="M19" s="2" t="n">
        <v>1</v>
      </c>
      <c r="N19" s="4" t="n">
        <v>85000</v>
      </c>
      <c r="O19" s="4" t="n">
        <v>170000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47</v>
      </c>
      <c r="D20" s="2" t="s">
        <v>48</v>
      </c>
      <c r="E20" s="3" t="s">
        <v>94</v>
      </c>
      <c r="F20" s="2" t="s">
        <v>26</v>
      </c>
      <c r="G20" s="4" t="n">
        <v>6500000</v>
      </c>
      <c r="H20" s="4" t="n">
        <v>350000</v>
      </c>
      <c r="I20" s="4" t="n">
        <v>300000</v>
      </c>
      <c r="J20" s="2" t="n">
        <v>21</v>
      </c>
      <c r="K20" s="2" t="n">
        <v>0</v>
      </c>
      <c r="L20" s="2" t="n">
        <v>0</v>
      </c>
      <c r="M20" s="2" t="n">
        <v>3</v>
      </c>
      <c r="N20" s="4" t="n">
        <v>65000</v>
      </c>
      <c r="O20" s="4" t="n">
        <v>130000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68</v>
      </c>
      <c r="D21" s="2" t="s">
        <v>69</v>
      </c>
      <c r="E21" s="3" t="s">
        <v>97</v>
      </c>
      <c r="F21" s="2" t="s">
        <v>20</v>
      </c>
      <c r="G21" s="4" t="n">
        <v>9500000</v>
      </c>
      <c r="H21" s="4" t="n">
        <v>350000</v>
      </c>
      <c r="I21" s="4" t="n">
        <v>250000</v>
      </c>
      <c r="J21" s="2" t="n">
        <v>21</v>
      </c>
      <c r="K21" s="2" t="n">
        <v>1</v>
      </c>
      <c r="L21" s="2" t="n">
        <v>2</v>
      </c>
      <c r="M21" s="2" t="n">
        <v>0</v>
      </c>
      <c r="N21" s="4" t="n">
        <v>95000</v>
      </c>
      <c r="O21" s="4" t="n">
        <v>190000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23</v>
      </c>
      <c r="D22" s="2" t="s">
        <v>32</v>
      </c>
      <c r="E22" s="3" t="s">
        <v>100</v>
      </c>
      <c r="F22" s="2" t="s">
        <v>20</v>
      </c>
      <c r="G22" s="4" t="n">
        <v>9500000</v>
      </c>
      <c r="H22" s="4" t="n">
        <v>300000</v>
      </c>
      <c r="I22" s="4" t="n">
        <v>250000</v>
      </c>
      <c r="J22" s="2" t="n">
        <v>24</v>
      </c>
      <c r="K22" s="2" t="n">
        <v>1</v>
      </c>
      <c r="L22" s="2" t="n">
        <v>1</v>
      </c>
      <c r="M22" s="2" t="n">
        <v>0</v>
      </c>
      <c r="N22" s="4" t="n">
        <v>95000</v>
      </c>
      <c r="O22" s="4" t="n">
        <v>190000</v>
      </c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52</v>
      </c>
      <c r="D23" s="2" t="s">
        <v>53</v>
      </c>
      <c r="E23" s="3" t="s">
        <v>103</v>
      </c>
      <c r="F23" s="2" t="s">
        <v>65</v>
      </c>
      <c r="G23" s="4" t="n">
        <v>4800000</v>
      </c>
      <c r="H23" s="4" t="n">
        <v>350000</v>
      </c>
      <c r="I23" s="4" t="n">
        <v>250000</v>
      </c>
      <c r="J23" s="2" t="n">
        <v>21</v>
      </c>
      <c r="K23" s="2" t="n">
        <v>2</v>
      </c>
      <c r="L23" s="2" t="n">
        <v>3</v>
      </c>
      <c r="M23" s="2" t="n">
        <v>0</v>
      </c>
      <c r="N23" s="4" t="n">
        <v>48000</v>
      </c>
      <c r="O23" s="4" t="n">
        <v>96000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86</v>
      </c>
      <c r="D24" s="2" t="s">
        <v>106</v>
      </c>
      <c r="E24" s="3" t="s">
        <v>107</v>
      </c>
      <c r="F24" s="2" t="s">
        <v>20</v>
      </c>
      <c r="G24" s="4" t="n">
        <v>5200000</v>
      </c>
      <c r="H24" s="4" t="n">
        <v>300000</v>
      </c>
      <c r="I24" s="4" t="n">
        <v>330000</v>
      </c>
      <c r="J24" s="2" t="n">
        <v>23</v>
      </c>
      <c r="K24" s="2" t="n">
        <v>0</v>
      </c>
      <c r="L24" s="2" t="n">
        <v>2</v>
      </c>
      <c r="M24" s="2" t="n">
        <v>0</v>
      </c>
      <c r="N24" s="4" t="n">
        <v>52000</v>
      </c>
      <c r="O24" s="4" t="n">
        <v>104000</v>
      </c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52</v>
      </c>
      <c r="D25" s="2" t="s">
        <v>53</v>
      </c>
      <c r="E25" s="3" t="s">
        <v>110</v>
      </c>
      <c r="F25" s="2" t="s">
        <v>65</v>
      </c>
      <c r="G25" s="4" t="n">
        <v>4500000</v>
      </c>
      <c r="H25" s="4" t="n">
        <v>300000</v>
      </c>
      <c r="I25" s="4" t="n">
        <v>250000</v>
      </c>
      <c r="J25" s="2" t="n">
        <v>22</v>
      </c>
      <c r="K25" s="2" t="n">
        <v>0</v>
      </c>
      <c r="L25" s="2" t="n">
        <v>1</v>
      </c>
      <c r="M25" s="2" t="n">
        <v>1</v>
      </c>
      <c r="N25" s="4" t="n">
        <v>45000</v>
      </c>
      <c r="O25" s="4" t="n">
        <v>90000</v>
      </c>
    </row>
    <row r="26" customFormat="false" ht="15" hidden="false" customHeight="false" outlineLevel="0" collapsed="false">
      <c r="A26" s="2" t="s">
        <v>111</v>
      </c>
      <c r="B26" s="2" t="s">
        <v>112</v>
      </c>
      <c r="C26" s="2" t="s">
        <v>47</v>
      </c>
      <c r="D26" s="2" t="s">
        <v>113</v>
      </c>
      <c r="E26" s="3" t="s">
        <v>114</v>
      </c>
      <c r="F26" s="2" t="s">
        <v>20</v>
      </c>
      <c r="G26" s="4" t="n">
        <v>4500000</v>
      </c>
      <c r="H26" s="4" t="n">
        <v>350000</v>
      </c>
      <c r="I26" s="4" t="n">
        <v>330000</v>
      </c>
      <c r="J26" s="2" t="n">
        <v>22</v>
      </c>
      <c r="K26" s="2" t="n">
        <v>2</v>
      </c>
      <c r="L26" s="2" t="n">
        <v>2</v>
      </c>
      <c r="M26" s="2" t="n">
        <v>0</v>
      </c>
      <c r="N26" s="4" t="n">
        <v>45000</v>
      </c>
      <c r="O26" s="4" t="n">
        <v>90000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47</v>
      </c>
      <c r="D27" s="2" t="s">
        <v>117</v>
      </c>
      <c r="E27" s="3" t="s">
        <v>118</v>
      </c>
      <c r="F27" s="2" t="s">
        <v>20</v>
      </c>
      <c r="G27" s="4" t="n">
        <v>5800000</v>
      </c>
      <c r="H27" s="4" t="n">
        <v>350000</v>
      </c>
      <c r="I27" s="4" t="n">
        <v>300000</v>
      </c>
      <c r="J27" s="2" t="n">
        <v>24</v>
      </c>
      <c r="K27" s="2" t="n">
        <v>0</v>
      </c>
      <c r="L27" s="2" t="n">
        <v>0</v>
      </c>
      <c r="M27" s="2" t="n">
        <v>0</v>
      </c>
      <c r="N27" s="4" t="n">
        <v>58000</v>
      </c>
      <c r="O27" s="4" t="n">
        <v>116000</v>
      </c>
    </row>
    <row r="28" customFormat="false" ht="15" hidden="false" customHeight="false" outlineLevel="0" collapsed="false">
      <c r="A28" s="2" t="s">
        <v>119</v>
      </c>
      <c r="B28" s="2" t="s">
        <v>120</v>
      </c>
      <c r="C28" s="2" t="s">
        <v>23</v>
      </c>
      <c r="D28" s="2" t="s">
        <v>24</v>
      </c>
      <c r="E28" s="3" t="s">
        <v>121</v>
      </c>
      <c r="F28" s="2" t="s">
        <v>20</v>
      </c>
      <c r="G28" s="4" t="n">
        <v>5800000</v>
      </c>
      <c r="H28" s="4" t="n">
        <v>300000</v>
      </c>
      <c r="I28" s="4" t="n">
        <v>300000</v>
      </c>
      <c r="J28" s="2" t="n">
        <v>18</v>
      </c>
      <c r="K28" s="2" t="n">
        <v>1</v>
      </c>
      <c r="L28" s="2" t="n">
        <v>2</v>
      </c>
      <c r="M28" s="2" t="n">
        <v>3</v>
      </c>
      <c r="N28" s="4" t="n">
        <v>58000</v>
      </c>
      <c r="O28" s="4" t="n">
        <v>116000</v>
      </c>
    </row>
    <row r="29" customFormat="false" ht="15" hidden="false" customHeight="false" outlineLevel="0" collapsed="false">
      <c r="A29" s="2" t="s">
        <v>122</v>
      </c>
      <c r="B29" s="2" t="s">
        <v>123</v>
      </c>
      <c r="C29" s="2" t="s">
        <v>52</v>
      </c>
      <c r="D29" s="2" t="s">
        <v>124</v>
      </c>
      <c r="E29" s="3" t="s">
        <v>125</v>
      </c>
      <c r="F29" s="2" t="s">
        <v>65</v>
      </c>
      <c r="G29" s="4" t="n">
        <v>9500000</v>
      </c>
      <c r="H29" s="4" t="n">
        <v>300000</v>
      </c>
      <c r="I29" s="4" t="n">
        <v>330000</v>
      </c>
      <c r="J29" s="2" t="n">
        <v>24</v>
      </c>
      <c r="K29" s="2" t="n">
        <v>2</v>
      </c>
      <c r="L29" s="2" t="n">
        <v>0</v>
      </c>
      <c r="M29" s="2" t="n">
        <v>0</v>
      </c>
      <c r="N29" s="4" t="n">
        <v>95000</v>
      </c>
      <c r="O29" s="4" t="n">
        <v>190000</v>
      </c>
    </row>
    <row r="30" customFormat="false" ht="15" hidden="false" customHeight="false" outlineLevel="0" collapsed="false">
      <c r="A30" s="2" t="s">
        <v>126</v>
      </c>
      <c r="B30" s="2" t="s">
        <v>127</v>
      </c>
      <c r="C30" s="2" t="s">
        <v>23</v>
      </c>
      <c r="D30" s="2" t="s">
        <v>24</v>
      </c>
      <c r="E30" s="3" t="s">
        <v>128</v>
      </c>
      <c r="F30" s="2" t="s">
        <v>20</v>
      </c>
      <c r="G30" s="4" t="n">
        <v>5800000</v>
      </c>
      <c r="H30" s="4" t="n">
        <v>400000</v>
      </c>
      <c r="I30" s="4" t="n">
        <v>250000</v>
      </c>
      <c r="J30" s="2" t="n">
        <v>23</v>
      </c>
      <c r="K30" s="2" t="n">
        <v>2</v>
      </c>
      <c r="L30" s="2" t="n">
        <v>1</v>
      </c>
      <c r="M30" s="2" t="n">
        <v>0</v>
      </c>
      <c r="N30" s="4" t="n">
        <v>58000</v>
      </c>
      <c r="O30" s="4" t="n">
        <v>116000</v>
      </c>
    </row>
    <row r="31" customFormat="false" ht="15" hidden="false" customHeight="false" outlineLevel="0" collapsed="false">
      <c r="A31" s="2" t="s">
        <v>129</v>
      </c>
      <c r="B31" s="2" t="s">
        <v>130</v>
      </c>
      <c r="C31" s="2" t="s">
        <v>52</v>
      </c>
      <c r="D31" s="2" t="s">
        <v>124</v>
      </c>
      <c r="E31" s="3" t="s">
        <v>131</v>
      </c>
      <c r="F31" s="2" t="s">
        <v>20</v>
      </c>
      <c r="G31" s="4" t="n">
        <v>7200000</v>
      </c>
      <c r="H31" s="4" t="n">
        <v>350000</v>
      </c>
      <c r="I31" s="4" t="n">
        <v>250000</v>
      </c>
      <c r="J31" s="2" t="n">
        <v>18</v>
      </c>
      <c r="K31" s="2" t="n">
        <v>2</v>
      </c>
      <c r="L31" s="2" t="n">
        <v>1</v>
      </c>
      <c r="M31" s="2" t="n">
        <v>3</v>
      </c>
      <c r="N31" s="4" t="n">
        <v>72000</v>
      </c>
      <c r="O31" s="4" t="n">
        <v>144000</v>
      </c>
    </row>
    <row r="32" customFormat="false" ht="15" hidden="false" customHeight="false" outlineLevel="0" collapsed="false">
      <c r="A32" s="2" t="s">
        <v>132</v>
      </c>
      <c r="B32" s="2" t="s">
        <v>133</v>
      </c>
      <c r="C32" s="2" t="s">
        <v>52</v>
      </c>
      <c r="D32" s="2" t="s">
        <v>124</v>
      </c>
      <c r="E32" s="3" t="s">
        <v>134</v>
      </c>
      <c r="F32" s="2" t="s">
        <v>20</v>
      </c>
      <c r="G32" s="4" t="n">
        <v>4500000</v>
      </c>
      <c r="H32" s="4" t="n">
        <v>400000</v>
      </c>
      <c r="I32" s="4" t="n">
        <v>250000</v>
      </c>
      <c r="J32" s="2" t="n">
        <v>22</v>
      </c>
      <c r="K32" s="2" t="n">
        <v>0</v>
      </c>
      <c r="L32" s="2" t="n">
        <v>2</v>
      </c>
      <c r="M32" s="2" t="n">
        <v>0</v>
      </c>
      <c r="N32" s="4" t="n">
        <v>45000</v>
      </c>
      <c r="O32" s="4" t="n">
        <v>90000</v>
      </c>
    </row>
    <row r="33" customFormat="false" ht="15" hidden="false" customHeight="false" outlineLevel="0" collapsed="false">
      <c r="A33" s="2" t="s">
        <v>135</v>
      </c>
      <c r="B33" s="2" t="s">
        <v>136</v>
      </c>
      <c r="C33" s="2" t="s">
        <v>57</v>
      </c>
      <c r="D33" s="2" t="s">
        <v>137</v>
      </c>
      <c r="E33" s="3" t="s">
        <v>138</v>
      </c>
      <c r="F33" s="2" t="s">
        <v>20</v>
      </c>
      <c r="G33" s="4" t="n">
        <v>6500000</v>
      </c>
      <c r="H33" s="4" t="n">
        <v>300000</v>
      </c>
      <c r="I33" s="4" t="n">
        <v>300000</v>
      </c>
      <c r="J33" s="2" t="n">
        <v>19</v>
      </c>
      <c r="K33" s="2" t="n">
        <v>1</v>
      </c>
      <c r="L33" s="2" t="n">
        <v>0</v>
      </c>
      <c r="M33" s="2" t="n">
        <v>4</v>
      </c>
      <c r="N33" s="4" t="n">
        <v>65000</v>
      </c>
      <c r="O33" s="4" t="n">
        <v>130000</v>
      </c>
    </row>
    <row r="34" customFormat="false" ht="15" hidden="false" customHeight="false" outlineLevel="0" collapsed="false">
      <c r="A34" s="2" t="s">
        <v>139</v>
      </c>
      <c r="B34" s="2" t="s">
        <v>140</v>
      </c>
      <c r="C34" s="2" t="s">
        <v>62</v>
      </c>
      <c r="D34" s="2" t="s">
        <v>141</v>
      </c>
      <c r="E34" s="3" t="s">
        <v>142</v>
      </c>
      <c r="F34" s="2" t="s">
        <v>26</v>
      </c>
      <c r="G34" s="4" t="n">
        <v>4800000</v>
      </c>
      <c r="H34" s="4" t="n">
        <v>350000</v>
      </c>
      <c r="I34" s="4" t="n">
        <v>250000</v>
      </c>
      <c r="J34" s="2" t="n">
        <v>19</v>
      </c>
      <c r="K34" s="2" t="n">
        <v>2</v>
      </c>
      <c r="L34" s="2" t="n">
        <v>3</v>
      </c>
      <c r="M34" s="2" t="n">
        <v>0</v>
      </c>
      <c r="N34" s="4" t="n">
        <v>48000</v>
      </c>
      <c r="O34" s="4" t="n">
        <v>96000</v>
      </c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57</v>
      </c>
      <c r="D35" s="2" t="s">
        <v>58</v>
      </c>
      <c r="E35" s="3" t="s">
        <v>145</v>
      </c>
      <c r="F35" s="2" t="s">
        <v>26</v>
      </c>
      <c r="G35" s="4" t="n">
        <v>4200000</v>
      </c>
      <c r="H35" s="4" t="n">
        <v>350000</v>
      </c>
      <c r="I35" s="4" t="n">
        <v>250000</v>
      </c>
      <c r="J35" s="2" t="n">
        <v>19</v>
      </c>
      <c r="K35" s="2" t="n">
        <v>3</v>
      </c>
      <c r="L35" s="2" t="n">
        <v>2</v>
      </c>
      <c r="M35" s="2" t="n">
        <v>0</v>
      </c>
      <c r="N35" s="4" t="n">
        <v>42000</v>
      </c>
      <c r="O35" s="4" t="n">
        <v>84000</v>
      </c>
    </row>
    <row r="36" customFormat="false" ht="15" hidden="false" customHeight="false" outlineLevel="0" collapsed="false">
      <c r="A36" s="2" t="s">
        <v>146</v>
      </c>
      <c r="B36" s="2" t="s">
        <v>147</v>
      </c>
      <c r="C36" s="2" t="s">
        <v>47</v>
      </c>
      <c r="D36" s="2" t="s">
        <v>48</v>
      </c>
      <c r="E36" s="3" t="s">
        <v>148</v>
      </c>
      <c r="F36" s="2" t="s">
        <v>26</v>
      </c>
      <c r="G36" s="4" t="n">
        <v>5800000</v>
      </c>
      <c r="H36" s="4" t="n">
        <v>300000</v>
      </c>
      <c r="I36" s="4" t="n">
        <v>300000</v>
      </c>
      <c r="J36" s="2" t="n">
        <v>20</v>
      </c>
      <c r="K36" s="2" t="n">
        <v>3</v>
      </c>
      <c r="L36" s="2" t="n">
        <v>2</v>
      </c>
      <c r="M36" s="2" t="n">
        <v>0</v>
      </c>
      <c r="N36" s="4" t="n">
        <v>58000</v>
      </c>
      <c r="O36" s="4" t="n">
        <v>116000</v>
      </c>
    </row>
    <row r="37" customFormat="false" ht="15" hidden="false" customHeight="false" outlineLevel="0" collapsed="false">
      <c r="A37" s="2" t="s">
        <v>149</v>
      </c>
      <c r="B37" s="2" t="s">
        <v>150</v>
      </c>
      <c r="C37" s="2" t="s">
        <v>17</v>
      </c>
      <c r="D37" s="2" t="s">
        <v>18</v>
      </c>
      <c r="E37" s="3" t="s">
        <v>151</v>
      </c>
      <c r="F37" s="2" t="s">
        <v>65</v>
      </c>
      <c r="G37" s="4" t="n">
        <v>5800000</v>
      </c>
      <c r="H37" s="4" t="n">
        <v>300000</v>
      </c>
      <c r="I37" s="4" t="n">
        <v>250000</v>
      </c>
      <c r="J37" s="2" t="n">
        <v>22</v>
      </c>
      <c r="K37" s="2" t="n">
        <v>3</v>
      </c>
      <c r="L37" s="2" t="n">
        <v>2</v>
      </c>
      <c r="M37" s="2" t="n">
        <v>0</v>
      </c>
      <c r="N37" s="4" t="n">
        <v>58000</v>
      </c>
      <c r="O37" s="4" t="n">
        <v>116000</v>
      </c>
    </row>
    <row r="38" customFormat="false" ht="15" hidden="false" customHeight="false" outlineLevel="0" collapsed="false">
      <c r="A38" s="2" t="s">
        <v>152</v>
      </c>
      <c r="B38" s="2" t="s">
        <v>153</v>
      </c>
      <c r="C38" s="2" t="s">
        <v>86</v>
      </c>
      <c r="D38" s="2" t="s">
        <v>87</v>
      </c>
      <c r="E38" s="3" t="s">
        <v>154</v>
      </c>
      <c r="F38" s="2" t="s">
        <v>26</v>
      </c>
      <c r="G38" s="4" t="n">
        <v>5200000</v>
      </c>
      <c r="H38" s="4" t="n">
        <v>350000</v>
      </c>
      <c r="I38" s="4" t="n">
        <v>250000</v>
      </c>
      <c r="J38" s="2" t="n">
        <v>23</v>
      </c>
      <c r="K38" s="2" t="n">
        <v>3</v>
      </c>
      <c r="L38" s="2" t="n">
        <v>0</v>
      </c>
      <c r="M38" s="2" t="n">
        <v>0</v>
      </c>
      <c r="N38" s="4" t="n">
        <v>52000</v>
      </c>
      <c r="O38" s="4" t="n">
        <v>104000</v>
      </c>
    </row>
    <row r="39" customFormat="false" ht="15" hidden="false" customHeight="false" outlineLevel="0" collapsed="false">
      <c r="A39" s="2" t="s">
        <v>155</v>
      </c>
      <c r="B39" s="2" t="s">
        <v>156</v>
      </c>
      <c r="C39" s="2" t="s">
        <v>47</v>
      </c>
      <c r="D39" s="2" t="s">
        <v>117</v>
      </c>
      <c r="E39" s="3" t="s">
        <v>157</v>
      </c>
      <c r="F39" s="2" t="s">
        <v>20</v>
      </c>
      <c r="G39" s="4" t="n">
        <v>6500000</v>
      </c>
      <c r="H39" s="4" t="n">
        <v>400000</v>
      </c>
      <c r="I39" s="4" t="n">
        <v>300000</v>
      </c>
      <c r="J39" s="2" t="n">
        <v>23</v>
      </c>
      <c r="K39" s="2" t="n">
        <v>0</v>
      </c>
      <c r="L39" s="2" t="n">
        <v>2</v>
      </c>
      <c r="M39" s="2" t="n">
        <v>0</v>
      </c>
      <c r="N39" s="4" t="n">
        <v>65000</v>
      </c>
      <c r="O39" s="4" t="n">
        <v>130000</v>
      </c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62</v>
      </c>
      <c r="D40" s="2" t="s">
        <v>63</v>
      </c>
      <c r="E40" s="3" t="s">
        <v>160</v>
      </c>
      <c r="F40" s="2" t="s">
        <v>26</v>
      </c>
      <c r="G40" s="4" t="n">
        <v>9500000</v>
      </c>
      <c r="H40" s="4" t="n">
        <v>300000</v>
      </c>
      <c r="I40" s="4" t="n">
        <v>250000</v>
      </c>
      <c r="J40" s="2" t="n">
        <v>21</v>
      </c>
      <c r="K40" s="2" t="n">
        <v>3</v>
      </c>
      <c r="L40" s="2" t="n">
        <v>1</v>
      </c>
      <c r="M40" s="2" t="n">
        <v>0</v>
      </c>
      <c r="N40" s="4" t="n">
        <v>95000</v>
      </c>
      <c r="O40" s="4" t="n">
        <v>190000</v>
      </c>
    </row>
    <row r="41" customFormat="false" ht="15" hidden="false" customHeight="false" outlineLevel="0" collapsed="false">
      <c r="A41" s="2" t="s">
        <v>161</v>
      </c>
      <c r="B41" s="2" t="s">
        <v>162</v>
      </c>
      <c r="C41" s="2" t="s">
        <v>17</v>
      </c>
      <c r="D41" s="2" t="s">
        <v>82</v>
      </c>
      <c r="E41" s="3" t="s">
        <v>163</v>
      </c>
      <c r="F41" s="2" t="s">
        <v>26</v>
      </c>
      <c r="G41" s="4" t="n">
        <v>5800000</v>
      </c>
      <c r="H41" s="4" t="n">
        <v>350000</v>
      </c>
      <c r="I41" s="4" t="n">
        <v>250000</v>
      </c>
      <c r="J41" s="2" t="n">
        <v>21</v>
      </c>
      <c r="K41" s="2" t="n">
        <v>2</v>
      </c>
      <c r="L41" s="2" t="n">
        <v>3</v>
      </c>
      <c r="M41" s="2" t="n">
        <v>0</v>
      </c>
      <c r="N41" s="4" t="n">
        <v>58000</v>
      </c>
      <c r="O41" s="4" t="n">
        <v>116000</v>
      </c>
    </row>
    <row r="42" customFormat="false" ht="15" hidden="false" customHeight="false" outlineLevel="0" collapsed="false">
      <c r="A42" s="2" t="s">
        <v>164</v>
      </c>
      <c r="B42" s="2" t="s">
        <v>165</v>
      </c>
      <c r="C42" s="2" t="s">
        <v>47</v>
      </c>
      <c r="D42" s="2" t="s">
        <v>113</v>
      </c>
      <c r="E42" s="3" t="s">
        <v>166</v>
      </c>
      <c r="F42" s="2" t="s">
        <v>26</v>
      </c>
      <c r="G42" s="4" t="n">
        <v>4800000</v>
      </c>
      <c r="H42" s="4" t="n">
        <v>400000</v>
      </c>
      <c r="I42" s="4" t="n">
        <v>250000</v>
      </c>
      <c r="J42" s="2" t="n">
        <v>20</v>
      </c>
      <c r="K42" s="2" t="n">
        <v>2</v>
      </c>
      <c r="L42" s="2" t="n">
        <v>0</v>
      </c>
      <c r="M42" s="2" t="n">
        <v>2</v>
      </c>
      <c r="N42" s="4" t="n">
        <v>48000</v>
      </c>
      <c r="O42" s="4" t="n">
        <v>96000</v>
      </c>
    </row>
    <row r="43" customFormat="false" ht="15" hidden="false" customHeight="false" outlineLevel="0" collapsed="false">
      <c r="A43" s="2" t="s">
        <v>167</v>
      </c>
      <c r="B43" s="2" t="s">
        <v>168</v>
      </c>
      <c r="C43" s="2" t="s">
        <v>47</v>
      </c>
      <c r="D43" s="2" t="s">
        <v>48</v>
      </c>
      <c r="E43" s="3" t="s">
        <v>169</v>
      </c>
      <c r="F43" s="2" t="s">
        <v>20</v>
      </c>
      <c r="G43" s="4" t="n">
        <v>5200000</v>
      </c>
      <c r="H43" s="4" t="n">
        <v>350000</v>
      </c>
      <c r="I43" s="4" t="n">
        <v>330000</v>
      </c>
      <c r="J43" s="2" t="n">
        <v>24</v>
      </c>
      <c r="K43" s="2" t="n">
        <v>0</v>
      </c>
      <c r="L43" s="2" t="n">
        <v>3</v>
      </c>
      <c r="M43" s="2" t="n">
        <v>0</v>
      </c>
      <c r="N43" s="4" t="n">
        <v>52000</v>
      </c>
      <c r="O43" s="4" t="n">
        <v>104000</v>
      </c>
    </row>
    <row r="44" customFormat="false" ht="15" hidden="false" customHeight="false" outlineLevel="0" collapsed="false">
      <c r="A44" s="2" t="s">
        <v>170</v>
      </c>
      <c r="B44" s="2" t="s">
        <v>171</v>
      </c>
      <c r="C44" s="2" t="s">
        <v>47</v>
      </c>
      <c r="D44" s="2" t="s">
        <v>113</v>
      </c>
      <c r="E44" s="3" t="s">
        <v>172</v>
      </c>
      <c r="F44" s="2" t="s">
        <v>26</v>
      </c>
      <c r="G44" s="4" t="n">
        <v>5200000</v>
      </c>
      <c r="H44" s="4" t="n">
        <v>300000</v>
      </c>
      <c r="I44" s="4" t="n">
        <v>330000</v>
      </c>
      <c r="J44" s="2" t="n">
        <v>23</v>
      </c>
      <c r="K44" s="2" t="n">
        <v>0</v>
      </c>
      <c r="L44" s="2" t="n">
        <v>0</v>
      </c>
      <c r="M44" s="2" t="n">
        <v>1</v>
      </c>
      <c r="N44" s="4" t="n">
        <v>52000</v>
      </c>
      <c r="O44" s="4" t="n">
        <v>104000</v>
      </c>
    </row>
    <row r="45" customFormat="false" ht="15" hidden="false" customHeight="false" outlineLevel="0" collapsed="false">
      <c r="A45" s="2" t="s">
        <v>173</v>
      </c>
      <c r="B45" s="2" t="s">
        <v>174</v>
      </c>
      <c r="C45" s="2" t="s">
        <v>57</v>
      </c>
      <c r="D45" s="2" t="s">
        <v>58</v>
      </c>
      <c r="E45" s="3" t="s">
        <v>175</v>
      </c>
      <c r="F45" s="2" t="s">
        <v>26</v>
      </c>
      <c r="G45" s="4" t="n">
        <v>9500000</v>
      </c>
      <c r="H45" s="4" t="n">
        <v>300000</v>
      </c>
      <c r="I45" s="4" t="n">
        <v>250000</v>
      </c>
      <c r="J45" s="2" t="n">
        <v>21</v>
      </c>
      <c r="K45" s="2" t="n">
        <v>1</v>
      </c>
      <c r="L45" s="2" t="n">
        <v>3</v>
      </c>
      <c r="M45" s="2" t="n">
        <v>0</v>
      </c>
      <c r="N45" s="4" t="n">
        <v>95000</v>
      </c>
      <c r="O45" s="4" t="n">
        <v>190000</v>
      </c>
    </row>
    <row r="46" customFormat="false" ht="15" hidden="false" customHeight="false" outlineLevel="0" collapsed="false">
      <c r="A46" s="2" t="s">
        <v>176</v>
      </c>
      <c r="B46" s="2" t="s">
        <v>156</v>
      </c>
      <c r="C46" s="2" t="s">
        <v>68</v>
      </c>
      <c r="D46" s="2" t="s">
        <v>177</v>
      </c>
      <c r="E46" s="3" t="s">
        <v>178</v>
      </c>
      <c r="F46" s="2" t="s">
        <v>26</v>
      </c>
      <c r="G46" s="4" t="n">
        <v>9500000</v>
      </c>
      <c r="H46" s="4" t="n">
        <v>350000</v>
      </c>
      <c r="I46" s="4" t="n">
        <v>330000</v>
      </c>
      <c r="J46" s="2" t="n">
        <v>21</v>
      </c>
      <c r="K46" s="2" t="n">
        <v>1</v>
      </c>
      <c r="L46" s="2" t="n">
        <v>3</v>
      </c>
      <c r="M46" s="2" t="n">
        <v>0</v>
      </c>
      <c r="N46" s="4" t="n">
        <v>95000</v>
      </c>
      <c r="O46" s="4" t="n">
        <v>190000</v>
      </c>
    </row>
    <row r="47" customFormat="false" ht="15" hidden="false" customHeight="false" outlineLevel="0" collapsed="false">
      <c r="A47" s="2" t="s">
        <v>179</v>
      </c>
      <c r="B47" s="2" t="s">
        <v>180</v>
      </c>
      <c r="C47" s="2" t="s">
        <v>47</v>
      </c>
      <c r="D47" s="2" t="s">
        <v>113</v>
      </c>
      <c r="E47" s="3" t="s">
        <v>181</v>
      </c>
      <c r="F47" s="2" t="s">
        <v>26</v>
      </c>
      <c r="G47" s="4" t="n">
        <v>9500000</v>
      </c>
      <c r="H47" s="4" t="n">
        <v>350000</v>
      </c>
      <c r="I47" s="4" t="n">
        <v>330000</v>
      </c>
      <c r="J47" s="2" t="n">
        <v>19</v>
      </c>
      <c r="K47" s="2" t="n">
        <v>2</v>
      </c>
      <c r="L47" s="2" t="n">
        <v>3</v>
      </c>
      <c r="M47" s="2" t="n">
        <v>0</v>
      </c>
      <c r="N47" s="4" t="n">
        <v>95000</v>
      </c>
      <c r="O47" s="4" t="n">
        <v>190000</v>
      </c>
    </row>
    <row r="48" customFormat="false" ht="15" hidden="false" customHeight="false" outlineLevel="0" collapsed="false">
      <c r="A48" s="2" t="s">
        <v>182</v>
      </c>
      <c r="B48" s="2" t="s">
        <v>183</v>
      </c>
      <c r="C48" s="2" t="s">
        <v>47</v>
      </c>
      <c r="D48" s="2" t="s">
        <v>117</v>
      </c>
      <c r="E48" s="3" t="s">
        <v>184</v>
      </c>
      <c r="F48" s="2" t="s">
        <v>20</v>
      </c>
      <c r="G48" s="4" t="n">
        <v>9500000</v>
      </c>
      <c r="H48" s="4" t="n">
        <v>300000</v>
      </c>
      <c r="I48" s="4" t="n">
        <v>250000</v>
      </c>
      <c r="J48" s="2" t="n">
        <v>19</v>
      </c>
      <c r="K48" s="2" t="n">
        <v>1</v>
      </c>
      <c r="L48" s="2" t="n">
        <v>3</v>
      </c>
      <c r="M48" s="2" t="n">
        <v>1</v>
      </c>
      <c r="N48" s="4" t="n">
        <v>95000</v>
      </c>
      <c r="O48" s="4" t="n">
        <v>190000</v>
      </c>
    </row>
    <row r="49" customFormat="false" ht="15" hidden="false" customHeight="false" outlineLevel="0" collapsed="false">
      <c r="A49" s="2" t="s">
        <v>185</v>
      </c>
      <c r="B49" s="2" t="s">
        <v>186</v>
      </c>
      <c r="C49" s="2" t="s">
        <v>23</v>
      </c>
      <c r="D49" s="2" t="s">
        <v>32</v>
      </c>
      <c r="E49" s="3" t="s">
        <v>187</v>
      </c>
      <c r="F49" s="2" t="s">
        <v>20</v>
      </c>
      <c r="G49" s="4" t="n">
        <v>8500000</v>
      </c>
      <c r="H49" s="4" t="n">
        <v>350000</v>
      </c>
      <c r="I49" s="4" t="n">
        <v>250000</v>
      </c>
      <c r="J49" s="2" t="n">
        <v>19</v>
      </c>
      <c r="K49" s="2" t="n">
        <v>3</v>
      </c>
      <c r="L49" s="2" t="n">
        <v>3</v>
      </c>
      <c r="M49" s="2" t="n">
        <v>0</v>
      </c>
      <c r="N49" s="4" t="n">
        <v>85000</v>
      </c>
      <c r="O49" s="4" t="n">
        <v>170000</v>
      </c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62</v>
      </c>
      <c r="D50" s="2" t="s">
        <v>63</v>
      </c>
      <c r="E50" s="3" t="s">
        <v>190</v>
      </c>
      <c r="F50" s="2" t="s">
        <v>65</v>
      </c>
      <c r="G50" s="4" t="n">
        <v>5800000</v>
      </c>
      <c r="H50" s="4" t="n">
        <v>350000</v>
      </c>
      <c r="I50" s="4" t="n">
        <v>300000</v>
      </c>
      <c r="J50" s="2" t="n">
        <v>22</v>
      </c>
      <c r="K50" s="2" t="n">
        <v>1</v>
      </c>
      <c r="L50" s="2" t="n">
        <v>3</v>
      </c>
      <c r="M50" s="2" t="n">
        <v>0</v>
      </c>
      <c r="N50" s="4" t="n">
        <v>58000</v>
      </c>
      <c r="O50" s="4" t="n">
        <v>116000</v>
      </c>
    </row>
    <row r="51" customFormat="false" ht="15" hidden="false" customHeight="false" outlineLevel="0" collapsed="false">
      <c r="A51" s="2" t="s">
        <v>191</v>
      </c>
      <c r="B51" s="2" t="s">
        <v>192</v>
      </c>
      <c r="C51" s="2" t="s">
        <v>62</v>
      </c>
      <c r="D51" s="2" t="s">
        <v>63</v>
      </c>
      <c r="E51" s="3" t="s">
        <v>193</v>
      </c>
      <c r="F51" s="2" t="s">
        <v>26</v>
      </c>
      <c r="G51" s="4" t="n">
        <v>7200000</v>
      </c>
      <c r="H51" s="4" t="n">
        <v>400000</v>
      </c>
      <c r="I51" s="4" t="n">
        <v>250000</v>
      </c>
      <c r="J51" s="2" t="n">
        <v>24</v>
      </c>
      <c r="K51" s="2" t="n">
        <v>3</v>
      </c>
      <c r="L51" s="2" t="n">
        <v>1</v>
      </c>
      <c r="M51" s="2" t="n">
        <v>0</v>
      </c>
      <c r="N51" s="4" t="n">
        <v>72000</v>
      </c>
      <c r="O51" s="4" t="n">
        <v>144000</v>
      </c>
    </row>
    <row r="52" customFormat="false" ht="15" hidden="false" customHeight="false" outlineLevel="0" collapsed="false">
      <c r="A52" s="2" t="s">
        <v>194</v>
      </c>
      <c r="B52" s="2" t="s">
        <v>195</v>
      </c>
      <c r="C52" s="2" t="s">
        <v>196</v>
      </c>
      <c r="D52" s="2" t="s">
        <v>197</v>
      </c>
      <c r="E52" s="3" t="s">
        <v>198</v>
      </c>
      <c r="F52" s="2" t="s">
        <v>26</v>
      </c>
      <c r="G52" s="4" t="n">
        <v>4200000</v>
      </c>
      <c r="H52" s="4" t="n">
        <v>300000</v>
      </c>
      <c r="I52" s="4" t="n">
        <v>330000</v>
      </c>
      <c r="J52" s="2" t="n">
        <v>21</v>
      </c>
      <c r="K52" s="2" t="n">
        <v>1</v>
      </c>
      <c r="L52" s="2" t="n">
        <v>3</v>
      </c>
      <c r="M52" s="2" t="n">
        <v>0</v>
      </c>
      <c r="N52" s="4" t="n">
        <v>42000</v>
      </c>
      <c r="O52" s="4" t="n">
        <v>84000</v>
      </c>
    </row>
    <row r="53" customFormat="false" ht="15" hidden="false" customHeight="false" outlineLevel="0" collapsed="false">
      <c r="A53" s="2" t="s">
        <v>199</v>
      </c>
      <c r="B53" s="2" t="s">
        <v>200</v>
      </c>
      <c r="C53" s="2" t="s">
        <v>17</v>
      </c>
      <c r="D53" s="2" t="s">
        <v>82</v>
      </c>
      <c r="E53" s="3" t="s">
        <v>201</v>
      </c>
      <c r="F53" s="2" t="s">
        <v>20</v>
      </c>
      <c r="G53" s="4" t="n">
        <v>6500000</v>
      </c>
      <c r="H53" s="4" t="n">
        <v>350000</v>
      </c>
      <c r="I53" s="4" t="n">
        <v>300000</v>
      </c>
      <c r="J53" s="2" t="n">
        <v>20</v>
      </c>
      <c r="K53" s="2" t="n">
        <v>3</v>
      </c>
      <c r="L53" s="2" t="n">
        <v>2</v>
      </c>
      <c r="M53" s="2" t="n">
        <v>0</v>
      </c>
      <c r="N53" s="4" t="n">
        <v>65000</v>
      </c>
      <c r="O53" s="4" t="n">
        <v>130000</v>
      </c>
    </row>
    <row r="54" customFormat="false" ht="15" hidden="false" customHeight="false" outlineLevel="0" collapsed="false">
      <c r="A54" s="2" t="s">
        <v>202</v>
      </c>
      <c r="B54" s="2" t="s">
        <v>203</v>
      </c>
      <c r="C54" s="2" t="s">
        <v>196</v>
      </c>
      <c r="D54" s="2" t="s">
        <v>204</v>
      </c>
      <c r="E54" s="3" t="s">
        <v>205</v>
      </c>
      <c r="F54" s="2" t="s">
        <v>20</v>
      </c>
      <c r="G54" s="4" t="n">
        <v>6500000</v>
      </c>
      <c r="H54" s="4" t="n">
        <v>300000</v>
      </c>
      <c r="I54" s="4" t="n">
        <v>330000</v>
      </c>
      <c r="J54" s="2" t="n">
        <v>18</v>
      </c>
      <c r="K54" s="2" t="n">
        <v>0</v>
      </c>
      <c r="L54" s="2" t="n">
        <v>0</v>
      </c>
      <c r="M54" s="2" t="n">
        <v>6</v>
      </c>
      <c r="N54" s="4" t="n">
        <v>65000</v>
      </c>
      <c r="O54" s="4" t="n">
        <v>130000</v>
      </c>
    </row>
    <row r="55" customFormat="false" ht="15" hidden="false" customHeight="false" outlineLevel="0" collapsed="false">
      <c r="A55" s="2" t="s">
        <v>206</v>
      </c>
      <c r="B55" s="2" t="s">
        <v>207</v>
      </c>
      <c r="C55" s="2" t="s">
        <v>196</v>
      </c>
      <c r="D55" s="2" t="s">
        <v>204</v>
      </c>
      <c r="E55" s="3" t="s">
        <v>208</v>
      </c>
      <c r="F55" s="2" t="s">
        <v>20</v>
      </c>
      <c r="G55" s="4" t="n">
        <v>8500000</v>
      </c>
      <c r="H55" s="4" t="n">
        <v>400000</v>
      </c>
      <c r="I55" s="4" t="n">
        <v>250000</v>
      </c>
      <c r="J55" s="2" t="n">
        <v>22</v>
      </c>
      <c r="K55" s="2" t="n">
        <v>1</v>
      </c>
      <c r="L55" s="2" t="n">
        <v>3</v>
      </c>
      <c r="M55" s="2" t="n">
        <v>0</v>
      </c>
      <c r="N55" s="4" t="n">
        <v>85000</v>
      </c>
      <c r="O55" s="4" t="n">
        <v>170000</v>
      </c>
    </row>
    <row r="56" customFormat="false" ht="15" hidden="false" customHeight="false" outlineLevel="0" collapsed="false">
      <c r="A56" s="2" t="s">
        <v>209</v>
      </c>
      <c r="B56" s="2" t="s">
        <v>210</v>
      </c>
      <c r="C56" s="2" t="s">
        <v>57</v>
      </c>
      <c r="D56" s="2" t="s">
        <v>58</v>
      </c>
      <c r="E56" s="3" t="s">
        <v>211</v>
      </c>
      <c r="F56" s="2" t="s">
        <v>65</v>
      </c>
      <c r="G56" s="4" t="n">
        <v>4500000</v>
      </c>
      <c r="H56" s="4" t="n">
        <v>300000</v>
      </c>
      <c r="I56" s="4" t="n">
        <v>300000</v>
      </c>
      <c r="J56" s="2" t="n">
        <v>18</v>
      </c>
      <c r="K56" s="2" t="n">
        <v>0</v>
      </c>
      <c r="L56" s="2" t="n">
        <v>2</v>
      </c>
      <c r="M56" s="2" t="n">
        <v>4</v>
      </c>
      <c r="N56" s="4" t="n">
        <v>45000</v>
      </c>
      <c r="O56" s="4" t="n">
        <v>90000</v>
      </c>
    </row>
    <row r="57" customFormat="false" ht="15" hidden="false" customHeight="false" outlineLevel="0" collapsed="false">
      <c r="A57" s="2" t="s">
        <v>212</v>
      </c>
      <c r="B57" s="2" t="s">
        <v>213</v>
      </c>
      <c r="C57" s="2" t="s">
        <v>62</v>
      </c>
      <c r="D57" s="2" t="s">
        <v>141</v>
      </c>
      <c r="E57" s="3" t="s">
        <v>214</v>
      </c>
      <c r="F57" s="2" t="s">
        <v>26</v>
      </c>
      <c r="G57" s="4" t="n">
        <v>5200000</v>
      </c>
      <c r="H57" s="4" t="n">
        <v>300000</v>
      </c>
      <c r="I57" s="4" t="n">
        <v>330000</v>
      </c>
      <c r="J57" s="2" t="n">
        <v>24</v>
      </c>
      <c r="K57" s="2" t="n">
        <v>2</v>
      </c>
      <c r="L57" s="2" t="n">
        <v>0</v>
      </c>
      <c r="M57" s="2" t="n">
        <v>0</v>
      </c>
      <c r="N57" s="4" t="n">
        <v>52000</v>
      </c>
      <c r="O57" s="4" t="n">
        <v>104000</v>
      </c>
    </row>
    <row r="58" customFormat="false" ht="15" hidden="false" customHeight="false" outlineLevel="0" collapsed="false">
      <c r="A58" s="2" t="s">
        <v>215</v>
      </c>
      <c r="B58" s="2" t="s">
        <v>216</v>
      </c>
      <c r="C58" s="2" t="s">
        <v>68</v>
      </c>
      <c r="D58" s="2" t="s">
        <v>217</v>
      </c>
      <c r="E58" s="3" t="s">
        <v>218</v>
      </c>
      <c r="F58" s="2" t="s">
        <v>26</v>
      </c>
      <c r="G58" s="4" t="n">
        <v>4500000</v>
      </c>
      <c r="H58" s="4" t="n">
        <v>400000</v>
      </c>
      <c r="I58" s="4" t="n">
        <v>330000</v>
      </c>
      <c r="J58" s="2" t="n">
        <v>20</v>
      </c>
      <c r="K58" s="2" t="n">
        <v>0</v>
      </c>
      <c r="L58" s="2" t="n">
        <v>3</v>
      </c>
      <c r="M58" s="2" t="n">
        <v>1</v>
      </c>
      <c r="N58" s="4" t="n">
        <v>45000</v>
      </c>
      <c r="O58" s="4" t="n">
        <v>90000</v>
      </c>
    </row>
    <row r="59" customFormat="false" ht="15" hidden="false" customHeight="false" outlineLevel="0" collapsed="false">
      <c r="A59" s="2" t="s">
        <v>219</v>
      </c>
      <c r="B59" s="2" t="s">
        <v>220</v>
      </c>
      <c r="C59" s="2" t="s">
        <v>62</v>
      </c>
      <c r="D59" s="2" t="s">
        <v>63</v>
      </c>
      <c r="E59" s="3" t="s">
        <v>221</v>
      </c>
      <c r="F59" s="2" t="s">
        <v>26</v>
      </c>
      <c r="G59" s="4" t="n">
        <v>7200000</v>
      </c>
      <c r="H59" s="4" t="n">
        <v>300000</v>
      </c>
      <c r="I59" s="4" t="n">
        <v>330000</v>
      </c>
      <c r="J59" s="2" t="n">
        <v>22</v>
      </c>
      <c r="K59" s="2" t="n">
        <v>2</v>
      </c>
      <c r="L59" s="2" t="n">
        <v>3</v>
      </c>
      <c r="M59" s="2" t="n">
        <v>0</v>
      </c>
      <c r="N59" s="4" t="n">
        <v>72000</v>
      </c>
      <c r="O59" s="4" t="n">
        <v>144000</v>
      </c>
    </row>
    <row r="60" customFormat="false" ht="15" hidden="false" customHeight="false" outlineLevel="0" collapsed="false">
      <c r="A60" s="2" t="s">
        <v>222</v>
      </c>
      <c r="B60" s="2" t="s">
        <v>223</v>
      </c>
      <c r="C60" s="2" t="s">
        <v>17</v>
      </c>
      <c r="D60" s="2" t="s">
        <v>82</v>
      </c>
      <c r="E60" s="3" t="s">
        <v>224</v>
      </c>
      <c r="F60" s="2" t="s">
        <v>26</v>
      </c>
      <c r="G60" s="4" t="n">
        <v>4500000</v>
      </c>
      <c r="H60" s="4" t="n">
        <v>350000</v>
      </c>
      <c r="I60" s="4" t="n">
        <v>300000</v>
      </c>
      <c r="J60" s="2" t="n">
        <v>19</v>
      </c>
      <c r="K60" s="2" t="n">
        <v>3</v>
      </c>
      <c r="L60" s="2" t="n">
        <v>3</v>
      </c>
      <c r="M60" s="2" t="n">
        <v>0</v>
      </c>
      <c r="N60" s="4" t="n">
        <v>45000</v>
      </c>
      <c r="O60" s="4" t="n">
        <v>90000</v>
      </c>
    </row>
    <row r="61" customFormat="false" ht="15" hidden="false" customHeight="false" outlineLevel="0" collapsed="false">
      <c r="A61" s="2" t="s">
        <v>225</v>
      </c>
      <c r="B61" s="2" t="s">
        <v>85</v>
      </c>
      <c r="C61" s="2" t="s">
        <v>52</v>
      </c>
      <c r="D61" s="2" t="s">
        <v>124</v>
      </c>
      <c r="E61" s="3" t="s">
        <v>226</v>
      </c>
      <c r="F61" s="2" t="s">
        <v>26</v>
      </c>
      <c r="G61" s="4" t="n">
        <v>6500000</v>
      </c>
      <c r="H61" s="4" t="n">
        <v>350000</v>
      </c>
      <c r="I61" s="4" t="n">
        <v>300000</v>
      </c>
      <c r="J61" s="2" t="n">
        <v>20</v>
      </c>
      <c r="K61" s="2" t="n">
        <v>2</v>
      </c>
      <c r="L61" s="2" t="n">
        <v>0</v>
      </c>
      <c r="M61" s="2" t="n">
        <v>2</v>
      </c>
      <c r="N61" s="4" t="n">
        <v>65000</v>
      </c>
      <c r="O61" s="4" t="n">
        <v>130000</v>
      </c>
    </row>
    <row r="62" customFormat="false" ht="15" hidden="false" customHeight="false" outlineLevel="0" collapsed="false">
      <c r="A62" s="2" t="s">
        <v>227</v>
      </c>
      <c r="B62" s="2" t="s">
        <v>228</v>
      </c>
      <c r="C62" s="2" t="s">
        <v>23</v>
      </c>
      <c r="D62" s="2" t="s">
        <v>24</v>
      </c>
      <c r="E62" s="3" t="s">
        <v>229</v>
      </c>
      <c r="F62" s="2" t="s">
        <v>26</v>
      </c>
      <c r="G62" s="4" t="n">
        <v>5200000</v>
      </c>
      <c r="H62" s="4" t="n">
        <v>400000</v>
      </c>
      <c r="I62" s="4" t="n">
        <v>300000</v>
      </c>
      <c r="J62" s="2" t="n">
        <v>23</v>
      </c>
      <c r="K62" s="2" t="n">
        <v>3</v>
      </c>
      <c r="L62" s="2" t="n">
        <v>3</v>
      </c>
      <c r="M62" s="2" t="n">
        <v>0</v>
      </c>
      <c r="N62" s="4" t="n">
        <v>52000</v>
      </c>
      <c r="O62" s="4" t="n">
        <v>104000</v>
      </c>
    </row>
    <row r="63" customFormat="false" ht="15" hidden="false" customHeight="false" outlineLevel="0" collapsed="false">
      <c r="A63" s="2" t="s">
        <v>230</v>
      </c>
      <c r="B63" s="2" t="s">
        <v>231</v>
      </c>
      <c r="C63" s="2" t="s">
        <v>17</v>
      </c>
      <c r="D63" s="2" t="s">
        <v>18</v>
      </c>
      <c r="E63" s="3" t="s">
        <v>232</v>
      </c>
      <c r="F63" s="2" t="s">
        <v>26</v>
      </c>
      <c r="G63" s="4" t="n">
        <v>5800000</v>
      </c>
      <c r="H63" s="4" t="n">
        <v>400000</v>
      </c>
      <c r="I63" s="4" t="n">
        <v>330000</v>
      </c>
      <c r="J63" s="2" t="n">
        <v>20</v>
      </c>
      <c r="K63" s="2" t="n">
        <v>3</v>
      </c>
      <c r="L63" s="2" t="n">
        <v>2</v>
      </c>
      <c r="M63" s="2" t="n">
        <v>0</v>
      </c>
      <c r="N63" s="4" t="n">
        <v>58000</v>
      </c>
      <c r="O63" s="4" t="n">
        <v>116000</v>
      </c>
    </row>
    <row r="64" customFormat="false" ht="15" hidden="false" customHeight="false" outlineLevel="0" collapsed="false">
      <c r="A64" s="2" t="s">
        <v>233</v>
      </c>
      <c r="B64" s="2" t="s">
        <v>234</v>
      </c>
      <c r="C64" s="2" t="s">
        <v>68</v>
      </c>
      <c r="D64" s="2" t="s">
        <v>177</v>
      </c>
      <c r="E64" s="3" t="s">
        <v>235</v>
      </c>
      <c r="F64" s="2" t="s">
        <v>20</v>
      </c>
      <c r="G64" s="4" t="n">
        <v>5800000</v>
      </c>
      <c r="H64" s="4" t="n">
        <v>300000</v>
      </c>
      <c r="I64" s="4" t="n">
        <v>250000</v>
      </c>
      <c r="J64" s="2" t="n">
        <v>23</v>
      </c>
      <c r="K64" s="2" t="n">
        <v>1</v>
      </c>
      <c r="L64" s="2" t="n">
        <v>2</v>
      </c>
      <c r="M64" s="2" t="n">
        <v>0</v>
      </c>
      <c r="N64" s="4" t="n">
        <v>58000</v>
      </c>
      <c r="O64" s="4" t="n">
        <v>116000</v>
      </c>
    </row>
    <row r="65" customFormat="false" ht="15" hidden="false" customHeight="false" outlineLevel="0" collapsed="false">
      <c r="A65" s="2" t="s">
        <v>236</v>
      </c>
      <c r="B65" s="2" t="s">
        <v>237</v>
      </c>
      <c r="C65" s="2" t="s">
        <v>57</v>
      </c>
      <c r="D65" s="2" t="s">
        <v>238</v>
      </c>
      <c r="E65" s="3" t="s">
        <v>239</v>
      </c>
      <c r="F65" s="2" t="s">
        <v>26</v>
      </c>
      <c r="G65" s="4" t="n">
        <v>5800000</v>
      </c>
      <c r="H65" s="4" t="n">
        <v>400000</v>
      </c>
      <c r="I65" s="4" t="n">
        <v>330000</v>
      </c>
      <c r="J65" s="2" t="n">
        <v>24</v>
      </c>
      <c r="K65" s="2" t="n">
        <v>2</v>
      </c>
      <c r="L65" s="2" t="n">
        <v>0</v>
      </c>
      <c r="M65" s="2" t="n">
        <v>0</v>
      </c>
      <c r="N65" s="4" t="n">
        <v>58000</v>
      </c>
      <c r="O65" s="4" t="n">
        <v>116000</v>
      </c>
    </row>
    <row r="66" customFormat="false" ht="15" hidden="false" customHeight="false" outlineLevel="0" collapsed="false">
      <c r="A66" s="2" t="s">
        <v>240</v>
      </c>
      <c r="B66" s="2" t="s">
        <v>241</v>
      </c>
      <c r="C66" s="2" t="s">
        <v>47</v>
      </c>
      <c r="D66" s="2" t="s">
        <v>117</v>
      </c>
      <c r="E66" s="3" t="s">
        <v>242</v>
      </c>
      <c r="F66" s="2" t="s">
        <v>20</v>
      </c>
      <c r="G66" s="4" t="n">
        <v>9500000</v>
      </c>
      <c r="H66" s="4" t="n">
        <v>300000</v>
      </c>
      <c r="I66" s="4" t="n">
        <v>300000</v>
      </c>
      <c r="J66" s="2" t="n">
        <v>18</v>
      </c>
      <c r="K66" s="2" t="n">
        <v>0</v>
      </c>
      <c r="L66" s="2" t="n">
        <v>2</v>
      </c>
      <c r="M66" s="2" t="n">
        <v>4</v>
      </c>
      <c r="N66" s="4" t="n">
        <v>95000</v>
      </c>
      <c r="O66" s="4" t="n">
        <v>190000</v>
      </c>
    </row>
    <row r="67" customFormat="false" ht="15" hidden="false" customHeight="false" outlineLevel="0" collapsed="false">
      <c r="A67" s="2" t="s">
        <v>243</v>
      </c>
      <c r="B67" s="2" t="s">
        <v>244</v>
      </c>
      <c r="C67" s="2" t="s">
        <v>23</v>
      </c>
      <c r="D67" s="2" t="s">
        <v>24</v>
      </c>
      <c r="E67" s="3" t="s">
        <v>245</v>
      </c>
      <c r="F67" s="2" t="s">
        <v>20</v>
      </c>
      <c r="G67" s="4" t="n">
        <v>8500000</v>
      </c>
      <c r="H67" s="4" t="n">
        <v>350000</v>
      </c>
      <c r="I67" s="4" t="n">
        <v>300000</v>
      </c>
      <c r="J67" s="2" t="n">
        <v>19</v>
      </c>
      <c r="K67" s="2" t="n">
        <v>0</v>
      </c>
      <c r="L67" s="2" t="n">
        <v>2</v>
      </c>
      <c r="M67" s="2" t="n">
        <v>3</v>
      </c>
      <c r="N67" s="4" t="n">
        <v>85000</v>
      </c>
      <c r="O67" s="4" t="n">
        <v>170000</v>
      </c>
    </row>
    <row r="68" customFormat="false" ht="15" hidden="false" customHeight="false" outlineLevel="0" collapsed="false">
      <c r="A68" s="2" t="s">
        <v>246</v>
      </c>
      <c r="B68" s="2" t="s">
        <v>247</v>
      </c>
      <c r="C68" s="2" t="s">
        <v>23</v>
      </c>
      <c r="D68" s="2" t="s">
        <v>32</v>
      </c>
      <c r="E68" s="3" t="s">
        <v>248</v>
      </c>
      <c r="F68" s="2" t="s">
        <v>20</v>
      </c>
      <c r="G68" s="4" t="n">
        <v>4200000</v>
      </c>
      <c r="H68" s="4" t="n">
        <v>300000</v>
      </c>
      <c r="I68" s="4" t="n">
        <v>250000</v>
      </c>
      <c r="J68" s="2" t="n">
        <v>24</v>
      </c>
      <c r="K68" s="2" t="n">
        <v>2</v>
      </c>
      <c r="L68" s="2" t="n">
        <v>0</v>
      </c>
      <c r="M68" s="2" t="n">
        <v>0</v>
      </c>
      <c r="N68" s="4" t="n">
        <v>42000</v>
      </c>
      <c r="O68" s="4" t="n">
        <v>84000</v>
      </c>
    </row>
    <row r="69" customFormat="false" ht="15" hidden="false" customHeight="false" outlineLevel="0" collapsed="false">
      <c r="A69" s="2" t="s">
        <v>249</v>
      </c>
      <c r="B69" s="2" t="s">
        <v>250</v>
      </c>
      <c r="C69" s="2" t="s">
        <v>86</v>
      </c>
      <c r="D69" s="2" t="s">
        <v>106</v>
      </c>
      <c r="E69" s="3" t="s">
        <v>251</v>
      </c>
      <c r="F69" s="2" t="s">
        <v>26</v>
      </c>
      <c r="G69" s="4" t="n">
        <v>5200000</v>
      </c>
      <c r="H69" s="4" t="n">
        <v>400000</v>
      </c>
      <c r="I69" s="4" t="n">
        <v>300000</v>
      </c>
      <c r="J69" s="2" t="n">
        <v>21</v>
      </c>
      <c r="K69" s="2" t="n">
        <v>3</v>
      </c>
      <c r="L69" s="2" t="n">
        <v>2</v>
      </c>
      <c r="M69" s="2" t="n">
        <v>0</v>
      </c>
      <c r="N69" s="4" t="n">
        <v>52000</v>
      </c>
      <c r="O69" s="4" t="n">
        <v>104000</v>
      </c>
    </row>
    <row r="70" customFormat="false" ht="15" hidden="false" customHeight="false" outlineLevel="0" collapsed="false">
      <c r="A70" s="2" t="s">
        <v>252</v>
      </c>
      <c r="B70" s="2" t="s">
        <v>253</v>
      </c>
      <c r="C70" s="2" t="s">
        <v>17</v>
      </c>
      <c r="D70" s="2" t="s">
        <v>36</v>
      </c>
      <c r="E70" s="3" t="s">
        <v>254</v>
      </c>
      <c r="F70" s="2" t="s">
        <v>20</v>
      </c>
      <c r="G70" s="4" t="n">
        <v>4500000</v>
      </c>
      <c r="H70" s="4" t="n">
        <v>300000</v>
      </c>
      <c r="I70" s="4" t="n">
        <v>330000</v>
      </c>
      <c r="J70" s="2" t="n">
        <v>19</v>
      </c>
      <c r="K70" s="2" t="n">
        <v>2</v>
      </c>
      <c r="L70" s="2" t="n">
        <v>0</v>
      </c>
      <c r="M70" s="2" t="n">
        <v>3</v>
      </c>
      <c r="N70" s="4" t="n">
        <v>45000</v>
      </c>
      <c r="O70" s="4" t="n">
        <v>90000</v>
      </c>
    </row>
    <row r="71" customFormat="false" ht="15" hidden="false" customHeight="false" outlineLevel="0" collapsed="false">
      <c r="A71" s="2" t="s">
        <v>255</v>
      </c>
      <c r="B71" s="2" t="s">
        <v>256</v>
      </c>
      <c r="C71" s="2" t="s">
        <v>57</v>
      </c>
      <c r="D71" s="2" t="s">
        <v>58</v>
      </c>
      <c r="E71" s="3" t="s">
        <v>257</v>
      </c>
      <c r="F71" s="2" t="s">
        <v>20</v>
      </c>
      <c r="G71" s="4" t="n">
        <v>7200000</v>
      </c>
      <c r="H71" s="4" t="n">
        <v>350000</v>
      </c>
      <c r="I71" s="4" t="n">
        <v>330000</v>
      </c>
      <c r="J71" s="2" t="n">
        <v>22</v>
      </c>
      <c r="K71" s="2" t="n">
        <v>3</v>
      </c>
      <c r="L71" s="2" t="n">
        <v>2</v>
      </c>
      <c r="M71" s="2" t="n">
        <v>0</v>
      </c>
      <c r="N71" s="4" t="n">
        <v>72000</v>
      </c>
      <c r="O71" s="4" t="n">
        <v>144000</v>
      </c>
    </row>
    <row r="72" customFormat="false" ht="15" hidden="false" customHeight="false" outlineLevel="0" collapsed="false">
      <c r="A72" s="2" t="s">
        <v>258</v>
      </c>
      <c r="B72" s="2" t="s">
        <v>259</v>
      </c>
      <c r="C72" s="2" t="s">
        <v>17</v>
      </c>
      <c r="D72" s="2" t="s">
        <v>36</v>
      </c>
      <c r="E72" s="3" t="s">
        <v>260</v>
      </c>
      <c r="F72" s="2" t="s">
        <v>26</v>
      </c>
      <c r="G72" s="4" t="n">
        <v>8500000</v>
      </c>
      <c r="H72" s="4" t="n">
        <v>300000</v>
      </c>
      <c r="I72" s="4" t="n">
        <v>330000</v>
      </c>
      <c r="J72" s="2" t="n">
        <v>19</v>
      </c>
      <c r="K72" s="2" t="n">
        <v>2</v>
      </c>
      <c r="L72" s="2" t="n">
        <v>1</v>
      </c>
      <c r="M72" s="2" t="n">
        <v>2</v>
      </c>
      <c r="N72" s="4" t="n">
        <v>85000</v>
      </c>
      <c r="O72" s="4" t="n">
        <v>170000</v>
      </c>
    </row>
    <row r="73" customFormat="false" ht="15" hidden="false" customHeight="false" outlineLevel="0" collapsed="false">
      <c r="A73" s="2" t="s">
        <v>261</v>
      </c>
      <c r="B73" s="2" t="s">
        <v>262</v>
      </c>
      <c r="C73" s="2" t="s">
        <v>86</v>
      </c>
      <c r="D73" s="2" t="s">
        <v>87</v>
      </c>
      <c r="E73" s="3" t="s">
        <v>263</v>
      </c>
      <c r="F73" s="2" t="s">
        <v>65</v>
      </c>
      <c r="G73" s="4" t="n">
        <v>4800000</v>
      </c>
      <c r="H73" s="4" t="n">
        <v>300000</v>
      </c>
      <c r="I73" s="4" t="n">
        <v>250000</v>
      </c>
      <c r="J73" s="2" t="n">
        <v>19</v>
      </c>
      <c r="K73" s="2" t="n">
        <v>2</v>
      </c>
      <c r="L73" s="2" t="n">
        <v>2</v>
      </c>
      <c r="M73" s="2" t="n">
        <v>1</v>
      </c>
      <c r="N73" s="4" t="n">
        <v>48000</v>
      </c>
      <c r="O73" s="4" t="n">
        <v>96000</v>
      </c>
    </row>
    <row r="74" customFormat="false" ht="15" hidden="false" customHeight="false" outlineLevel="0" collapsed="false">
      <c r="A74" s="2" t="s">
        <v>264</v>
      </c>
      <c r="B74" s="2" t="s">
        <v>265</v>
      </c>
      <c r="C74" s="2" t="s">
        <v>52</v>
      </c>
      <c r="D74" s="2" t="s">
        <v>124</v>
      </c>
      <c r="E74" s="3" t="s">
        <v>160</v>
      </c>
      <c r="F74" s="2" t="s">
        <v>65</v>
      </c>
      <c r="G74" s="4" t="n">
        <v>9500000</v>
      </c>
      <c r="H74" s="4" t="n">
        <v>400000</v>
      </c>
      <c r="I74" s="4" t="n">
        <v>300000</v>
      </c>
      <c r="J74" s="2" t="n">
        <v>21</v>
      </c>
      <c r="K74" s="2" t="n">
        <v>0</v>
      </c>
      <c r="L74" s="2" t="n">
        <v>0</v>
      </c>
      <c r="M74" s="2" t="n">
        <v>3</v>
      </c>
      <c r="N74" s="4" t="n">
        <v>95000</v>
      </c>
      <c r="O74" s="4" t="n">
        <v>190000</v>
      </c>
    </row>
    <row r="75" customFormat="false" ht="15" hidden="false" customHeight="false" outlineLevel="0" collapsed="false">
      <c r="A75" s="2" t="s">
        <v>266</v>
      </c>
      <c r="B75" s="2" t="s">
        <v>267</v>
      </c>
      <c r="C75" s="2" t="s">
        <v>17</v>
      </c>
      <c r="D75" s="2" t="s">
        <v>18</v>
      </c>
      <c r="E75" s="3" t="s">
        <v>268</v>
      </c>
      <c r="F75" s="2" t="s">
        <v>20</v>
      </c>
      <c r="G75" s="4" t="n">
        <v>4200000</v>
      </c>
      <c r="H75" s="4" t="n">
        <v>400000</v>
      </c>
      <c r="I75" s="4" t="n">
        <v>300000</v>
      </c>
      <c r="J75" s="2" t="n">
        <v>22</v>
      </c>
      <c r="K75" s="2" t="n">
        <v>0</v>
      </c>
      <c r="L75" s="2" t="n">
        <v>1</v>
      </c>
      <c r="M75" s="2" t="n">
        <v>1</v>
      </c>
      <c r="N75" s="4" t="n">
        <v>42000</v>
      </c>
      <c r="O75" s="4" t="n">
        <v>84000</v>
      </c>
    </row>
    <row r="76" customFormat="false" ht="15" hidden="false" customHeight="false" outlineLevel="0" collapsed="false">
      <c r="A76" s="2" t="s">
        <v>269</v>
      </c>
      <c r="B76" s="2" t="s">
        <v>270</v>
      </c>
      <c r="C76" s="2" t="s">
        <v>52</v>
      </c>
      <c r="D76" s="2" t="s">
        <v>124</v>
      </c>
      <c r="E76" s="3" t="s">
        <v>271</v>
      </c>
      <c r="F76" s="2" t="s">
        <v>65</v>
      </c>
      <c r="G76" s="4" t="n">
        <v>7200000</v>
      </c>
      <c r="H76" s="4" t="n">
        <v>400000</v>
      </c>
      <c r="I76" s="4" t="n">
        <v>300000</v>
      </c>
      <c r="J76" s="2" t="n">
        <v>18</v>
      </c>
      <c r="K76" s="2" t="n">
        <v>3</v>
      </c>
      <c r="L76" s="2" t="n">
        <v>2</v>
      </c>
      <c r="M76" s="2" t="n">
        <v>1</v>
      </c>
      <c r="N76" s="4" t="n">
        <v>72000</v>
      </c>
      <c r="O76" s="4" t="n">
        <v>144000</v>
      </c>
    </row>
    <row r="77" customFormat="false" ht="15" hidden="false" customHeight="false" outlineLevel="0" collapsed="false">
      <c r="A77" s="2" t="s">
        <v>272</v>
      </c>
      <c r="B77" s="2" t="s">
        <v>273</v>
      </c>
      <c r="C77" s="2" t="s">
        <v>68</v>
      </c>
      <c r="D77" s="2" t="s">
        <v>217</v>
      </c>
      <c r="E77" s="3" t="s">
        <v>274</v>
      </c>
      <c r="F77" s="2" t="s">
        <v>26</v>
      </c>
      <c r="G77" s="4" t="n">
        <v>6500000</v>
      </c>
      <c r="H77" s="4" t="n">
        <v>350000</v>
      </c>
      <c r="I77" s="4" t="n">
        <v>330000</v>
      </c>
      <c r="J77" s="2" t="n">
        <v>21</v>
      </c>
      <c r="K77" s="2" t="n">
        <v>2</v>
      </c>
      <c r="L77" s="2" t="n">
        <v>3</v>
      </c>
      <c r="M77" s="2" t="n">
        <v>0</v>
      </c>
      <c r="N77" s="4" t="n">
        <v>65000</v>
      </c>
      <c r="O77" s="4" t="n">
        <v>130000</v>
      </c>
    </row>
    <row r="78" customFormat="false" ht="15" hidden="false" customHeight="false" outlineLevel="0" collapsed="false">
      <c r="A78" s="2" t="s">
        <v>275</v>
      </c>
      <c r="B78" s="2" t="s">
        <v>276</v>
      </c>
      <c r="C78" s="2" t="s">
        <v>52</v>
      </c>
      <c r="D78" s="2" t="s">
        <v>53</v>
      </c>
      <c r="E78" s="3" t="s">
        <v>277</v>
      </c>
      <c r="F78" s="2" t="s">
        <v>20</v>
      </c>
      <c r="G78" s="4" t="n">
        <v>4500000</v>
      </c>
      <c r="H78" s="4" t="n">
        <v>350000</v>
      </c>
      <c r="I78" s="4" t="n">
        <v>330000</v>
      </c>
      <c r="J78" s="2" t="n">
        <v>24</v>
      </c>
      <c r="K78" s="2" t="n">
        <v>0</v>
      </c>
      <c r="L78" s="2" t="n">
        <v>3</v>
      </c>
      <c r="M78" s="2" t="n">
        <v>0</v>
      </c>
      <c r="N78" s="4" t="n">
        <v>45000</v>
      </c>
      <c r="O78" s="4" t="n">
        <v>90000</v>
      </c>
    </row>
    <row r="79" customFormat="false" ht="15" hidden="false" customHeight="false" outlineLevel="0" collapsed="false">
      <c r="A79" s="2" t="s">
        <v>278</v>
      </c>
      <c r="B79" s="2" t="s">
        <v>279</v>
      </c>
      <c r="C79" s="2" t="s">
        <v>47</v>
      </c>
      <c r="D79" s="2" t="s">
        <v>113</v>
      </c>
      <c r="E79" s="3" t="s">
        <v>280</v>
      </c>
      <c r="F79" s="2" t="s">
        <v>26</v>
      </c>
      <c r="G79" s="4" t="n">
        <v>8500000</v>
      </c>
      <c r="H79" s="4" t="n">
        <v>400000</v>
      </c>
      <c r="I79" s="4" t="n">
        <v>300000</v>
      </c>
      <c r="J79" s="2" t="n">
        <v>24</v>
      </c>
      <c r="K79" s="2" t="n">
        <v>0</v>
      </c>
      <c r="L79" s="2" t="n">
        <v>1</v>
      </c>
      <c r="M79" s="2" t="n">
        <v>0</v>
      </c>
      <c r="N79" s="4" t="n">
        <v>85000</v>
      </c>
      <c r="O79" s="4" t="n">
        <v>170000</v>
      </c>
    </row>
    <row r="80" customFormat="false" ht="15" hidden="false" customHeight="false" outlineLevel="0" collapsed="false">
      <c r="A80" s="2" t="s">
        <v>281</v>
      </c>
      <c r="B80" s="2" t="s">
        <v>282</v>
      </c>
      <c r="C80" s="2" t="s">
        <v>57</v>
      </c>
      <c r="D80" s="2" t="s">
        <v>137</v>
      </c>
      <c r="E80" s="3" t="s">
        <v>283</v>
      </c>
      <c r="F80" s="2" t="s">
        <v>26</v>
      </c>
      <c r="G80" s="4" t="n">
        <v>8500000</v>
      </c>
      <c r="H80" s="4" t="n">
        <v>300000</v>
      </c>
      <c r="I80" s="4" t="n">
        <v>250000</v>
      </c>
      <c r="J80" s="2" t="n">
        <v>23</v>
      </c>
      <c r="K80" s="2" t="n">
        <v>1</v>
      </c>
      <c r="L80" s="2" t="n">
        <v>1</v>
      </c>
      <c r="M80" s="2" t="n">
        <v>0</v>
      </c>
      <c r="N80" s="4" t="n">
        <v>85000</v>
      </c>
      <c r="O80" s="4" t="n">
        <v>170000</v>
      </c>
    </row>
    <row r="81" customFormat="false" ht="15" hidden="false" customHeight="false" outlineLevel="0" collapsed="false">
      <c r="A81" s="2" t="s">
        <v>284</v>
      </c>
      <c r="B81" s="2" t="s">
        <v>285</v>
      </c>
      <c r="C81" s="2" t="s">
        <v>196</v>
      </c>
      <c r="D81" s="2" t="s">
        <v>204</v>
      </c>
      <c r="E81" s="3" t="s">
        <v>286</v>
      </c>
      <c r="F81" s="2" t="s">
        <v>20</v>
      </c>
      <c r="G81" s="4" t="n">
        <v>4500000</v>
      </c>
      <c r="H81" s="4" t="n">
        <v>350000</v>
      </c>
      <c r="I81" s="4" t="n">
        <v>250000</v>
      </c>
      <c r="J81" s="2" t="n">
        <v>23</v>
      </c>
      <c r="K81" s="2" t="n">
        <v>1</v>
      </c>
      <c r="L81" s="2" t="n">
        <v>3</v>
      </c>
      <c r="M81" s="2" t="n">
        <v>0</v>
      </c>
      <c r="N81" s="4" t="n">
        <v>45000</v>
      </c>
      <c r="O81" s="4" t="n">
        <v>90000</v>
      </c>
    </row>
    <row r="82" customFormat="false" ht="15" hidden="false" customHeight="false" outlineLevel="0" collapsed="false">
      <c r="A82" s="2" t="s">
        <v>287</v>
      </c>
      <c r="B82" s="2" t="s">
        <v>288</v>
      </c>
      <c r="C82" s="2" t="s">
        <v>17</v>
      </c>
      <c r="D82" s="2" t="s">
        <v>82</v>
      </c>
      <c r="E82" s="3" t="s">
        <v>289</v>
      </c>
      <c r="F82" s="2" t="s">
        <v>65</v>
      </c>
      <c r="G82" s="4" t="n">
        <v>5200000</v>
      </c>
      <c r="H82" s="4" t="n">
        <v>350000</v>
      </c>
      <c r="I82" s="4" t="n">
        <v>330000</v>
      </c>
      <c r="J82" s="2" t="n">
        <v>19</v>
      </c>
      <c r="K82" s="2" t="n">
        <v>3</v>
      </c>
      <c r="L82" s="2" t="n">
        <v>1</v>
      </c>
      <c r="M82" s="2" t="n">
        <v>1</v>
      </c>
      <c r="N82" s="4" t="n">
        <v>52000</v>
      </c>
      <c r="O82" s="4" t="n">
        <v>104000</v>
      </c>
    </row>
    <row r="83" customFormat="false" ht="15" hidden="false" customHeight="false" outlineLevel="0" collapsed="false">
      <c r="A83" s="2" t="s">
        <v>290</v>
      </c>
      <c r="B83" s="2" t="s">
        <v>291</v>
      </c>
      <c r="C83" s="2" t="s">
        <v>57</v>
      </c>
      <c r="D83" s="2" t="s">
        <v>238</v>
      </c>
      <c r="E83" s="3" t="s">
        <v>292</v>
      </c>
      <c r="F83" s="2" t="s">
        <v>26</v>
      </c>
      <c r="G83" s="4" t="n">
        <v>7200000</v>
      </c>
      <c r="H83" s="4" t="n">
        <v>350000</v>
      </c>
      <c r="I83" s="4" t="n">
        <v>330000</v>
      </c>
      <c r="J83" s="2" t="n">
        <v>20</v>
      </c>
      <c r="K83" s="2" t="n">
        <v>0</v>
      </c>
      <c r="L83" s="2" t="n">
        <v>2</v>
      </c>
      <c r="M83" s="2" t="n">
        <v>2</v>
      </c>
      <c r="N83" s="4" t="n">
        <v>72000</v>
      </c>
      <c r="O83" s="4" t="n">
        <v>144000</v>
      </c>
    </row>
    <row r="84" customFormat="false" ht="15" hidden="false" customHeight="false" outlineLevel="0" collapsed="false">
      <c r="A84" s="2" t="s">
        <v>293</v>
      </c>
      <c r="B84" s="2" t="s">
        <v>294</v>
      </c>
      <c r="C84" s="2" t="s">
        <v>52</v>
      </c>
      <c r="D84" s="2" t="s">
        <v>53</v>
      </c>
      <c r="E84" s="3" t="s">
        <v>295</v>
      </c>
      <c r="F84" s="2" t="s">
        <v>26</v>
      </c>
      <c r="G84" s="4" t="n">
        <v>6500000</v>
      </c>
      <c r="H84" s="4" t="n">
        <v>350000</v>
      </c>
      <c r="I84" s="4" t="n">
        <v>330000</v>
      </c>
      <c r="J84" s="2" t="n">
        <v>24</v>
      </c>
      <c r="K84" s="2" t="n">
        <v>3</v>
      </c>
      <c r="L84" s="2" t="n">
        <v>3</v>
      </c>
      <c r="M84" s="2" t="n">
        <v>0</v>
      </c>
      <c r="N84" s="4" t="n">
        <v>65000</v>
      </c>
      <c r="O84" s="4" t="n">
        <v>130000</v>
      </c>
    </row>
    <row r="85" customFormat="false" ht="15" hidden="false" customHeight="false" outlineLevel="0" collapsed="false">
      <c r="A85" s="2" t="s">
        <v>296</v>
      </c>
      <c r="B85" s="2" t="s">
        <v>297</v>
      </c>
      <c r="C85" s="2" t="s">
        <v>47</v>
      </c>
      <c r="D85" s="2" t="s">
        <v>113</v>
      </c>
      <c r="E85" s="3" t="s">
        <v>298</v>
      </c>
      <c r="F85" s="2" t="s">
        <v>20</v>
      </c>
      <c r="G85" s="4" t="n">
        <v>7200000</v>
      </c>
      <c r="H85" s="4" t="n">
        <v>300000</v>
      </c>
      <c r="I85" s="4" t="n">
        <v>300000</v>
      </c>
      <c r="J85" s="2" t="n">
        <v>23</v>
      </c>
      <c r="K85" s="2" t="n">
        <v>3</v>
      </c>
      <c r="L85" s="2" t="n">
        <v>3</v>
      </c>
      <c r="M85" s="2" t="n">
        <v>0</v>
      </c>
      <c r="N85" s="4" t="n">
        <v>72000</v>
      </c>
      <c r="O85" s="4" t="n">
        <v>144000</v>
      </c>
    </row>
    <row r="86" customFormat="false" ht="15" hidden="false" customHeight="false" outlineLevel="0" collapsed="false">
      <c r="A86" s="2" t="s">
        <v>299</v>
      </c>
      <c r="B86" s="2" t="s">
        <v>300</v>
      </c>
      <c r="C86" s="2" t="s">
        <v>52</v>
      </c>
      <c r="D86" s="2" t="s">
        <v>53</v>
      </c>
      <c r="E86" s="3" t="s">
        <v>301</v>
      </c>
      <c r="F86" s="2" t="s">
        <v>26</v>
      </c>
      <c r="G86" s="4" t="n">
        <v>6500000</v>
      </c>
      <c r="H86" s="4" t="n">
        <v>300000</v>
      </c>
      <c r="I86" s="4" t="n">
        <v>300000</v>
      </c>
      <c r="J86" s="2" t="n">
        <v>18</v>
      </c>
      <c r="K86" s="2" t="n">
        <v>3</v>
      </c>
      <c r="L86" s="2" t="n">
        <v>0</v>
      </c>
      <c r="M86" s="2" t="n">
        <v>3</v>
      </c>
      <c r="N86" s="4" t="n">
        <v>65000</v>
      </c>
      <c r="O86" s="4" t="n">
        <v>130000</v>
      </c>
    </row>
    <row r="87" customFormat="false" ht="15" hidden="false" customHeight="false" outlineLevel="0" collapsed="false">
      <c r="A87" s="2" t="s">
        <v>302</v>
      </c>
      <c r="B87" s="2" t="s">
        <v>303</v>
      </c>
      <c r="C87" s="2" t="s">
        <v>57</v>
      </c>
      <c r="D87" s="2" t="s">
        <v>238</v>
      </c>
      <c r="E87" s="3" t="s">
        <v>304</v>
      </c>
      <c r="F87" s="2" t="s">
        <v>26</v>
      </c>
      <c r="G87" s="4" t="n">
        <v>5800000</v>
      </c>
      <c r="H87" s="4" t="n">
        <v>350000</v>
      </c>
      <c r="I87" s="4" t="n">
        <v>330000</v>
      </c>
      <c r="J87" s="2" t="n">
        <v>23</v>
      </c>
      <c r="K87" s="2" t="n">
        <v>3</v>
      </c>
      <c r="L87" s="2" t="n">
        <v>0</v>
      </c>
      <c r="M87" s="2" t="n">
        <v>0</v>
      </c>
      <c r="N87" s="4" t="n">
        <v>58000</v>
      </c>
      <c r="O87" s="4" t="n">
        <v>116000</v>
      </c>
    </row>
    <row r="88" customFormat="false" ht="15" hidden="false" customHeight="false" outlineLevel="0" collapsed="false">
      <c r="A88" s="2" t="s">
        <v>305</v>
      </c>
      <c r="B88" s="2" t="s">
        <v>306</v>
      </c>
      <c r="C88" s="2" t="s">
        <v>62</v>
      </c>
      <c r="D88" s="2" t="s">
        <v>63</v>
      </c>
      <c r="E88" s="3" t="s">
        <v>307</v>
      </c>
      <c r="F88" s="2" t="s">
        <v>26</v>
      </c>
      <c r="G88" s="4" t="n">
        <v>4200000</v>
      </c>
      <c r="H88" s="4" t="n">
        <v>400000</v>
      </c>
      <c r="I88" s="4" t="n">
        <v>250000</v>
      </c>
      <c r="J88" s="2" t="n">
        <v>19</v>
      </c>
      <c r="K88" s="2" t="n">
        <v>2</v>
      </c>
      <c r="L88" s="2" t="n">
        <v>1</v>
      </c>
      <c r="M88" s="2" t="n">
        <v>2</v>
      </c>
      <c r="N88" s="4" t="n">
        <v>42000</v>
      </c>
      <c r="O88" s="4" t="n">
        <v>84000</v>
      </c>
    </row>
    <row r="89" customFormat="false" ht="15" hidden="false" customHeight="false" outlineLevel="0" collapsed="false">
      <c r="A89" s="2" t="s">
        <v>308</v>
      </c>
      <c r="B89" s="2" t="s">
        <v>309</v>
      </c>
      <c r="C89" s="2" t="s">
        <v>23</v>
      </c>
      <c r="D89" s="2" t="s">
        <v>43</v>
      </c>
      <c r="E89" s="3" t="s">
        <v>310</v>
      </c>
      <c r="F89" s="2" t="s">
        <v>26</v>
      </c>
      <c r="G89" s="4" t="n">
        <v>5800000</v>
      </c>
      <c r="H89" s="4" t="n">
        <v>300000</v>
      </c>
      <c r="I89" s="4" t="n">
        <v>250000</v>
      </c>
      <c r="J89" s="2" t="n">
        <v>20</v>
      </c>
      <c r="K89" s="2" t="n">
        <v>0</v>
      </c>
      <c r="L89" s="2" t="n">
        <v>2</v>
      </c>
      <c r="M89" s="2" t="n">
        <v>2</v>
      </c>
      <c r="N89" s="4" t="n">
        <v>58000</v>
      </c>
      <c r="O89" s="4" t="n">
        <v>116000</v>
      </c>
    </row>
    <row r="90" customFormat="false" ht="15" hidden="false" customHeight="false" outlineLevel="0" collapsed="false">
      <c r="A90" s="2" t="s">
        <v>311</v>
      </c>
      <c r="B90" s="2" t="s">
        <v>312</v>
      </c>
      <c r="C90" s="2" t="s">
        <v>62</v>
      </c>
      <c r="D90" s="2" t="s">
        <v>141</v>
      </c>
      <c r="E90" s="3" t="s">
        <v>313</v>
      </c>
      <c r="F90" s="2" t="s">
        <v>26</v>
      </c>
      <c r="G90" s="4" t="n">
        <v>4800000</v>
      </c>
      <c r="H90" s="4" t="n">
        <v>300000</v>
      </c>
      <c r="I90" s="4" t="n">
        <v>250000</v>
      </c>
      <c r="J90" s="2" t="n">
        <v>18</v>
      </c>
      <c r="K90" s="2" t="n">
        <v>3</v>
      </c>
      <c r="L90" s="2" t="n">
        <v>1</v>
      </c>
      <c r="M90" s="2" t="n">
        <v>2</v>
      </c>
      <c r="N90" s="4" t="n">
        <v>48000</v>
      </c>
      <c r="O90" s="4" t="n">
        <v>96000</v>
      </c>
    </row>
    <row r="91" customFormat="false" ht="15" hidden="false" customHeight="false" outlineLevel="0" collapsed="false">
      <c r="A91" s="2" t="s">
        <v>314</v>
      </c>
      <c r="B91" s="2" t="s">
        <v>315</v>
      </c>
      <c r="C91" s="2" t="s">
        <v>57</v>
      </c>
      <c r="D91" s="2" t="s">
        <v>238</v>
      </c>
      <c r="E91" s="3" t="s">
        <v>316</v>
      </c>
      <c r="F91" s="2" t="s">
        <v>26</v>
      </c>
      <c r="G91" s="4" t="n">
        <v>8500000</v>
      </c>
      <c r="H91" s="4" t="n">
        <v>350000</v>
      </c>
      <c r="I91" s="4" t="n">
        <v>330000</v>
      </c>
      <c r="J91" s="2" t="n">
        <v>18</v>
      </c>
      <c r="K91" s="2" t="n">
        <v>3</v>
      </c>
      <c r="L91" s="2" t="n">
        <v>2</v>
      </c>
      <c r="M91" s="2" t="n">
        <v>1</v>
      </c>
      <c r="N91" s="4" t="n">
        <v>85000</v>
      </c>
      <c r="O91" s="4" t="n">
        <v>170000</v>
      </c>
    </row>
    <row r="92" customFormat="false" ht="15" hidden="false" customHeight="false" outlineLevel="0" collapsed="false">
      <c r="A92" s="2" t="s">
        <v>317</v>
      </c>
      <c r="B92" s="2" t="s">
        <v>318</v>
      </c>
      <c r="C92" s="2" t="s">
        <v>23</v>
      </c>
      <c r="D92" s="2" t="s">
        <v>32</v>
      </c>
      <c r="E92" s="3" t="s">
        <v>319</v>
      </c>
      <c r="F92" s="2" t="s">
        <v>65</v>
      </c>
      <c r="G92" s="4" t="n">
        <v>5800000</v>
      </c>
      <c r="H92" s="4" t="n">
        <v>400000</v>
      </c>
      <c r="I92" s="4" t="n">
        <v>300000</v>
      </c>
      <c r="J92" s="2" t="n">
        <v>23</v>
      </c>
      <c r="K92" s="2" t="n">
        <v>2</v>
      </c>
      <c r="L92" s="2" t="n">
        <v>3</v>
      </c>
      <c r="M92" s="2" t="n">
        <v>0</v>
      </c>
      <c r="N92" s="4" t="n">
        <v>58000</v>
      </c>
      <c r="O92" s="4" t="n">
        <v>116000</v>
      </c>
    </row>
    <row r="93" customFormat="false" ht="15" hidden="false" customHeight="false" outlineLevel="0" collapsed="false">
      <c r="A93" s="2" t="s">
        <v>320</v>
      </c>
      <c r="B93" s="2" t="s">
        <v>321</v>
      </c>
      <c r="C93" s="2" t="s">
        <v>62</v>
      </c>
      <c r="D93" s="2" t="s">
        <v>63</v>
      </c>
      <c r="E93" s="3" t="s">
        <v>322</v>
      </c>
      <c r="F93" s="2" t="s">
        <v>20</v>
      </c>
      <c r="G93" s="4" t="n">
        <v>6500000</v>
      </c>
      <c r="H93" s="4" t="n">
        <v>400000</v>
      </c>
      <c r="I93" s="4" t="n">
        <v>300000</v>
      </c>
      <c r="J93" s="2" t="n">
        <v>23</v>
      </c>
      <c r="K93" s="2" t="n">
        <v>2</v>
      </c>
      <c r="L93" s="2" t="n">
        <v>0</v>
      </c>
      <c r="M93" s="2" t="n">
        <v>0</v>
      </c>
      <c r="N93" s="4" t="n">
        <v>65000</v>
      </c>
      <c r="O93" s="4" t="n">
        <v>130000</v>
      </c>
    </row>
    <row r="94" customFormat="false" ht="15" hidden="false" customHeight="false" outlineLevel="0" collapsed="false">
      <c r="A94" s="2" t="s">
        <v>323</v>
      </c>
      <c r="B94" s="2" t="s">
        <v>324</v>
      </c>
      <c r="C94" s="2" t="s">
        <v>196</v>
      </c>
      <c r="D94" s="2" t="s">
        <v>204</v>
      </c>
      <c r="E94" s="3" t="s">
        <v>325</v>
      </c>
      <c r="F94" s="2" t="s">
        <v>65</v>
      </c>
      <c r="G94" s="4" t="n">
        <v>8500000</v>
      </c>
      <c r="H94" s="4" t="n">
        <v>350000</v>
      </c>
      <c r="I94" s="4" t="n">
        <v>250000</v>
      </c>
      <c r="J94" s="2" t="n">
        <v>22</v>
      </c>
      <c r="K94" s="2" t="n">
        <v>2</v>
      </c>
      <c r="L94" s="2" t="n">
        <v>1</v>
      </c>
      <c r="M94" s="2" t="n">
        <v>0</v>
      </c>
      <c r="N94" s="4" t="n">
        <v>85000</v>
      </c>
      <c r="O94" s="4" t="n">
        <v>170000</v>
      </c>
    </row>
    <row r="95" customFormat="false" ht="15" hidden="false" customHeight="false" outlineLevel="0" collapsed="false">
      <c r="A95" s="2" t="s">
        <v>326</v>
      </c>
      <c r="B95" s="2" t="s">
        <v>327</v>
      </c>
      <c r="C95" s="2" t="s">
        <v>17</v>
      </c>
      <c r="D95" s="2" t="s">
        <v>36</v>
      </c>
      <c r="E95" s="3" t="s">
        <v>328</v>
      </c>
      <c r="F95" s="2" t="s">
        <v>26</v>
      </c>
      <c r="G95" s="4" t="n">
        <v>4200000</v>
      </c>
      <c r="H95" s="4" t="n">
        <v>350000</v>
      </c>
      <c r="I95" s="4" t="n">
        <v>300000</v>
      </c>
      <c r="J95" s="2" t="n">
        <v>18</v>
      </c>
      <c r="K95" s="2" t="n">
        <v>2</v>
      </c>
      <c r="L95" s="2" t="n">
        <v>1</v>
      </c>
      <c r="M95" s="2" t="n">
        <v>3</v>
      </c>
      <c r="N95" s="4" t="n">
        <v>42000</v>
      </c>
      <c r="O95" s="4" t="n">
        <v>84000</v>
      </c>
    </row>
    <row r="96" customFormat="false" ht="15" hidden="false" customHeight="false" outlineLevel="0" collapsed="false">
      <c r="A96" s="2" t="s">
        <v>329</v>
      </c>
      <c r="B96" s="2" t="s">
        <v>330</v>
      </c>
      <c r="C96" s="2" t="s">
        <v>68</v>
      </c>
      <c r="D96" s="2" t="s">
        <v>217</v>
      </c>
      <c r="E96" s="3" t="s">
        <v>331</v>
      </c>
      <c r="F96" s="2" t="s">
        <v>20</v>
      </c>
      <c r="G96" s="4" t="n">
        <v>4800000</v>
      </c>
      <c r="H96" s="4" t="n">
        <v>400000</v>
      </c>
      <c r="I96" s="4" t="n">
        <v>300000</v>
      </c>
      <c r="J96" s="2" t="n">
        <v>22</v>
      </c>
      <c r="K96" s="2" t="n">
        <v>2</v>
      </c>
      <c r="L96" s="2" t="n">
        <v>1</v>
      </c>
      <c r="M96" s="2" t="n">
        <v>0</v>
      </c>
      <c r="N96" s="4" t="n">
        <v>48000</v>
      </c>
      <c r="O96" s="4" t="n">
        <v>96000</v>
      </c>
    </row>
    <row r="97" customFormat="false" ht="15" hidden="false" customHeight="false" outlineLevel="0" collapsed="false">
      <c r="A97" s="2" t="s">
        <v>332</v>
      </c>
      <c r="B97" s="2" t="s">
        <v>333</v>
      </c>
      <c r="C97" s="2" t="s">
        <v>17</v>
      </c>
      <c r="D97" s="2" t="s">
        <v>36</v>
      </c>
      <c r="E97" s="3" t="s">
        <v>334</v>
      </c>
      <c r="F97" s="2" t="s">
        <v>26</v>
      </c>
      <c r="G97" s="4" t="n">
        <v>8500000</v>
      </c>
      <c r="H97" s="4" t="n">
        <v>300000</v>
      </c>
      <c r="I97" s="4" t="n">
        <v>250000</v>
      </c>
      <c r="J97" s="2" t="n">
        <v>24</v>
      </c>
      <c r="K97" s="2" t="n">
        <v>1</v>
      </c>
      <c r="L97" s="2" t="n">
        <v>3</v>
      </c>
      <c r="M97" s="2" t="n">
        <v>0</v>
      </c>
      <c r="N97" s="4" t="n">
        <v>85000</v>
      </c>
      <c r="O97" s="4" t="n">
        <v>170000</v>
      </c>
    </row>
    <row r="98" customFormat="false" ht="15" hidden="false" customHeight="false" outlineLevel="0" collapsed="false">
      <c r="A98" s="2" t="s">
        <v>335</v>
      </c>
      <c r="B98" s="2" t="s">
        <v>336</v>
      </c>
      <c r="C98" s="2" t="s">
        <v>23</v>
      </c>
      <c r="D98" s="2" t="s">
        <v>32</v>
      </c>
      <c r="E98" s="3" t="s">
        <v>337</v>
      </c>
      <c r="F98" s="2" t="s">
        <v>20</v>
      </c>
      <c r="G98" s="4" t="n">
        <v>4500000</v>
      </c>
      <c r="H98" s="4" t="n">
        <v>350000</v>
      </c>
      <c r="I98" s="4" t="n">
        <v>300000</v>
      </c>
      <c r="J98" s="2" t="n">
        <v>23</v>
      </c>
      <c r="K98" s="2" t="n">
        <v>2</v>
      </c>
      <c r="L98" s="2" t="n">
        <v>3</v>
      </c>
      <c r="M98" s="2" t="n">
        <v>0</v>
      </c>
      <c r="N98" s="4" t="n">
        <v>45000</v>
      </c>
      <c r="O98" s="4" t="n">
        <v>90000</v>
      </c>
    </row>
    <row r="99" customFormat="false" ht="15" hidden="false" customHeight="false" outlineLevel="0" collapsed="false">
      <c r="A99" s="2" t="s">
        <v>338</v>
      </c>
      <c r="B99" s="2" t="s">
        <v>339</v>
      </c>
      <c r="C99" s="2" t="s">
        <v>47</v>
      </c>
      <c r="D99" s="2" t="s">
        <v>117</v>
      </c>
      <c r="E99" s="3" t="s">
        <v>340</v>
      </c>
      <c r="F99" s="2" t="s">
        <v>26</v>
      </c>
      <c r="G99" s="4" t="n">
        <v>9500000</v>
      </c>
      <c r="H99" s="4" t="n">
        <v>350000</v>
      </c>
      <c r="I99" s="4" t="n">
        <v>330000</v>
      </c>
      <c r="J99" s="2" t="n">
        <v>19</v>
      </c>
      <c r="K99" s="2" t="n">
        <v>0</v>
      </c>
      <c r="L99" s="2" t="n">
        <v>3</v>
      </c>
      <c r="M99" s="2" t="n">
        <v>2</v>
      </c>
      <c r="N99" s="4" t="n">
        <v>95000</v>
      </c>
      <c r="O99" s="4" t="n">
        <v>190000</v>
      </c>
    </row>
    <row r="100" customFormat="false" ht="15" hidden="false" customHeight="false" outlineLevel="0" collapsed="false">
      <c r="A100" s="2" t="s">
        <v>341</v>
      </c>
      <c r="B100" s="2" t="s">
        <v>342</v>
      </c>
      <c r="C100" s="2" t="s">
        <v>23</v>
      </c>
      <c r="D100" s="2" t="s">
        <v>24</v>
      </c>
      <c r="E100" s="3" t="s">
        <v>343</v>
      </c>
      <c r="F100" s="2" t="s">
        <v>65</v>
      </c>
      <c r="G100" s="4" t="n">
        <v>5800000</v>
      </c>
      <c r="H100" s="4" t="n">
        <v>350000</v>
      </c>
      <c r="I100" s="4" t="n">
        <v>250000</v>
      </c>
      <c r="J100" s="2" t="n">
        <v>18</v>
      </c>
      <c r="K100" s="2" t="n">
        <v>1</v>
      </c>
      <c r="L100" s="2" t="n">
        <v>1</v>
      </c>
      <c r="M100" s="2" t="n">
        <v>4</v>
      </c>
      <c r="N100" s="4" t="n">
        <v>58000</v>
      </c>
      <c r="O100" s="4" t="n">
        <v>116000</v>
      </c>
    </row>
    <row r="101" customFormat="false" ht="15" hidden="false" customHeight="false" outlineLevel="0" collapsed="false">
      <c r="A101" s="2" t="s">
        <v>344</v>
      </c>
      <c r="B101" s="2" t="s">
        <v>345</v>
      </c>
      <c r="C101" s="2" t="s">
        <v>68</v>
      </c>
      <c r="D101" s="2" t="s">
        <v>217</v>
      </c>
      <c r="E101" s="3" t="s">
        <v>346</v>
      </c>
      <c r="F101" s="2" t="s">
        <v>26</v>
      </c>
      <c r="G101" s="4" t="n">
        <v>4800000</v>
      </c>
      <c r="H101" s="4" t="n">
        <v>350000</v>
      </c>
      <c r="I101" s="4" t="n">
        <v>330000</v>
      </c>
      <c r="J101" s="2" t="n">
        <v>18</v>
      </c>
      <c r="K101" s="2" t="n">
        <v>3</v>
      </c>
      <c r="L101" s="2" t="n">
        <v>3</v>
      </c>
      <c r="M101" s="2" t="n">
        <v>0</v>
      </c>
      <c r="N101" s="4" t="n">
        <v>48000</v>
      </c>
      <c r="O101" s="4" t="n">
        <v>96000</v>
      </c>
    </row>
    <row r="102" customFormat="false" ht="15" hidden="false" customHeight="false" outlineLevel="0" collapsed="false">
      <c r="A102" s="2" t="s">
        <v>347</v>
      </c>
      <c r="B102" s="2" t="s">
        <v>348</v>
      </c>
      <c r="C102" s="2" t="s">
        <v>68</v>
      </c>
      <c r="D102" s="2" t="s">
        <v>69</v>
      </c>
      <c r="E102" s="3" t="s">
        <v>349</v>
      </c>
      <c r="F102" s="2" t="s">
        <v>26</v>
      </c>
      <c r="G102" s="4" t="n">
        <v>5200000</v>
      </c>
      <c r="H102" s="4" t="n">
        <v>350000</v>
      </c>
      <c r="I102" s="4" t="n">
        <v>250000</v>
      </c>
      <c r="J102" s="2" t="n">
        <v>23</v>
      </c>
      <c r="K102" s="2" t="n">
        <v>2</v>
      </c>
      <c r="L102" s="2" t="n">
        <v>2</v>
      </c>
      <c r="M102" s="2" t="n">
        <v>0</v>
      </c>
      <c r="N102" s="4" t="n">
        <v>52000</v>
      </c>
      <c r="O102" s="4" t="n">
        <v>104000</v>
      </c>
    </row>
    <row r="103" customFormat="false" ht="15" hidden="false" customHeight="false" outlineLevel="0" collapsed="false">
      <c r="A103" s="2" t="s">
        <v>350</v>
      </c>
      <c r="B103" s="2" t="s">
        <v>96</v>
      </c>
      <c r="C103" s="2" t="s">
        <v>17</v>
      </c>
      <c r="D103" s="2" t="s">
        <v>18</v>
      </c>
      <c r="E103" s="3" t="s">
        <v>351</v>
      </c>
      <c r="F103" s="2" t="s">
        <v>65</v>
      </c>
      <c r="G103" s="4" t="n">
        <v>8500000</v>
      </c>
      <c r="H103" s="4" t="n">
        <v>300000</v>
      </c>
      <c r="I103" s="4" t="n">
        <v>330000</v>
      </c>
      <c r="J103" s="2" t="n">
        <v>19</v>
      </c>
      <c r="K103" s="2" t="n">
        <v>0</v>
      </c>
      <c r="L103" s="2" t="n">
        <v>0</v>
      </c>
      <c r="M103" s="2" t="n">
        <v>5</v>
      </c>
      <c r="N103" s="4" t="n">
        <v>85000</v>
      </c>
      <c r="O103" s="4" t="n">
        <v>170000</v>
      </c>
    </row>
    <row r="104" customFormat="false" ht="15" hidden="false" customHeight="false" outlineLevel="0" collapsed="false">
      <c r="A104" s="2" t="s">
        <v>352</v>
      </c>
      <c r="B104" s="2" t="s">
        <v>353</v>
      </c>
      <c r="C104" s="2" t="s">
        <v>57</v>
      </c>
      <c r="D104" s="2" t="s">
        <v>58</v>
      </c>
      <c r="E104" s="3" t="s">
        <v>354</v>
      </c>
      <c r="F104" s="2" t="s">
        <v>20</v>
      </c>
      <c r="G104" s="4" t="n">
        <v>9500000</v>
      </c>
      <c r="H104" s="4" t="n">
        <v>300000</v>
      </c>
      <c r="I104" s="4" t="n">
        <v>330000</v>
      </c>
      <c r="J104" s="2" t="n">
        <v>19</v>
      </c>
      <c r="K104" s="2" t="n">
        <v>1</v>
      </c>
      <c r="L104" s="2" t="n">
        <v>2</v>
      </c>
      <c r="M104" s="2" t="n">
        <v>2</v>
      </c>
      <c r="N104" s="4" t="n">
        <v>95000</v>
      </c>
      <c r="O104" s="4" t="n">
        <v>190000</v>
      </c>
    </row>
    <row r="105" customFormat="false" ht="15" hidden="false" customHeight="false" outlineLevel="0" collapsed="false">
      <c r="A105" s="2" t="s">
        <v>355</v>
      </c>
      <c r="B105" s="2" t="s">
        <v>356</v>
      </c>
      <c r="C105" s="2" t="s">
        <v>196</v>
      </c>
      <c r="D105" s="2" t="s">
        <v>197</v>
      </c>
      <c r="E105" s="3" t="s">
        <v>357</v>
      </c>
      <c r="F105" s="2" t="s">
        <v>65</v>
      </c>
      <c r="G105" s="4" t="n">
        <v>9500000</v>
      </c>
      <c r="H105" s="4" t="n">
        <v>350000</v>
      </c>
      <c r="I105" s="4" t="n">
        <v>250000</v>
      </c>
      <c r="J105" s="2" t="n">
        <v>18</v>
      </c>
      <c r="K105" s="2" t="n">
        <v>0</v>
      </c>
      <c r="L105" s="2" t="n">
        <v>1</v>
      </c>
      <c r="M105" s="2" t="n">
        <v>5</v>
      </c>
      <c r="N105" s="4" t="n">
        <v>95000</v>
      </c>
      <c r="O105" s="4" t="n">
        <v>190000</v>
      </c>
    </row>
    <row r="106" customFormat="false" ht="15" hidden="false" customHeight="false" outlineLevel="0" collapsed="false">
      <c r="A106" s="2" t="s">
        <v>358</v>
      </c>
      <c r="B106" s="2" t="s">
        <v>359</v>
      </c>
      <c r="C106" s="2" t="s">
        <v>47</v>
      </c>
      <c r="D106" s="2" t="s">
        <v>113</v>
      </c>
      <c r="E106" s="3" t="s">
        <v>360</v>
      </c>
      <c r="F106" s="2" t="s">
        <v>20</v>
      </c>
      <c r="G106" s="4" t="n">
        <v>5800000</v>
      </c>
      <c r="H106" s="4" t="n">
        <v>300000</v>
      </c>
      <c r="I106" s="4" t="n">
        <v>250000</v>
      </c>
      <c r="J106" s="2" t="n">
        <v>23</v>
      </c>
      <c r="K106" s="2" t="n">
        <v>3</v>
      </c>
      <c r="L106" s="2" t="n">
        <v>0</v>
      </c>
      <c r="M106" s="2" t="n">
        <v>0</v>
      </c>
      <c r="N106" s="4" t="n">
        <v>58000</v>
      </c>
      <c r="O106" s="4" t="n">
        <v>116000</v>
      </c>
    </row>
    <row r="107" customFormat="false" ht="15" hidden="false" customHeight="false" outlineLevel="0" collapsed="false">
      <c r="A107" s="2" t="s">
        <v>361</v>
      </c>
      <c r="B107" s="2" t="s">
        <v>362</v>
      </c>
      <c r="C107" s="2" t="s">
        <v>52</v>
      </c>
      <c r="D107" s="2" t="s">
        <v>124</v>
      </c>
      <c r="E107" s="3" t="s">
        <v>363</v>
      </c>
      <c r="F107" s="2" t="s">
        <v>26</v>
      </c>
      <c r="G107" s="4" t="n">
        <v>8500000</v>
      </c>
      <c r="H107" s="4" t="n">
        <v>400000</v>
      </c>
      <c r="I107" s="4" t="n">
        <v>250000</v>
      </c>
      <c r="J107" s="2" t="n">
        <v>22</v>
      </c>
      <c r="K107" s="2" t="n">
        <v>0</v>
      </c>
      <c r="L107" s="2" t="n">
        <v>2</v>
      </c>
      <c r="M107" s="2" t="n">
        <v>0</v>
      </c>
      <c r="N107" s="4" t="n">
        <v>85000</v>
      </c>
      <c r="O107" s="4" t="n">
        <v>170000</v>
      </c>
    </row>
    <row r="108" customFormat="false" ht="15" hidden="false" customHeight="false" outlineLevel="0" collapsed="false">
      <c r="A108" s="2" t="s">
        <v>364</v>
      </c>
      <c r="B108" s="2" t="s">
        <v>365</v>
      </c>
      <c r="C108" s="2" t="s">
        <v>196</v>
      </c>
      <c r="D108" s="2" t="s">
        <v>197</v>
      </c>
      <c r="E108" s="3" t="s">
        <v>366</v>
      </c>
      <c r="F108" s="2" t="s">
        <v>26</v>
      </c>
      <c r="G108" s="4" t="n">
        <v>4500000</v>
      </c>
      <c r="H108" s="4" t="n">
        <v>350000</v>
      </c>
      <c r="I108" s="4" t="n">
        <v>330000</v>
      </c>
      <c r="J108" s="2" t="n">
        <v>21</v>
      </c>
      <c r="K108" s="2" t="n">
        <v>0</v>
      </c>
      <c r="L108" s="2" t="n">
        <v>0</v>
      </c>
      <c r="M108" s="2" t="n">
        <v>3</v>
      </c>
      <c r="N108" s="4" t="n">
        <v>45000</v>
      </c>
      <c r="O108" s="4" t="n">
        <v>90000</v>
      </c>
    </row>
    <row r="109" customFormat="false" ht="15" hidden="false" customHeight="false" outlineLevel="0" collapsed="false">
      <c r="A109" s="2" t="s">
        <v>367</v>
      </c>
      <c r="B109" s="2" t="s">
        <v>368</v>
      </c>
      <c r="C109" s="2" t="s">
        <v>57</v>
      </c>
      <c r="D109" s="2" t="s">
        <v>238</v>
      </c>
      <c r="E109" s="3" t="s">
        <v>369</v>
      </c>
      <c r="F109" s="2" t="s">
        <v>20</v>
      </c>
      <c r="G109" s="4" t="n">
        <v>9500000</v>
      </c>
      <c r="H109" s="4" t="n">
        <v>400000</v>
      </c>
      <c r="I109" s="4" t="n">
        <v>300000</v>
      </c>
      <c r="J109" s="2" t="n">
        <v>21</v>
      </c>
      <c r="K109" s="2" t="n">
        <v>2</v>
      </c>
      <c r="L109" s="2" t="n">
        <v>3</v>
      </c>
      <c r="M109" s="2" t="n">
        <v>0</v>
      </c>
      <c r="N109" s="4" t="n">
        <v>95000</v>
      </c>
      <c r="O109" s="4" t="n">
        <v>190000</v>
      </c>
    </row>
    <row r="110" customFormat="false" ht="15" hidden="false" customHeight="false" outlineLevel="0" collapsed="false">
      <c r="A110" s="2" t="s">
        <v>370</v>
      </c>
      <c r="B110" s="2" t="s">
        <v>371</v>
      </c>
      <c r="C110" s="2" t="s">
        <v>62</v>
      </c>
      <c r="D110" s="2" t="s">
        <v>141</v>
      </c>
      <c r="E110" s="3" t="s">
        <v>372</v>
      </c>
      <c r="F110" s="2" t="s">
        <v>26</v>
      </c>
      <c r="G110" s="4" t="n">
        <v>9500000</v>
      </c>
      <c r="H110" s="4" t="n">
        <v>400000</v>
      </c>
      <c r="I110" s="4" t="n">
        <v>250000</v>
      </c>
      <c r="J110" s="2" t="n">
        <v>21</v>
      </c>
      <c r="K110" s="2" t="n">
        <v>3</v>
      </c>
      <c r="L110" s="2" t="n">
        <v>1</v>
      </c>
      <c r="M110" s="2" t="n">
        <v>0</v>
      </c>
      <c r="N110" s="4" t="n">
        <v>95000</v>
      </c>
      <c r="O110" s="4" t="n">
        <v>190000</v>
      </c>
    </row>
    <row r="111" customFormat="false" ht="15" hidden="false" customHeight="false" outlineLevel="0" collapsed="false">
      <c r="A111" s="2" t="s">
        <v>373</v>
      </c>
      <c r="B111" s="2" t="s">
        <v>273</v>
      </c>
      <c r="C111" s="2" t="s">
        <v>52</v>
      </c>
      <c r="D111" s="2" t="s">
        <v>124</v>
      </c>
      <c r="E111" s="3" t="s">
        <v>374</v>
      </c>
      <c r="F111" s="2" t="s">
        <v>26</v>
      </c>
      <c r="G111" s="4" t="n">
        <v>6500000</v>
      </c>
      <c r="H111" s="4" t="n">
        <v>350000</v>
      </c>
      <c r="I111" s="4" t="n">
        <v>300000</v>
      </c>
      <c r="J111" s="2" t="n">
        <v>23</v>
      </c>
      <c r="K111" s="2" t="n">
        <v>2</v>
      </c>
      <c r="L111" s="2" t="n">
        <v>2</v>
      </c>
      <c r="M111" s="2" t="n">
        <v>0</v>
      </c>
      <c r="N111" s="4" t="n">
        <v>65000</v>
      </c>
      <c r="O111" s="4" t="n">
        <v>130000</v>
      </c>
    </row>
    <row r="112" customFormat="false" ht="15" hidden="false" customHeight="false" outlineLevel="0" collapsed="false">
      <c r="A112" s="2" t="s">
        <v>375</v>
      </c>
      <c r="B112" s="2" t="s">
        <v>376</v>
      </c>
      <c r="C112" s="2" t="s">
        <v>23</v>
      </c>
      <c r="D112" s="2" t="s">
        <v>24</v>
      </c>
      <c r="E112" s="3" t="s">
        <v>377</v>
      </c>
      <c r="F112" s="2" t="s">
        <v>20</v>
      </c>
      <c r="G112" s="4" t="n">
        <v>4500000</v>
      </c>
      <c r="H112" s="4" t="n">
        <v>400000</v>
      </c>
      <c r="I112" s="4" t="n">
        <v>330000</v>
      </c>
      <c r="J112" s="2" t="n">
        <v>20</v>
      </c>
      <c r="K112" s="2" t="n">
        <v>1</v>
      </c>
      <c r="L112" s="2" t="n">
        <v>0</v>
      </c>
      <c r="M112" s="2" t="n">
        <v>3</v>
      </c>
      <c r="N112" s="4" t="n">
        <v>45000</v>
      </c>
      <c r="O112" s="4" t="n">
        <v>90000</v>
      </c>
    </row>
    <row r="113" customFormat="false" ht="15" hidden="false" customHeight="false" outlineLevel="0" collapsed="false">
      <c r="A113" s="2" t="s">
        <v>378</v>
      </c>
      <c r="B113" s="2" t="s">
        <v>136</v>
      </c>
      <c r="C113" s="2" t="s">
        <v>86</v>
      </c>
      <c r="D113" s="2" t="s">
        <v>106</v>
      </c>
      <c r="E113" s="3" t="s">
        <v>351</v>
      </c>
      <c r="F113" s="2" t="s">
        <v>26</v>
      </c>
      <c r="G113" s="4" t="n">
        <v>7200000</v>
      </c>
      <c r="H113" s="4" t="n">
        <v>400000</v>
      </c>
      <c r="I113" s="4" t="n">
        <v>250000</v>
      </c>
      <c r="J113" s="2" t="n">
        <v>20</v>
      </c>
      <c r="K113" s="2" t="n">
        <v>2</v>
      </c>
      <c r="L113" s="2" t="n">
        <v>2</v>
      </c>
      <c r="M113" s="2" t="n">
        <v>0</v>
      </c>
      <c r="N113" s="4" t="n">
        <v>72000</v>
      </c>
      <c r="O113" s="4" t="n">
        <v>144000</v>
      </c>
    </row>
    <row r="114" customFormat="false" ht="15" hidden="false" customHeight="false" outlineLevel="0" collapsed="false">
      <c r="A114" s="2" t="s">
        <v>379</v>
      </c>
      <c r="B114" s="2" t="s">
        <v>380</v>
      </c>
      <c r="C114" s="2" t="s">
        <v>86</v>
      </c>
      <c r="D114" s="2" t="s">
        <v>87</v>
      </c>
      <c r="E114" s="3" t="s">
        <v>381</v>
      </c>
      <c r="F114" s="2" t="s">
        <v>26</v>
      </c>
      <c r="G114" s="4" t="n">
        <v>5200000</v>
      </c>
      <c r="H114" s="4" t="n">
        <v>300000</v>
      </c>
      <c r="I114" s="4" t="n">
        <v>300000</v>
      </c>
      <c r="J114" s="2" t="n">
        <v>24</v>
      </c>
      <c r="K114" s="2" t="n">
        <v>2</v>
      </c>
      <c r="L114" s="2" t="n">
        <v>0</v>
      </c>
      <c r="M114" s="2" t="n">
        <v>0</v>
      </c>
      <c r="N114" s="4" t="n">
        <v>52000</v>
      </c>
      <c r="O114" s="4" t="n">
        <v>104000</v>
      </c>
    </row>
    <row r="115" customFormat="false" ht="15" hidden="false" customHeight="false" outlineLevel="0" collapsed="false">
      <c r="A115" s="2" t="s">
        <v>382</v>
      </c>
      <c r="B115" s="2" t="s">
        <v>383</v>
      </c>
      <c r="C115" s="2" t="s">
        <v>47</v>
      </c>
      <c r="D115" s="2" t="s">
        <v>117</v>
      </c>
      <c r="E115" s="3" t="s">
        <v>134</v>
      </c>
      <c r="F115" s="2" t="s">
        <v>65</v>
      </c>
      <c r="G115" s="4" t="n">
        <v>9500000</v>
      </c>
      <c r="H115" s="4" t="n">
        <v>300000</v>
      </c>
      <c r="I115" s="4" t="n">
        <v>330000</v>
      </c>
      <c r="J115" s="2" t="n">
        <v>23</v>
      </c>
      <c r="K115" s="2" t="n">
        <v>2</v>
      </c>
      <c r="L115" s="2" t="n">
        <v>0</v>
      </c>
      <c r="M115" s="2" t="n">
        <v>0</v>
      </c>
      <c r="N115" s="4" t="n">
        <v>95000</v>
      </c>
      <c r="O115" s="4" t="n">
        <v>190000</v>
      </c>
    </row>
    <row r="116" customFormat="false" ht="15" hidden="false" customHeight="false" outlineLevel="0" collapsed="false">
      <c r="A116" s="2" t="s">
        <v>384</v>
      </c>
      <c r="B116" s="2" t="s">
        <v>385</v>
      </c>
      <c r="C116" s="2" t="s">
        <v>17</v>
      </c>
      <c r="D116" s="2" t="s">
        <v>82</v>
      </c>
      <c r="E116" s="3" t="s">
        <v>386</v>
      </c>
      <c r="F116" s="2" t="s">
        <v>20</v>
      </c>
      <c r="G116" s="4" t="n">
        <v>4800000</v>
      </c>
      <c r="H116" s="4" t="n">
        <v>400000</v>
      </c>
      <c r="I116" s="4" t="n">
        <v>330000</v>
      </c>
      <c r="J116" s="2" t="n">
        <v>21</v>
      </c>
      <c r="K116" s="2" t="n">
        <v>0</v>
      </c>
      <c r="L116" s="2" t="n">
        <v>1</v>
      </c>
      <c r="M116" s="2" t="n">
        <v>2</v>
      </c>
      <c r="N116" s="4" t="n">
        <v>48000</v>
      </c>
      <c r="O116" s="4" t="n">
        <v>96000</v>
      </c>
    </row>
    <row r="117" customFormat="false" ht="15" hidden="false" customHeight="false" outlineLevel="0" collapsed="false">
      <c r="A117" s="2" t="s">
        <v>387</v>
      </c>
      <c r="B117" s="2" t="s">
        <v>231</v>
      </c>
      <c r="C117" s="2" t="s">
        <v>86</v>
      </c>
      <c r="D117" s="2" t="s">
        <v>87</v>
      </c>
      <c r="E117" s="3" t="s">
        <v>388</v>
      </c>
      <c r="F117" s="2" t="s">
        <v>26</v>
      </c>
      <c r="G117" s="4" t="n">
        <v>6500000</v>
      </c>
      <c r="H117" s="4" t="n">
        <v>300000</v>
      </c>
      <c r="I117" s="4" t="n">
        <v>300000</v>
      </c>
      <c r="J117" s="2" t="n">
        <v>20</v>
      </c>
      <c r="K117" s="2" t="n">
        <v>2</v>
      </c>
      <c r="L117" s="2" t="n">
        <v>0</v>
      </c>
      <c r="M117" s="2" t="n">
        <v>2</v>
      </c>
      <c r="N117" s="4" t="n">
        <v>65000</v>
      </c>
      <c r="O117" s="4" t="n">
        <v>130000</v>
      </c>
    </row>
    <row r="118" customFormat="false" ht="15" hidden="false" customHeight="false" outlineLevel="0" collapsed="false">
      <c r="A118" s="2" t="s">
        <v>389</v>
      </c>
      <c r="B118" s="2" t="s">
        <v>390</v>
      </c>
      <c r="C118" s="2" t="s">
        <v>57</v>
      </c>
      <c r="D118" s="2" t="s">
        <v>58</v>
      </c>
      <c r="E118" s="3" t="s">
        <v>391</v>
      </c>
      <c r="F118" s="2" t="s">
        <v>26</v>
      </c>
      <c r="G118" s="4" t="n">
        <v>5800000</v>
      </c>
      <c r="H118" s="4" t="n">
        <v>350000</v>
      </c>
      <c r="I118" s="4" t="n">
        <v>330000</v>
      </c>
      <c r="J118" s="2" t="n">
        <v>21</v>
      </c>
      <c r="K118" s="2" t="n">
        <v>3</v>
      </c>
      <c r="L118" s="2" t="n">
        <v>3</v>
      </c>
      <c r="M118" s="2" t="n">
        <v>0</v>
      </c>
      <c r="N118" s="4" t="n">
        <v>58000</v>
      </c>
      <c r="O118" s="4" t="n">
        <v>116000</v>
      </c>
    </row>
    <row r="119" customFormat="false" ht="15" hidden="false" customHeight="false" outlineLevel="0" collapsed="false">
      <c r="A119" s="2" t="s">
        <v>392</v>
      </c>
      <c r="B119" s="2" t="s">
        <v>393</v>
      </c>
      <c r="C119" s="2" t="s">
        <v>47</v>
      </c>
      <c r="D119" s="2" t="s">
        <v>113</v>
      </c>
      <c r="E119" s="3" t="s">
        <v>394</v>
      </c>
      <c r="F119" s="2" t="s">
        <v>20</v>
      </c>
      <c r="G119" s="4" t="n">
        <v>4500000</v>
      </c>
      <c r="H119" s="4" t="n">
        <v>350000</v>
      </c>
      <c r="I119" s="4" t="n">
        <v>330000</v>
      </c>
      <c r="J119" s="2" t="n">
        <v>23</v>
      </c>
      <c r="K119" s="2" t="n">
        <v>3</v>
      </c>
      <c r="L119" s="2" t="n">
        <v>2</v>
      </c>
      <c r="M119" s="2" t="n">
        <v>0</v>
      </c>
      <c r="N119" s="4" t="n">
        <v>45000</v>
      </c>
      <c r="O119" s="4" t="n">
        <v>90000</v>
      </c>
    </row>
    <row r="120" customFormat="false" ht="15" hidden="false" customHeight="false" outlineLevel="0" collapsed="false">
      <c r="A120" s="2" t="s">
        <v>395</v>
      </c>
      <c r="B120" s="2" t="s">
        <v>259</v>
      </c>
      <c r="C120" s="2" t="s">
        <v>62</v>
      </c>
      <c r="D120" s="2" t="s">
        <v>141</v>
      </c>
      <c r="E120" s="3" t="s">
        <v>396</v>
      </c>
      <c r="F120" s="2" t="s">
        <v>20</v>
      </c>
      <c r="G120" s="4" t="n">
        <v>5200000</v>
      </c>
      <c r="H120" s="4" t="n">
        <v>300000</v>
      </c>
      <c r="I120" s="4" t="n">
        <v>300000</v>
      </c>
      <c r="J120" s="2" t="n">
        <v>20</v>
      </c>
      <c r="K120" s="2" t="n">
        <v>2</v>
      </c>
      <c r="L120" s="2" t="n">
        <v>0</v>
      </c>
      <c r="M120" s="2" t="n">
        <v>2</v>
      </c>
      <c r="N120" s="4" t="n">
        <v>52000</v>
      </c>
      <c r="O120" s="4" t="n">
        <v>104000</v>
      </c>
    </row>
    <row r="121" customFormat="false" ht="15" hidden="false" customHeight="false" outlineLevel="0" collapsed="false">
      <c r="A121" s="2" t="s">
        <v>397</v>
      </c>
      <c r="B121" s="2" t="s">
        <v>398</v>
      </c>
      <c r="C121" s="2" t="s">
        <v>62</v>
      </c>
      <c r="D121" s="2" t="s">
        <v>141</v>
      </c>
      <c r="E121" s="3" t="s">
        <v>399</v>
      </c>
      <c r="F121" s="2" t="s">
        <v>26</v>
      </c>
      <c r="G121" s="4" t="n">
        <v>5200000</v>
      </c>
      <c r="H121" s="4" t="n">
        <v>400000</v>
      </c>
      <c r="I121" s="4" t="n">
        <v>330000</v>
      </c>
      <c r="J121" s="2" t="n">
        <v>24</v>
      </c>
      <c r="K121" s="2" t="n">
        <v>2</v>
      </c>
      <c r="L121" s="2" t="n">
        <v>0</v>
      </c>
      <c r="M121" s="2" t="n">
        <v>0</v>
      </c>
      <c r="N121" s="4" t="n">
        <v>52000</v>
      </c>
      <c r="O121" s="4" t="n">
        <v>104000</v>
      </c>
    </row>
    <row r="122" customFormat="false" ht="15" hidden="false" customHeight="false" outlineLevel="0" collapsed="false">
      <c r="A122" s="2" t="s">
        <v>400</v>
      </c>
      <c r="B122" s="2" t="s">
        <v>401</v>
      </c>
      <c r="C122" s="2" t="s">
        <v>62</v>
      </c>
      <c r="D122" s="2" t="s">
        <v>141</v>
      </c>
      <c r="E122" s="3" t="s">
        <v>221</v>
      </c>
      <c r="F122" s="2" t="s">
        <v>65</v>
      </c>
      <c r="G122" s="4" t="n">
        <v>6500000</v>
      </c>
      <c r="H122" s="4" t="n">
        <v>400000</v>
      </c>
      <c r="I122" s="4" t="n">
        <v>300000</v>
      </c>
      <c r="J122" s="2" t="n">
        <v>22</v>
      </c>
      <c r="K122" s="2" t="n">
        <v>3</v>
      </c>
      <c r="L122" s="2" t="n">
        <v>3</v>
      </c>
      <c r="M122" s="2" t="n">
        <v>0</v>
      </c>
      <c r="N122" s="4" t="n">
        <v>65000</v>
      </c>
      <c r="O122" s="4" t="n">
        <v>130000</v>
      </c>
    </row>
    <row r="123" customFormat="false" ht="15" hidden="false" customHeight="false" outlineLevel="0" collapsed="false">
      <c r="A123" s="2" t="s">
        <v>402</v>
      </c>
      <c r="B123" s="2" t="s">
        <v>403</v>
      </c>
      <c r="C123" s="2" t="s">
        <v>62</v>
      </c>
      <c r="D123" s="2" t="s">
        <v>141</v>
      </c>
      <c r="E123" s="3" t="s">
        <v>404</v>
      </c>
      <c r="F123" s="2" t="s">
        <v>20</v>
      </c>
      <c r="G123" s="4" t="n">
        <v>8500000</v>
      </c>
      <c r="H123" s="4" t="n">
        <v>400000</v>
      </c>
      <c r="I123" s="4" t="n">
        <v>300000</v>
      </c>
      <c r="J123" s="2" t="n">
        <v>18</v>
      </c>
      <c r="K123" s="2" t="n">
        <v>3</v>
      </c>
      <c r="L123" s="2" t="n">
        <v>0</v>
      </c>
      <c r="M123" s="2" t="n">
        <v>3</v>
      </c>
      <c r="N123" s="4" t="n">
        <v>85000</v>
      </c>
      <c r="O123" s="4" t="n">
        <v>170000</v>
      </c>
    </row>
    <row r="124" customFormat="false" ht="15" hidden="false" customHeight="false" outlineLevel="0" collapsed="false">
      <c r="A124" s="2" t="s">
        <v>405</v>
      </c>
      <c r="B124" s="2" t="s">
        <v>406</v>
      </c>
      <c r="C124" s="2" t="s">
        <v>62</v>
      </c>
      <c r="D124" s="2" t="s">
        <v>141</v>
      </c>
      <c r="E124" s="3" t="s">
        <v>118</v>
      </c>
      <c r="F124" s="2" t="s">
        <v>26</v>
      </c>
      <c r="G124" s="4" t="n">
        <v>6500000</v>
      </c>
      <c r="H124" s="4" t="n">
        <v>300000</v>
      </c>
      <c r="I124" s="4" t="n">
        <v>300000</v>
      </c>
      <c r="J124" s="2" t="n">
        <v>24</v>
      </c>
      <c r="K124" s="2" t="n">
        <v>1</v>
      </c>
      <c r="L124" s="2" t="n">
        <v>0</v>
      </c>
      <c r="M124" s="2" t="n">
        <v>0</v>
      </c>
      <c r="N124" s="4" t="n">
        <v>65000</v>
      </c>
      <c r="O124" s="4" t="n">
        <v>130000</v>
      </c>
    </row>
    <row r="125" customFormat="false" ht="15" hidden="false" customHeight="false" outlineLevel="0" collapsed="false">
      <c r="A125" s="2" t="s">
        <v>407</v>
      </c>
      <c r="B125" s="2" t="s">
        <v>72</v>
      </c>
      <c r="C125" s="2" t="s">
        <v>86</v>
      </c>
      <c r="D125" s="2" t="s">
        <v>87</v>
      </c>
      <c r="E125" s="3" t="s">
        <v>408</v>
      </c>
      <c r="F125" s="2" t="s">
        <v>26</v>
      </c>
      <c r="G125" s="4" t="n">
        <v>4800000</v>
      </c>
      <c r="H125" s="4" t="n">
        <v>300000</v>
      </c>
      <c r="I125" s="4" t="n">
        <v>250000</v>
      </c>
      <c r="J125" s="2" t="n">
        <v>19</v>
      </c>
      <c r="K125" s="2" t="n">
        <v>2</v>
      </c>
      <c r="L125" s="2" t="n">
        <v>1</v>
      </c>
      <c r="M125" s="2" t="n">
        <v>2</v>
      </c>
      <c r="N125" s="4" t="n">
        <v>48000</v>
      </c>
      <c r="O125" s="4" t="n">
        <v>96000</v>
      </c>
    </row>
    <row r="126" customFormat="false" ht="15" hidden="false" customHeight="false" outlineLevel="0" collapsed="false">
      <c r="A126" s="2" t="s">
        <v>409</v>
      </c>
      <c r="B126" s="2" t="s">
        <v>410</v>
      </c>
      <c r="C126" s="2" t="s">
        <v>57</v>
      </c>
      <c r="D126" s="2" t="s">
        <v>58</v>
      </c>
      <c r="E126" s="3" t="s">
        <v>411</v>
      </c>
      <c r="F126" s="2" t="s">
        <v>20</v>
      </c>
      <c r="G126" s="4" t="n">
        <v>8500000</v>
      </c>
      <c r="H126" s="4" t="n">
        <v>350000</v>
      </c>
      <c r="I126" s="4" t="n">
        <v>330000</v>
      </c>
      <c r="J126" s="2" t="n">
        <v>24</v>
      </c>
      <c r="K126" s="2" t="n">
        <v>3</v>
      </c>
      <c r="L126" s="2" t="n">
        <v>2</v>
      </c>
      <c r="M126" s="2" t="n">
        <v>0</v>
      </c>
      <c r="N126" s="4" t="n">
        <v>85000</v>
      </c>
      <c r="O126" s="4" t="n">
        <v>170000</v>
      </c>
    </row>
    <row r="127" customFormat="false" ht="15" hidden="false" customHeight="false" outlineLevel="0" collapsed="false">
      <c r="A127" s="2" t="s">
        <v>412</v>
      </c>
      <c r="B127" s="2" t="s">
        <v>413</v>
      </c>
      <c r="C127" s="2" t="s">
        <v>52</v>
      </c>
      <c r="D127" s="2" t="s">
        <v>53</v>
      </c>
      <c r="E127" s="3" t="s">
        <v>414</v>
      </c>
      <c r="F127" s="2" t="s">
        <v>26</v>
      </c>
      <c r="G127" s="4" t="n">
        <v>5800000</v>
      </c>
      <c r="H127" s="4" t="n">
        <v>350000</v>
      </c>
      <c r="I127" s="4" t="n">
        <v>330000</v>
      </c>
      <c r="J127" s="2" t="n">
        <v>18</v>
      </c>
      <c r="K127" s="2" t="n">
        <v>2</v>
      </c>
      <c r="L127" s="2" t="n">
        <v>0</v>
      </c>
      <c r="M127" s="2" t="n">
        <v>4</v>
      </c>
      <c r="N127" s="4" t="n">
        <v>58000</v>
      </c>
      <c r="O127" s="4" t="n">
        <v>116000</v>
      </c>
    </row>
    <row r="128" customFormat="false" ht="15" hidden="false" customHeight="false" outlineLevel="0" collapsed="false">
      <c r="A128" s="2" t="s">
        <v>415</v>
      </c>
      <c r="B128" s="2" t="s">
        <v>416</v>
      </c>
      <c r="C128" s="2" t="s">
        <v>52</v>
      </c>
      <c r="D128" s="2" t="s">
        <v>53</v>
      </c>
      <c r="E128" s="3" t="s">
        <v>417</v>
      </c>
      <c r="F128" s="2" t="s">
        <v>26</v>
      </c>
      <c r="G128" s="4" t="n">
        <v>5800000</v>
      </c>
      <c r="H128" s="4" t="n">
        <v>300000</v>
      </c>
      <c r="I128" s="4" t="n">
        <v>330000</v>
      </c>
      <c r="J128" s="2" t="n">
        <v>24</v>
      </c>
      <c r="K128" s="2" t="n">
        <v>0</v>
      </c>
      <c r="L128" s="2" t="n">
        <v>3</v>
      </c>
      <c r="M128" s="2" t="n">
        <v>0</v>
      </c>
      <c r="N128" s="4" t="n">
        <v>58000</v>
      </c>
      <c r="O128" s="4" t="n">
        <v>116000</v>
      </c>
    </row>
    <row r="129" customFormat="false" ht="15" hidden="false" customHeight="false" outlineLevel="0" collapsed="false">
      <c r="A129" s="2" t="s">
        <v>418</v>
      </c>
      <c r="B129" s="2" t="s">
        <v>419</v>
      </c>
      <c r="C129" s="2" t="s">
        <v>86</v>
      </c>
      <c r="D129" s="2" t="s">
        <v>87</v>
      </c>
      <c r="E129" s="3" t="s">
        <v>420</v>
      </c>
      <c r="F129" s="2" t="s">
        <v>65</v>
      </c>
      <c r="G129" s="4" t="n">
        <v>5200000</v>
      </c>
      <c r="H129" s="4" t="n">
        <v>350000</v>
      </c>
      <c r="I129" s="4" t="n">
        <v>330000</v>
      </c>
      <c r="J129" s="2" t="n">
        <v>21</v>
      </c>
      <c r="K129" s="2" t="n">
        <v>1</v>
      </c>
      <c r="L129" s="2" t="n">
        <v>0</v>
      </c>
      <c r="M129" s="2" t="n">
        <v>2</v>
      </c>
      <c r="N129" s="4" t="n">
        <v>52000</v>
      </c>
      <c r="O129" s="4" t="n">
        <v>104000</v>
      </c>
    </row>
    <row r="130" customFormat="false" ht="15" hidden="false" customHeight="false" outlineLevel="0" collapsed="false">
      <c r="A130" s="2" t="s">
        <v>421</v>
      </c>
      <c r="B130" s="2" t="s">
        <v>265</v>
      </c>
      <c r="C130" s="2" t="s">
        <v>68</v>
      </c>
      <c r="D130" s="2" t="s">
        <v>217</v>
      </c>
      <c r="E130" s="3" t="s">
        <v>422</v>
      </c>
      <c r="F130" s="2" t="s">
        <v>26</v>
      </c>
      <c r="G130" s="4" t="n">
        <v>4800000</v>
      </c>
      <c r="H130" s="4" t="n">
        <v>300000</v>
      </c>
      <c r="I130" s="4" t="n">
        <v>250000</v>
      </c>
      <c r="J130" s="2" t="n">
        <v>23</v>
      </c>
      <c r="K130" s="2" t="n">
        <v>3</v>
      </c>
      <c r="L130" s="2" t="n">
        <v>3</v>
      </c>
      <c r="M130" s="2" t="n">
        <v>0</v>
      </c>
      <c r="N130" s="4" t="n">
        <v>48000</v>
      </c>
      <c r="O130" s="4" t="n">
        <v>96000</v>
      </c>
    </row>
    <row r="131" customFormat="false" ht="15" hidden="false" customHeight="false" outlineLevel="0" collapsed="false">
      <c r="A131" s="2" t="s">
        <v>423</v>
      </c>
      <c r="B131" s="2" t="s">
        <v>424</v>
      </c>
      <c r="C131" s="2" t="s">
        <v>57</v>
      </c>
      <c r="D131" s="2" t="s">
        <v>137</v>
      </c>
      <c r="E131" s="3" t="s">
        <v>425</v>
      </c>
      <c r="F131" s="2" t="s">
        <v>65</v>
      </c>
      <c r="G131" s="4" t="n">
        <v>7200000</v>
      </c>
      <c r="H131" s="4" t="n">
        <v>350000</v>
      </c>
      <c r="I131" s="4" t="n">
        <v>300000</v>
      </c>
      <c r="J131" s="2" t="n">
        <v>23</v>
      </c>
      <c r="K131" s="2" t="n">
        <v>0</v>
      </c>
      <c r="L131" s="2" t="n">
        <v>2</v>
      </c>
      <c r="M131" s="2" t="n">
        <v>0</v>
      </c>
      <c r="N131" s="4" t="n">
        <v>72000</v>
      </c>
      <c r="O131" s="4" t="n">
        <v>144000</v>
      </c>
    </row>
    <row r="132" customFormat="false" ht="15" hidden="false" customHeight="false" outlineLevel="0" collapsed="false">
      <c r="A132" s="2" t="s">
        <v>426</v>
      </c>
      <c r="B132" s="2" t="s">
        <v>427</v>
      </c>
      <c r="C132" s="2" t="s">
        <v>23</v>
      </c>
      <c r="D132" s="2" t="s">
        <v>43</v>
      </c>
      <c r="E132" s="3" t="s">
        <v>428</v>
      </c>
      <c r="F132" s="2" t="s">
        <v>20</v>
      </c>
      <c r="G132" s="4" t="n">
        <v>4800000</v>
      </c>
      <c r="H132" s="4" t="n">
        <v>350000</v>
      </c>
      <c r="I132" s="4" t="n">
        <v>250000</v>
      </c>
      <c r="J132" s="2" t="n">
        <v>22</v>
      </c>
      <c r="K132" s="2" t="n">
        <v>1</v>
      </c>
      <c r="L132" s="2" t="n">
        <v>2</v>
      </c>
      <c r="M132" s="2" t="n">
        <v>0</v>
      </c>
      <c r="N132" s="4" t="n">
        <v>48000</v>
      </c>
      <c r="O132" s="4" t="n">
        <v>96000</v>
      </c>
    </row>
    <row r="133" customFormat="false" ht="15" hidden="false" customHeight="false" outlineLevel="0" collapsed="false">
      <c r="A133" s="2" t="s">
        <v>429</v>
      </c>
      <c r="B133" s="2" t="s">
        <v>430</v>
      </c>
      <c r="C133" s="2" t="s">
        <v>57</v>
      </c>
      <c r="D133" s="2" t="s">
        <v>58</v>
      </c>
      <c r="E133" s="3" t="s">
        <v>431</v>
      </c>
      <c r="F133" s="2" t="s">
        <v>20</v>
      </c>
      <c r="G133" s="4" t="n">
        <v>7200000</v>
      </c>
      <c r="H133" s="4" t="n">
        <v>400000</v>
      </c>
      <c r="I133" s="4" t="n">
        <v>300000</v>
      </c>
      <c r="J133" s="2" t="n">
        <v>24</v>
      </c>
      <c r="K133" s="2" t="n">
        <v>1</v>
      </c>
      <c r="L133" s="2" t="n">
        <v>0</v>
      </c>
      <c r="M133" s="2" t="n">
        <v>0</v>
      </c>
      <c r="N133" s="4" t="n">
        <v>72000</v>
      </c>
      <c r="O133" s="4" t="n">
        <v>144000</v>
      </c>
    </row>
    <row r="134" customFormat="false" ht="15" hidden="false" customHeight="false" outlineLevel="0" collapsed="false">
      <c r="A134" s="2" t="s">
        <v>432</v>
      </c>
      <c r="B134" s="2" t="s">
        <v>433</v>
      </c>
      <c r="C134" s="2" t="s">
        <v>68</v>
      </c>
      <c r="D134" s="2" t="s">
        <v>69</v>
      </c>
      <c r="E134" s="3" t="s">
        <v>434</v>
      </c>
      <c r="F134" s="2" t="s">
        <v>20</v>
      </c>
      <c r="G134" s="4" t="n">
        <v>5200000</v>
      </c>
      <c r="H134" s="4" t="n">
        <v>350000</v>
      </c>
      <c r="I134" s="4" t="n">
        <v>300000</v>
      </c>
      <c r="J134" s="2" t="n">
        <v>19</v>
      </c>
      <c r="K134" s="2" t="n">
        <v>1</v>
      </c>
      <c r="L134" s="2" t="n">
        <v>1</v>
      </c>
      <c r="M134" s="2" t="n">
        <v>3</v>
      </c>
      <c r="N134" s="4" t="n">
        <v>52000</v>
      </c>
      <c r="O134" s="4" t="n">
        <v>104000</v>
      </c>
    </row>
    <row r="135" customFormat="false" ht="15" hidden="false" customHeight="false" outlineLevel="0" collapsed="false">
      <c r="A135" s="2" t="s">
        <v>435</v>
      </c>
      <c r="B135" s="2" t="s">
        <v>436</v>
      </c>
      <c r="C135" s="2" t="s">
        <v>17</v>
      </c>
      <c r="D135" s="2" t="s">
        <v>18</v>
      </c>
      <c r="E135" s="3" t="s">
        <v>73</v>
      </c>
      <c r="F135" s="2" t="s">
        <v>26</v>
      </c>
      <c r="G135" s="4" t="n">
        <v>9500000</v>
      </c>
      <c r="H135" s="4" t="n">
        <v>300000</v>
      </c>
      <c r="I135" s="4" t="n">
        <v>330000</v>
      </c>
      <c r="J135" s="2" t="n">
        <v>20</v>
      </c>
      <c r="K135" s="2" t="n">
        <v>1</v>
      </c>
      <c r="L135" s="2" t="n">
        <v>3</v>
      </c>
      <c r="M135" s="2" t="n">
        <v>0</v>
      </c>
      <c r="N135" s="4" t="n">
        <v>95000</v>
      </c>
      <c r="O135" s="4" t="n">
        <v>190000</v>
      </c>
    </row>
    <row r="136" customFormat="false" ht="15" hidden="false" customHeight="false" outlineLevel="0" collapsed="false">
      <c r="A136" s="2" t="s">
        <v>437</v>
      </c>
      <c r="B136" s="2" t="s">
        <v>438</v>
      </c>
      <c r="C136" s="2" t="s">
        <v>57</v>
      </c>
      <c r="D136" s="2" t="s">
        <v>58</v>
      </c>
      <c r="E136" s="3" t="s">
        <v>439</v>
      </c>
      <c r="F136" s="2" t="s">
        <v>26</v>
      </c>
      <c r="G136" s="4" t="n">
        <v>4200000</v>
      </c>
      <c r="H136" s="4" t="n">
        <v>350000</v>
      </c>
      <c r="I136" s="4" t="n">
        <v>300000</v>
      </c>
      <c r="J136" s="2" t="n">
        <v>23</v>
      </c>
      <c r="K136" s="2" t="n">
        <v>1</v>
      </c>
      <c r="L136" s="2" t="n">
        <v>3</v>
      </c>
      <c r="M136" s="2" t="n">
        <v>0</v>
      </c>
      <c r="N136" s="4" t="n">
        <v>42000</v>
      </c>
      <c r="O136" s="4" t="n">
        <v>84000</v>
      </c>
    </row>
    <row r="137" customFormat="false" ht="15" hidden="false" customHeight="false" outlineLevel="0" collapsed="false">
      <c r="A137" s="2" t="s">
        <v>440</v>
      </c>
      <c r="B137" s="2" t="s">
        <v>441</v>
      </c>
      <c r="C137" s="2" t="s">
        <v>52</v>
      </c>
      <c r="D137" s="2" t="s">
        <v>53</v>
      </c>
      <c r="E137" s="3" t="s">
        <v>442</v>
      </c>
      <c r="F137" s="2" t="s">
        <v>20</v>
      </c>
      <c r="G137" s="4" t="n">
        <v>8500000</v>
      </c>
      <c r="H137" s="4" t="n">
        <v>300000</v>
      </c>
      <c r="I137" s="4" t="n">
        <v>300000</v>
      </c>
      <c r="J137" s="2" t="n">
        <v>23</v>
      </c>
      <c r="K137" s="2" t="n">
        <v>3</v>
      </c>
      <c r="L137" s="2" t="n">
        <v>3</v>
      </c>
      <c r="M137" s="2" t="n">
        <v>0</v>
      </c>
      <c r="N137" s="4" t="n">
        <v>85000</v>
      </c>
      <c r="O137" s="4" t="n">
        <v>170000</v>
      </c>
    </row>
    <row r="138" customFormat="false" ht="15" hidden="false" customHeight="false" outlineLevel="0" collapsed="false">
      <c r="A138" s="2" t="s">
        <v>443</v>
      </c>
      <c r="B138" s="2" t="s">
        <v>444</v>
      </c>
      <c r="C138" s="2" t="s">
        <v>86</v>
      </c>
      <c r="D138" s="2" t="s">
        <v>106</v>
      </c>
      <c r="E138" s="3" t="s">
        <v>445</v>
      </c>
      <c r="F138" s="2" t="s">
        <v>26</v>
      </c>
      <c r="G138" s="4" t="n">
        <v>4800000</v>
      </c>
      <c r="H138" s="4" t="n">
        <v>350000</v>
      </c>
      <c r="I138" s="4" t="n">
        <v>250000</v>
      </c>
      <c r="J138" s="2" t="n">
        <v>23</v>
      </c>
      <c r="K138" s="2" t="n">
        <v>3</v>
      </c>
      <c r="L138" s="2" t="n">
        <v>2</v>
      </c>
      <c r="M138" s="2" t="n">
        <v>0</v>
      </c>
      <c r="N138" s="4" t="n">
        <v>48000</v>
      </c>
      <c r="O138" s="4" t="n">
        <v>96000</v>
      </c>
    </row>
    <row r="139" customFormat="false" ht="15" hidden="false" customHeight="false" outlineLevel="0" collapsed="false">
      <c r="A139" s="2" t="s">
        <v>446</v>
      </c>
      <c r="B139" s="2" t="s">
        <v>447</v>
      </c>
      <c r="C139" s="2" t="s">
        <v>86</v>
      </c>
      <c r="D139" s="2" t="s">
        <v>87</v>
      </c>
      <c r="E139" s="3" t="s">
        <v>448</v>
      </c>
      <c r="F139" s="2" t="s">
        <v>20</v>
      </c>
      <c r="G139" s="4" t="n">
        <v>4800000</v>
      </c>
      <c r="H139" s="4" t="n">
        <v>350000</v>
      </c>
      <c r="I139" s="4" t="n">
        <v>300000</v>
      </c>
      <c r="J139" s="2" t="n">
        <v>22</v>
      </c>
      <c r="K139" s="2" t="n">
        <v>1</v>
      </c>
      <c r="L139" s="2" t="n">
        <v>3</v>
      </c>
      <c r="M139" s="2" t="n">
        <v>0</v>
      </c>
      <c r="N139" s="4" t="n">
        <v>48000</v>
      </c>
      <c r="O139" s="4" t="n">
        <v>96000</v>
      </c>
    </row>
    <row r="140" customFormat="false" ht="15" hidden="false" customHeight="false" outlineLevel="0" collapsed="false">
      <c r="A140" s="2" t="s">
        <v>449</v>
      </c>
      <c r="B140" s="2" t="s">
        <v>450</v>
      </c>
      <c r="C140" s="2" t="s">
        <v>52</v>
      </c>
      <c r="D140" s="2" t="s">
        <v>124</v>
      </c>
      <c r="E140" s="3" t="s">
        <v>451</v>
      </c>
      <c r="F140" s="2" t="s">
        <v>26</v>
      </c>
      <c r="G140" s="4" t="n">
        <v>7200000</v>
      </c>
      <c r="H140" s="4" t="n">
        <v>400000</v>
      </c>
      <c r="I140" s="4" t="n">
        <v>300000</v>
      </c>
      <c r="J140" s="2" t="n">
        <v>19</v>
      </c>
      <c r="K140" s="2" t="n">
        <v>3</v>
      </c>
      <c r="L140" s="2" t="n">
        <v>0</v>
      </c>
      <c r="M140" s="2" t="n">
        <v>2</v>
      </c>
      <c r="N140" s="4" t="n">
        <v>72000</v>
      </c>
      <c r="O140" s="4" t="n">
        <v>144000</v>
      </c>
    </row>
    <row r="141" customFormat="false" ht="15" hidden="false" customHeight="false" outlineLevel="0" collapsed="false">
      <c r="A141" s="2" t="s">
        <v>452</v>
      </c>
      <c r="B141" s="2" t="s">
        <v>56</v>
      </c>
      <c r="C141" s="2" t="s">
        <v>196</v>
      </c>
      <c r="D141" s="2" t="s">
        <v>197</v>
      </c>
      <c r="E141" s="3" t="s">
        <v>453</v>
      </c>
      <c r="F141" s="2" t="s">
        <v>26</v>
      </c>
      <c r="G141" s="4" t="n">
        <v>6500000</v>
      </c>
      <c r="H141" s="4" t="n">
        <v>300000</v>
      </c>
      <c r="I141" s="4" t="n">
        <v>250000</v>
      </c>
      <c r="J141" s="2" t="n">
        <v>18</v>
      </c>
      <c r="K141" s="2" t="n">
        <v>2</v>
      </c>
      <c r="L141" s="2" t="n">
        <v>3</v>
      </c>
      <c r="M141" s="2" t="n">
        <v>1</v>
      </c>
      <c r="N141" s="4" t="n">
        <v>65000</v>
      </c>
      <c r="O141" s="4" t="n">
        <v>130000</v>
      </c>
    </row>
    <row r="142" customFormat="false" ht="15" hidden="false" customHeight="false" outlineLevel="0" collapsed="false">
      <c r="A142" s="2" t="s">
        <v>454</v>
      </c>
      <c r="B142" s="2" t="s">
        <v>244</v>
      </c>
      <c r="C142" s="2" t="s">
        <v>52</v>
      </c>
      <c r="D142" s="2" t="s">
        <v>53</v>
      </c>
      <c r="E142" s="3" t="s">
        <v>455</v>
      </c>
      <c r="F142" s="2" t="s">
        <v>20</v>
      </c>
      <c r="G142" s="4" t="n">
        <v>5200000</v>
      </c>
      <c r="H142" s="4" t="n">
        <v>300000</v>
      </c>
      <c r="I142" s="4" t="n">
        <v>330000</v>
      </c>
      <c r="J142" s="2" t="n">
        <v>23</v>
      </c>
      <c r="K142" s="2" t="n">
        <v>3</v>
      </c>
      <c r="L142" s="2" t="n">
        <v>0</v>
      </c>
      <c r="M142" s="2" t="n">
        <v>0</v>
      </c>
      <c r="N142" s="4" t="n">
        <v>52000</v>
      </c>
      <c r="O142" s="4" t="n">
        <v>104000</v>
      </c>
    </row>
    <row r="143" customFormat="false" ht="15" hidden="false" customHeight="false" outlineLevel="0" collapsed="false">
      <c r="A143" s="2" t="s">
        <v>456</v>
      </c>
      <c r="B143" s="2" t="s">
        <v>457</v>
      </c>
      <c r="C143" s="2" t="s">
        <v>17</v>
      </c>
      <c r="D143" s="2" t="s">
        <v>18</v>
      </c>
      <c r="E143" s="3" t="s">
        <v>458</v>
      </c>
      <c r="F143" s="2" t="s">
        <v>20</v>
      </c>
      <c r="G143" s="4" t="n">
        <v>8500000</v>
      </c>
      <c r="H143" s="4" t="n">
        <v>300000</v>
      </c>
      <c r="I143" s="4" t="n">
        <v>250000</v>
      </c>
      <c r="J143" s="2" t="n">
        <v>24</v>
      </c>
      <c r="K143" s="2" t="n">
        <v>3</v>
      </c>
      <c r="L143" s="2" t="n">
        <v>0</v>
      </c>
      <c r="M143" s="2" t="n">
        <v>0</v>
      </c>
      <c r="N143" s="4" t="n">
        <v>85000</v>
      </c>
      <c r="O143" s="4" t="n">
        <v>170000</v>
      </c>
    </row>
    <row r="144" customFormat="false" ht="15" hidden="false" customHeight="false" outlineLevel="0" collapsed="false">
      <c r="A144" s="2" t="s">
        <v>459</v>
      </c>
      <c r="B144" s="2" t="s">
        <v>460</v>
      </c>
      <c r="C144" s="2" t="s">
        <v>47</v>
      </c>
      <c r="D144" s="2" t="s">
        <v>113</v>
      </c>
      <c r="E144" s="3" t="s">
        <v>461</v>
      </c>
      <c r="F144" s="2" t="s">
        <v>20</v>
      </c>
      <c r="G144" s="4" t="n">
        <v>4200000</v>
      </c>
      <c r="H144" s="4" t="n">
        <v>400000</v>
      </c>
      <c r="I144" s="4" t="n">
        <v>300000</v>
      </c>
      <c r="J144" s="2" t="n">
        <v>19</v>
      </c>
      <c r="K144" s="2" t="n">
        <v>3</v>
      </c>
      <c r="L144" s="2" t="n">
        <v>1</v>
      </c>
      <c r="M144" s="2" t="n">
        <v>1</v>
      </c>
      <c r="N144" s="4" t="n">
        <v>42000</v>
      </c>
      <c r="O144" s="4" t="n">
        <v>84000</v>
      </c>
    </row>
    <row r="145" customFormat="false" ht="15" hidden="false" customHeight="false" outlineLevel="0" collapsed="false">
      <c r="A145" s="2" t="s">
        <v>462</v>
      </c>
      <c r="B145" s="2" t="s">
        <v>463</v>
      </c>
      <c r="C145" s="2" t="s">
        <v>68</v>
      </c>
      <c r="D145" s="2" t="s">
        <v>69</v>
      </c>
      <c r="E145" s="3" t="s">
        <v>464</v>
      </c>
      <c r="F145" s="2" t="s">
        <v>26</v>
      </c>
      <c r="G145" s="4" t="n">
        <v>9500000</v>
      </c>
      <c r="H145" s="4" t="n">
        <v>400000</v>
      </c>
      <c r="I145" s="4" t="n">
        <v>250000</v>
      </c>
      <c r="J145" s="2" t="n">
        <v>21</v>
      </c>
      <c r="K145" s="2" t="n">
        <v>3</v>
      </c>
      <c r="L145" s="2" t="n">
        <v>0</v>
      </c>
      <c r="M145" s="2" t="n">
        <v>0</v>
      </c>
      <c r="N145" s="4" t="n">
        <v>95000</v>
      </c>
      <c r="O145" s="4" t="n">
        <v>190000</v>
      </c>
    </row>
    <row r="146" customFormat="false" ht="15" hidden="false" customHeight="false" outlineLevel="0" collapsed="false">
      <c r="A146" s="2" t="s">
        <v>465</v>
      </c>
      <c r="B146" s="2" t="s">
        <v>466</v>
      </c>
      <c r="C146" s="2" t="s">
        <v>17</v>
      </c>
      <c r="D146" s="2" t="s">
        <v>36</v>
      </c>
      <c r="E146" s="3" t="s">
        <v>467</v>
      </c>
      <c r="F146" s="2" t="s">
        <v>26</v>
      </c>
      <c r="G146" s="4" t="n">
        <v>4500000</v>
      </c>
      <c r="H146" s="4" t="n">
        <v>350000</v>
      </c>
      <c r="I146" s="4" t="n">
        <v>250000</v>
      </c>
      <c r="J146" s="2" t="n">
        <v>23</v>
      </c>
      <c r="K146" s="2" t="n">
        <v>0</v>
      </c>
      <c r="L146" s="2" t="n">
        <v>2</v>
      </c>
      <c r="M146" s="2" t="n">
        <v>0</v>
      </c>
      <c r="N146" s="4" t="n">
        <v>45000</v>
      </c>
      <c r="O146" s="4" t="n">
        <v>90000</v>
      </c>
    </row>
    <row r="147" customFormat="false" ht="15" hidden="false" customHeight="false" outlineLevel="0" collapsed="false">
      <c r="A147" s="2" t="s">
        <v>468</v>
      </c>
      <c r="B147" s="2" t="s">
        <v>469</v>
      </c>
      <c r="C147" s="2" t="s">
        <v>68</v>
      </c>
      <c r="D147" s="2" t="s">
        <v>217</v>
      </c>
      <c r="E147" s="3" t="s">
        <v>470</v>
      </c>
      <c r="F147" s="2" t="s">
        <v>26</v>
      </c>
      <c r="G147" s="4" t="n">
        <v>4800000</v>
      </c>
      <c r="H147" s="4" t="n">
        <v>400000</v>
      </c>
      <c r="I147" s="4" t="n">
        <v>300000</v>
      </c>
      <c r="J147" s="2" t="n">
        <v>23</v>
      </c>
      <c r="K147" s="2" t="n">
        <v>3</v>
      </c>
      <c r="L147" s="2" t="n">
        <v>1</v>
      </c>
      <c r="M147" s="2" t="n">
        <v>0</v>
      </c>
      <c r="N147" s="4" t="n">
        <v>48000</v>
      </c>
      <c r="O147" s="4" t="n">
        <v>96000</v>
      </c>
    </row>
    <row r="148" customFormat="false" ht="15" hidden="false" customHeight="false" outlineLevel="0" collapsed="false">
      <c r="A148" s="2" t="s">
        <v>471</v>
      </c>
      <c r="B148" s="2" t="s">
        <v>472</v>
      </c>
      <c r="C148" s="2" t="s">
        <v>52</v>
      </c>
      <c r="D148" s="2" t="s">
        <v>53</v>
      </c>
      <c r="E148" s="3" t="s">
        <v>473</v>
      </c>
      <c r="F148" s="2" t="s">
        <v>20</v>
      </c>
      <c r="G148" s="4" t="n">
        <v>5200000</v>
      </c>
      <c r="H148" s="4" t="n">
        <v>300000</v>
      </c>
      <c r="I148" s="4" t="n">
        <v>300000</v>
      </c>
      <c r="J148" s="2" t="n">
        <v>20</v>
      </c>
      <c r="K148" s="2" t="n">
        <v>3</v>
      </c>
      <c r="L148" s="2" t="n">
        <v>3</v>
      </c>
      <c r="M148" s="2" t="n">
        <v>0</v>
      </c>
      <c r="N148" s="4" t="n">
        <v>52000</v>
      </c>
      <c r="O148" s="4" t="n">
        <v>104000</v>
      </c>
    </row>
    <row r="149" customFormat="false" ht="15" hidden="false" customHeight="false" outlineLevel="0" collapsed="false">
      <c r="A149" s="2" t="s">
        <v>474</v>
      </c>
      <c r="B149" s="2" t="s">
        <v>475</v>
      </c>
      <c r="C149" s="2" t="s">
        <v>47</v>
      </c>
      <c r="D149" s="2" t="s">
        <v>117</v>
      </c>
      <c r="E149" s="3" t="s">
        <v>476</v>
      </c>
      <c r="F149" s="2" t="s">
        <v>26</v>
      </c>
      <c r="G149" s="4" t="n">
        <v>4200000</v>
      </c>
      <c r="H149" s="4" t="n">
        <v>400000</v>
      </c>
      <c r="I149" s="4" t="n">
        <v>300000</v>
      </c>
      <c r="J149" s="2" t="n">
        <v>20</v>
      </c>
      <c r="K149" s="2" t="n">
        <v>0</v>
      </c>
      <c r="L149" s="2" t="n">
        <v>2</v>
      </c>
      <c r="M149" s="2" t="n">
        <v>2</v>
      </c>
      <c r="N149" s="4" t="n">
        <v>42000</v>
      </c>
      <c r="O149" s="4" t="n">
        <v>84000</v>
      </c>
    </row>
    <row r="150" customFormat="false" ht="15" hidden="false" customHeight="false" outlineLevel="0" collapsed="false">
      <c r="A150" s="2" t="s">
        <v>477</v>
      </c>
      <c r="B150" s="2" t="s">
        <v>478</v>
      </c>
      <c r="C150" s="2" t="s">
        <v>52</v>
      </c>
      <c r="D150" s="2" t="s">
        <v>124</v>
      </c>
      <c r="E150" s="3" t="s">
        <v>479</v>
      </c>
      <c r="F150" s="2" t="s">
        <v>65</v>
      </c>
      <c r="G150" s="4" t="n">
        <v>8500000</v>
      </c>
      <c r="H150" s="4" t="n">
        <v>400000</v>
      </c>
      <c r="I150" s="4" t="n">
        <v>300000</v>
      </c>
      <c r="J150" s="2" t="n">
        <v>20</v>
      </c>
      <c r="K150" s="2" t="n">
        <v>2</v>
      </c>
      <c r="L150" s="2" t="n">
        <v>0</v>
      </c>
      <c r="M150" s="2" t="n">
        <v>2</v>
      </c>
      <c r="N150" s="4" t="n">
        <v>85000</v>
      </c>
      <c r="O150" s="4" t="n">
        <v>170000</v>
      </c>
    </row>
    <row r="151" customFormat="false" ht="15" hidden="false" customHeight="false" outlineLevel="0" collapsed="false">
      <c r="A151" s="2" t="s">
        <v>480</v>
      </c>
      <c r="B151" s="2" t="s">
        <v>481</v>
      </c>
      <c r="C151" s="2" t="s">
        <v>62</v>
      </c>
      <c r="D151" s="2" t="s">
        <v>141</v>
      </c>
      <c r="E151" s="3" t="s">
        <v>482</v>
      </c>
      <c r="F151" s="2" t="s">
        <v>20</v>
      </c>
      <c r="G151" s="4" t="n">
        <v>4500000</v>
      </c>
      <c r="H151" s="4" t="n">
        <v>300000</v>
      </c>
      <c r="I151" s="4" t="n">
        <v>300000</v>
      </c>
      <c r="J151" s="2" t="n">
        <v>23</v>
      </c>
      <c r="K151" s="2" t="n">
        <v>2</v>
      </c>
      <c r="L151" s="2" t="n">
        <v>2</v>
      </c>
      <c r="M151" s="2" t="n">
        <v>0</v>
      </c>
      <c r="N151" s="4" t="n">
        <v>45000</v>
      </c>
      <c r="O151" s="4" t="n">
        <v>90000</v>
      </c>
    </row>
    <row r="152" customFormat="false" ht="15" hidden="false" customHeight="false" outlineLevel="0" collapsed="false">
      <c r="A152" s="2" t="s">
        <v>483</v>
      </c>
      <c r="B152" s="2" t="s">
        <v>484</v>
      </c>
      <c r="C152" s="2" t="s">
        <v>62</v>
      </c>
      <c r="D152" s="2" t="s">
        <v>141</v>
      </c>
      <c r="E152" s="3" t="s">
        <v>485</v>
      </c>
      <c r="F152" s="2" t="s">
        <v>26</v>
      </c>
      <c r="G152" s="4" t="n">
        <v>4200000</v>
      </c>
      <c r="H152" s="4" t="n">
        <v>400000</v>
      </c>
      <c r="I152" s="4" t="n">
        <v>300000</v>
      </c>
      <c r="J152" s="2" t="n">
        <v>22</v>
      </c>
      <c r="K152" s="2" t="n">
        <v>3</v>
      </c>
      <c r="L152" s="2" t="n">
        <v>2</v>
      </c>
      <c r="M152" s="2" t="n">
        <v>0</v>
      </c>
      <c r="N152" s="4" t="n">
        <v>42000</v>
      </c>
      <c r="O152" s="4" t="n">
        <v>84000</v>
      </c>
    </row>
    <row r="153" customFormat="false" ht="15" hidden="false" customHeight="false" outlineLevel="0" collapsed="false">
      <c r="A153" s="2" t="s">
        <v>486</v>
      </c>
      <c r="B153" s="2" t="s">
        <v>487</v>
      </c>
      <c r="C153" s="2" t="s">
        <v>62</v>
      </c>
      <c r="D153" s="2" t="s">
        <v>63</v>
      </c>
      <c r="E153" s="3" t="s">
        <v>488</v>
      </c>
      <c r="F153" s="2" t="s">
        <v>26</v>
      </c>
      <c r="G153" s="4" t="n">
        <v>4800000</v>
      </c>
      <c r="H153" s="4" t="n">
        <v>300000</v>
      </c>
      <c r="I153" s="4" t="n">
        <v>250000</v>
      </c>
      <c r="J153" s="2" t="n">
        <v>24</v>
      </c>
      <c r="K153" s="2" t="n">
        <v>3</v>
      </c>
      <c r="L153" s="2" t="n">
        <v>0</v>
      </c>
      <c r="M153" s="2" t="n">
        <v>0</v>
      </c>
      <c r="N153" s="4" t="n">
        <v>48000</v>
      </c>
      <c r="O153" s="4" t="n">
        <v>96000</v>
      </c>
    </row>
    <row r="154" customFormat="false" ht="15" hidden="false" customHeight="false" outlineLevel="0" collapsed="false">
      <c r="A154" s="2" t="s">
        <v>489</v>
      </c>
      <c r="B154" s="2" t="s">
        <v>472</v>
      </c>
      <c r="C154" s="2" t="s">
        <v>47</v>
      </c>
      <c r="D154" s="2" t="s">
        <v>113</v>
      </c>
      <c r="E154" s="3" t="s">
        <v>490</v>
      </c>
      <c r="F154" s="2" t="s">
        <v>26</v>
      </c>
      <c r="G154" s="4" t="n">
        <v>4200000</v>
      </c>
      <c r="H154" s="4" t="n">
        <v>400000</v>
      </c>
      <c r="I154" s="4" t="n">
        <v>250000</v>
      </c>
      <c r="J154" s="2" t="n">
        <v>23</v>
      </c>
      <c r="K154" s="2" t="n">
        <v>3</v>
      </c>
      <c r="L154" s="2" t="n">
        <v>2</v>
      </c>
      <c r="M154" s="2" t="n">
        <v>0</v>
      </c>
      <c r="N154" s="4" t="n">
        <v>42000</v>
      </c>
      <c r="O154" s="4" t="n">
        <v>84000</v>
      </c>
    </row>
    <row r="155" customFormat="false" ht="15" hidden="false" customHeight="false" outlineLevel="0" collapsed="false">
      <c r="A155" s="2" t="s">
        <v>491</v>
      </c>
      <c r="B155" s="2" t="s">
        <v>492</v>
      </c>
      <c r="C155" s="2" t="s">
        <v>23</v>
      </c>
      <c r="D155" s="2" t="s">
        <v>43</v>
      </c>
      <c r="E155" s="3" t="s">
        <v>493</v>
      </c>
      <c r="F155" s="2" t="s">
        <v>26</v>
      </c>
      <c r="G155" s="4" t="n">
        <v>7200000</v>
      </c>
      <c r="H155" s="4" t="n">
        <v>350000</v>
      </c>
      <c r="I155" s="4" t="n">
        <v>330000</v>
      </c>
      <c r="J155" s="2" t="n">
        <v>20</v>
      </c>
      <c r="K155" s="2" t="n">
        <v>1</v>
      </c>
      <c r="L155" s="2" t="n">
        <v>0</v>
      </c>
      <c r="M155" s="2" t="n">
        <v>3</v>
      </c>
      <c r="N155" s="4" t="n">
        <v>72000</v>
      </c>
      <c r="O155" s="4" t="n">
        <v>144000</v>
      </c>
    </row>
    <row r="156" customFormat="false" ht="15" hidden="false" customHeight="false" outlineLevel="0" collapsed="false">
      <c r="A156" s="2" t="s">
        <v>494</v>
      </c>
      <c r="B156" s="2" t="s">
        <v>495</v>
      </c>
      <c r="C156" s="2" t="s">
        <v>52</v>
      </c>
      <c r="D156" s="2" t="s">
        <v>124</v>
      </c>
      <c r="E156" s="3" t="s">
        <v>496</v>
      </c>
      <c r="F156" s="2" t="s">
        <v>20</v>
      </c>
      <c r="G156" s="4" t="n">
        <v>5800000</v>
      </c>
      <c r="H156" s="4" t="n">
        <v>400000</v>
      </c>
      <c r="I156" s="4" t="n">
        <v>300000</v>
      </c>
      <c r="J156" s="2" t="n">
        <v>19</v>
      </c>
      <c r="K156" s="2" t="n">
        <v>2</v>
      </c>
      <c r="L156" s="2" t="n">
        <v>3</v>
      </c>
      <c r="M156" s="2" t="n">
        <v>0</v>
      </c>
      <c r="N156" s="4" t="n">
        <v>58000</v>
      </c>
      <c r="O156" s="4" t="n">
        <v>116000</v>
      </c>
    </row>
    <row r="157" customFormat="false" ht="15" hidden="false" customHeight="false" outlineLevel="0" collapsed="false">
      <c r="A157" s="2" t="s">
        <v>497</v>
      </c>
      <c r="B157" s="2" t="s">
        <v>498</v>
      </c>
      <c r="C157" s="2" t="s">
        <v>57</v>
      </c>
      <c r="D157" s="2" t="s">
        <v>238</v>
      </c>
      <c r="E157" s="3" t="s">
        <v>499</v>
      </c>
      <c r="F157" s="2" t="s">
        <v>20</v>
      </c>
      <c r="G157" s="4" t="n">
        <v>8500000</v>
      </c>
      <c r="H157" s="4" t="n">
        <v>300000</v>
      </c>
      <c r="I157" s="4" t="n">
        <v>330000</v>
      </c>
      <c r="J157" s="2" t="n">
        <v>24</v>
      </c>
      <c r="K157" s="2" t="n">
        <v>2</v>
      </c>
      <c r="L157" s="2" t="n">
        <v>2</v>
      </c>
      <c r="M157" s="2" t="n">
        <v>0</v>
      </c>
      <c r="N157" s="4" t="n">
        <v>85000</v>
      </c>
      <c r="O157" s="4" t="n">
        <v>170000</v>
      </c>
    </row>
    <row r="158" customFormat="false" ht="15" hidden="false" customHeight="false" outlineLevel="0" collapsed="false">
      <c r="A158" s="2" t="s">
        <v>500</v>
      </c>
      <c r="B158" s="2" t="s">
        <v>501</v>
      </c>
      <c r="C158" s="2" t="s">
        <v>86</v>
      </c>
      <c r="D158" s="2" t="s">
        <v>106</v>
      </c>
      <c r="E158" s="3" t="s">
        <v>502</v>
      </c>
      <c r="F158" s="2" t="s">
        <v>26</v>
      </c>
      <c r="G158" s="4" t="n">
        <v>4800000</v>
      </c>
      <c r="H158" s="4" t="n">
        <v>350000</v>
      </c>
      <c r="I158" s="4" t="n">
        <v>330000</v>
      </c>
      <c r="J158" s="2" t="n">
        <v>19</v>
      </c>
      <c r="K158" s="2" t="n">
        <v>0</v>
      </c>
      <c r="L158" s="2" t="n">
        <v>1</v>
      </c>
      <c r="M158" s="2" t="n">
        <v>4</v>
      </c>
      <c r="N158" s="4" t="n">
        <v>48000</v>
      </c>
      <c r="O158" s="4" t="n">
        <v>96000</v>
      </c>
    </row>
    <row r="159" customFormat="false" ht="15" hidden="false" customHeight="false" outlineLevel="0" collapsed="false">
      <c r="A159" s="2" t="s">
        <v>503</v>
      </c>
      <c r="B159" s="2" t="s">
        <v>504</v>
      </c>
      <c r="C159" s="2" t="s">
        <v>52</v>
      </c>
      <c r="D159" s="2" t="s">
        <v>53</v>
      </c>
      <c r="E159" s="3" t="s">
        <v>505</v>
      </c>
      <c r="F159" s="2" t="s">
        <v>26</v>
      </c>
      <c r="G159" s="4" t="n">
        <v>6500000</v>
      </c>
      <c r="H159" s="4" t="n">
        <v>350000</v>
      </c>
      <c r="I159" s="4" t="n">
        <v>330000</v>
      </c>
      <c r="J159" s="2" t="n">
        <v>19</v>
      </c>
      <c r="K159" s="2" t="n">
        <v>0</v>
      </c>
      <c r="L159" s="2" t="n">
        <v>0</v>
      </c>
      <c r="M159" s="2" t="n">
        <v>5</v>
      </c>
      <c r="N159" s="4" t="n">
        <v>65000</v>
      </c>
      <c r="O159" s="4" t="n">
        <v>130000</v>
      </c>
    </row>
    <row r="160" customFormat="false" ht="15" hidden="false" customHeight="false" outlineLevel="0" collapsed="false">
      <c r="A160" s="2" t="s">
        <v>506</v>
      </c>
      <c r="B160" s="2" t="s">
        <v>430</v>
      </c>
      <c r="C160" s="2" t="s">
        <v>52</v>
      </c>
      <c r="D160" s="2" t="s">
        <v>124</v>
      </c>
      <c r="E160" s="3" t="s">
        <v>507</v>
      </c>
      <c r="F160" s="2" t="s">
        <v>26</v>
      </c>
      <c r="G160" s="4" t="n">
        <v>4500000</v>
      </c>
      <c r="H160" s="4" t="n">
        <v>300000</v>
      </c>
      <c r="I160" s="4" t="n">
        <v>300000</v>
      </c>
      <c r="J160" s="2" t="n">
        <v>23</v>
      </c>
      <c r="K160" s="2" t="n">
        <v>0</v>
      </c>
      <c r="L160" s="2" t="n">
        <v>3</v>
      </c>
      <c r="M160" s="2" t="n">
        <v>0</v>
      </c>
      <c r="N160" s="4" t="n">
        <v>45000</v>
      </c>
      <c r="O160" s="4" t="n">
        <v>90000</v>
      </c>
    </row>
    <row r="161" customFormat="false" ht="15" hidden="false" customHeight="false" outlineLevel="0" collapsed="false">
      <c r="A161" s="2" t="s">
        <v>508</v>
      </c>
      <c r="B161" s="2" t="s">
        <v>509</v>
      </c>
      <c r="C161" s="2" t="s">
        <v>68</v>
      </c>
      <c r="D161" s="2" t="s">
        <v>69</v>
      </c>
      <c r="E161" s="3" t="s">
        <v>510</v>
      </c>
      <c r="F161" s="2" t="s">
        <v>26</v>
      </c>
      <c r="G161" s="4" t="n">
        <v>4800000</v>
      </c>
      <c r="H161" s="4" t="n">
        <v>300000</v>
      </c>
      <c r="I161" s="4" t="n">
        <v>300000</v>
      </c>
      <c r="J161" s="2" t="n">
        <v>22</v>
      </c>
      <c r="K161" s="2" t="n">
        <v>0</v>
      </c>
      <c r="L161" s="2" t="n">
        <v>0</v>
      </c>
      <c r="M161" s="2" t="n">
        <v>2</v>
      </c>
      <c r="N161" s="4" t="n">
        <v>48000</v>
      </c>
      <c r="O161" s="4" t="n">
        <v>96000</v>
      </c>
    </row>
    <row r="162" customFormat="false" ht="15" hidden="false" customHeight="false" outlineLevel="0" collapsed="false">
      <c r="A162" s="2" t="s">
        <v>511</v>
      </c>
      <c r="B162" s="2" t="s">
        <v>512</v>
      </c>
      <c r="C162" s="2" t="s">
        <v>17</v>
      </c>
      <c r="D162" s="2" t="s">
        <v>18</v>
      </c>
      <c r="E162" s="3" t="s">
        <v>445</v>
      </c>
      <c r="F162" s="2" t="s">
        <v>20</v>
      </c>
      <c r="G162" s="4" t="n">
        <v>5200000</v>
      </c>
      <c r="H162" s="4" t="n">
        <v>350000</v>
      </c>
      <c r="I162" s="4" t="n">
        <v>330000</v>
      </c>
      <c r="J162" s="2" t="n">
        <v>20</v>
      </c>
      <c r="K162" s="2" t="n">
        <v>0</v>
      </c>
      <c r="L162" s="2" t="n">
        <v>2</v>
      </c>
      <c r="M162" s="2" t="n">
        <v>2</v>
      </c>
      <c r="N162" s="4" t="n">
        <v>52000</v>
      </c>
      <c r="O162" s="4" t="n">
        <v>104000</v>
      </c>
    </row>
    <row r="163" customFormat="false" ht="15" hidden="false" customHeight="false" outlineLevel="0" collapsed="false">
      <c r="A163" s="2" t="s">
        <v>513</v>
      </c>
      <c r="B163" s="2" t="s">
        <v>514</v>
      </c>
      <c r="C163" s="2" t="s">
        <v>17</v>
      </c>
      <c r="D163" s="2" t="s">
        <v>18</v>
      </c>
      <c r="E163" s="3" t="s">
        <v>515</v>
      </c>
      <c r="F163" s="2" t="s">
        <v>26</v>
      </c>
      <c r="G163" s="4" t="n">
        <v>4500000</v>
      </c>
      <c r="H163" s="4" t="n">
        <v>400000</v>
      </c>
      <c r="I163" s="4" t="n">
        <v>330000</v>
      </c>
      <c r="J163" s="2" t="n">
        <v>19</v>
      </c>
      <c r="K163" s="2" t="n">
        <v>1</v>
      </c>
      <c r="L163" s="2" t="n">
        <v>1</v>
      </c>
      <c r="M163" s="2" t="n">
        <v>3</v>
      </c>
      <c r="N163" s="4" t="n">
        <v>45000</v>
      </c>
      <c r="O163" s="4" t="n">
        <v>90000</v>
      </c>
    </row>
    <row r="164" customFormat="false" ht="15" hidden="false" customHeight="false" outlineLevel="0" collapsed="false">
      <c r="A164" s="2" t="s">
        <v>516</v>
      </c>
      <c r="B164" s="2" t="s">
        <v>517</v>
      </c>
      <c r="C164" s="2" t="s">
        <v>68</v>
      </c>
      <c r="D164" s="2" t="s">
        <v>217</v>
      </c>
      <c r="E164" s="3" t="s">
        <v>518</v>
      </c>
      <c r="F164" s="2" t="s">
        <v>26</v>
      </c>
      <c r="G164" s="4" t="n">
        <v>4200000</v>
      </c>
      <c r="H164" s="4" t="n">
        <v>300000</v>
      </c>
      <c r="I164" s="4" t="n">
        <v>250000</v>
      </c>
      <c r="J164" s="2" t="n">
        <v>23</v>
      </c>
      <c r="K164" s="2" t="n">
        <v>2</v>
      </c>
      <c r="L164" s="2" t="n">
        <v>1</v>
      </c>
      <c r="M164" s="2" t="n">
        <v>0</v>
      </c>
      <c r="N164" s="4" t="n">
        <v>42000</v>
      </c>
      <c r="O164" s="4" t="n">
        <v>84000</v>
      </c>
    </row>
    <row r="165" customFormat="false" ht="15" hidden="false" customHeight="false" outlineLevel="0" collapsed="false">
      <c r="A165" s="2" t="s">
        <v>519</v>
      </c>
      <c r="B165" s="2" t="s">
        <v>520</v>
      </c>
      <c r="C165" s="2" t="s">
        <v>196</v>
      </c>
      <c r="D165" s="2" t="s">
        <v>197</v>
      </c>
      <c r="E165" s="3" t="s">
        <v>482</v>
      </c>
      <c r="F165" s="2" t="s">
        <v>20</v>
      </c>
      <c r="G165" s="4" t="n">
        <v>5800000</v>
      </c>
      <c r="H165" s="4" t="n">
        <v>350000</v>
      </c>
      <c r="I165" s="4" t="n">
        <v>250000</v>
      </c>
      <c r="J165" s="2" t="n">
        <v>24</v>
      </c>
      <c r="K165" s="2" t="n">
        <v>3</v>
      </c>
      <c r="L165" s="2" t="n">
        <v>2</v>
      </c>
      <c r="M165" s="2" t="n">
        <v>0</v>
      </c>
      <c r="N165" s="4" t="n">
        <v>58000</v>
      </c>
      <c r="O165" s="4" t="n">
        <v>116000</v>
      </c>
    </row>
    <row r="166" customFormat="false" ht="15" hidden="false" customHeight="false" outlineLevel="0" collapsed="false">
      <c r="A166" s="2" t="s">
        <v>521</v>
      </c>
      <c r="B166" s="2" t="s">
        <v>522</v>
      </c>
      <c r="C166" s="2" t="s">
        <v>196</v>
      </c>
      <c r="D166" s="2" t="s">
        <v>523</v>
      </c>
      <c r="E166" s="3" t="s">
        <v>524</v>
      </c>
      <c r="F166" s="2" t="s">
        <v>26</v>
      </c>
      <c r="G166" s="4" t="n">
        <v>8500000</v>
      </c>
      <c r="H166" s="4" t="n">
        <v>300000</v>
      </c>
      <c r="I166" s="4" t="n">
        <v>300000</v>
      </c>
      <c r="J166" s="2" t="n">
        <v>22</v>
      </c>
      <c r="K166" s="2" t="n">
        <v>1</v>
      </c>
      <c r="L166" s="2" t="n">
        <v>2</v>
      </c>
      <c r="M166" s="2" t="n">
        <v>0</v>
      </c>
      <c r="N166" s="4" t="n">
        <v>85000</v>
      </c>
      <c r="O166" s="4" t="n">
        <v>170000</v>
      </c>
    </row>
    <row r="167" customFormat="false" ht="15" hidden="false" customHeight="false" outlineLevel="0" collapsed="false">
      <c r="A167" s="2" t="s">
        <v>525</v>
      </c>
      <c r="B167" s="2" t="s">
        <v>526</v>
      </c>
      <c r="C167" s="2" t="s">
        <v>62</v>
      </c>
      <c r="D167" s="2" t="s">
        <v>141</v>
      </c>
      <c r="E167" s="3" t="s">
        <v>527</v>
      </c>
      <c r="F167" s="2" t="s">
        <v>26</v>
      </c>
      <c r="G167" s="4" t="n">
        <v>4500000</v>
      </c>
      <c r="H167" s="4" t="n">
        <v>350000</v>
      </c>
      <c r="I167" s="4" t="n">
        <v>250000</v>
      </c>
      <c r="J167" s="2" t="n">
        <v>21</v>
      </c>
      <c r="K167" s="2" t="n">
        <v>0</v>
      </c>
      <c r="L167" s="2" t="n">
        <v>2</v>
      </c>
      <c r="M167" s="2" t="n">
        <v>1</v>
      </c>
      <c r="N167" s="4" t="n">
        <v>45000</v>
      </c>
      <c r="O167" s="4" t="n">
        <v>90000</v>
      </c>
    </row>
    <row r="168" customFormat="false" ht="15" hidden="false" customHeight="false" outlineLevel="0" collapsed="false">
      <c r="A168" s="2" t="s">
        <v>528</v>
      </c>
      <c r="B168" s="2" t="s">
        <v>529</v>
      </c>
      <c r="C168" s="2" t="s">
        <v>57</v>
      </c>
      <c r="D168" s="2" t="s">
        <v>238</v>
      </c>
      <c r="E168" s="3" t="s">
        <v>530</v>
      </c>
      <c r="F168" s="2" t="s">
        <v>20</v>
      </c>
      <c r="G168" s="4" t="n">
        <v>7200000</v>
      </c>
      <c r="H168" s="4" t="n">
        <v>400000</v>
      </c>
      <c r="I168" s="4" t="n">
        <v>300000</v>
      </c>
      <c r="J168" s="2" t="n">
        <v>19</v>
      </c>
      <c r="K168" s="2" t="n">
        <v>1</v>
      </c>
      <c r="L168" s="2" t="n">
        <v>2</v>
      </c>
      <c r="M168" s="2" t="n">
        <v>2</v>
      </c>
      <c r="N168" s="4" t="n">
        <v>72000</v>
      </c>
      <c r="O168" s="4" t="n">
        <v>144000</v>
      </c>
    </row>
    <row r="169" customFormat="false" ht="15" hidden="false" customHeight="false" outlineLevel="0" collapsed="false">
      <c r="A169" s="2" t="s">
        <v>531</v>
      </c>
      <c r="B169" s="2" t="s">
        <v>532</v>
      </c>
      <c r="C169" s="2" t="s">
        <v>47</v>
      </c>
      <c r="D169" s="2" t="s">
        <v>48</v>
      </c>
      <c r="E169" s="3" t="s">
        <v>533</v>
      </c>
      <c r="F169" s="2" t="s">
        <v>65</v>
      </c>
      <c r="G169" s="4" t="n">
        <v>8500000</v>
      </c>
      <c r="H169" s="4" t="n">
        <v>350000</v>
      </c>
      <c r="I169" s="4" t="n">
        <v>300000</v>
      </c>
      <c r="J169" s="2" t="n">
        <v>21</v>
      </c>
      <c r="K169" s="2" t="n">
        <v>0</v>
      </c>
      <c r="L169" s="2" t="n">
        <v>0</v>
      </c>
      <c r="M169" s="2" t="n">
        <v>3</v>
      </c>
      <c r="N169" s="4" t="n">
        <v>85000</v>
      </c>
      <c r="O169" s="4" t="n">
        <v>170000</v>
      </c>
    </row>
    <row r="170" customFormat="false" ht="15" hidden="false" customHeight="false" outlineLevel="0" collapsed="false">
      <c r="A170" s="2" t="s">
        <v>534</v>
      </c>
      <c r="B170" s="2" t="s">
        <v>535</v>
      </c>
      <c r="C170" s="2" t="s">
        <v>52</v>
      </c>
      <c r="D170" s="2" t="s">
        <v>53</v>
      </c>
      <c r="E170" s="3" t="s">
        <v>536</v>
      </c>
      <c r="F170" s="2" t="s">
        <v>26</v>
      </c>
      <c r="G170" s="4" t="n">
        <v>4200000</v>
      </c>
      <c r="H170" s="4" t="n">
        <v>300000</v>
      </c>
      <c r="I170" s="4" t="n">
        <v>300000</v>
      </c>
      <c r="J170" s="2" t="n">
        <v>21</v>
      </c>
      <c r="K170" s="2" t="n">
        <v>3</v>
      </c>
      <c r="L170" s="2" t="n">
        <v>2</v>
      </c>
      <c r="M170" s="2" t="n">
        <v>0</v>
      </c>
      <c r="N170" s="4" t="n">
        <v>42000</v>
      </c>
      <c r="O170" s="4" t="n">
        <v>84000</v>
      </c>
    </row>
    <row r="171" customFormat="false" ht="15" hidden="false" customHeight="false" outlineLevel="0" collapsed="false">
      <c r="A171" s="2" t="s">
        <v>537</v>
      </c>
      <c r="B171" s="2" t="s">
        <v>538</v>
      </c>
      <c r="C171" s="2" t="s">
        <v>23</v>
      </c>
      <c r="D171" s="2" t="s">
        <v>32</v>
      </c>
      <c r="E171" s="3" t="s">
        <v>539</v>
      </c>
      <c r="F171" s="2" t="s">
        <v>26</v>
      </c>
      <c r="G171" s="4" t="n">
        <v>6500000</v>
      </c>
      <c r="H171" s="4" t="n">
        <v>350000</v>
      </c>
      <c r="I171" s="4" t="n">
        <v>300000</v>
      </c>
      <c r="J171" s="2" t="n">
        <v>18</v>
      </c>
      <c r="K171" s="2" t="n">
        <v>3</v>
      </c>
      <c r="L171" s="2" t="n">
        <v>0</v>
      </c>
      <c r="M171" s="2" t="n">
        <v>3</v>
      </c>
      <c r="N171" s="4" t="n">
        <v>65000</v>
      </c>
      <c r="O171" s="4" t="n">
        <v>130000</v>
      </c>
    </row>
    <row r="172" customFormat="false" ht="15" hidden="false" customHeight="false" outlineLevel="0" collapsed="false">
      <c r="A172" s="2" t="s">
        <v>540</v>
      </c>
      <c r="B172" s="2" t="s">
        <v>541</v>
      </c>
      <c r="C172" s="2" t="s">
        <v>47</v>
      </c>
      <c r="D172" s="2" t="s">
        <v>117</v>
      </c>
      <c r="E172" s="3" t="s">
        <v>128</v>
      </c>
      <c r="F172" s="2" t="s">
        <v>20</v>
      </c>
      <c r="G172" s="4" t="n">
        <v>7200000</v>
      </c>
      <c r="H172" s="4" t="n">
        <v>400000</v>
      </c>
      <c r="I172" s="4" t="n">
        <v>300000</v>
      </c>
      <c r="J172" s="2" t="n">
        <v>24</v>
      </c>
      <c r="K172" s="2" t="n">
        <v>2</v>
      </c>
      <c r="L172" s="2" t="n">
        <v>0</v>
      </c>
      <c r="M172" s="2" t="n">
        <v>0</v>
      </c>
      <c r="N172" s="4" t="n">
        <v>72000</v>
      </c>
      <c r="O172" s="4" t="n">
        <v>144000</v>
      </c>
    </row>
    <row r="173" customFormat="false" ht="15" hidden="false" customHeight="false" outlineLevel="0" collapsed="false">
      <c r="A173" s="2" t="s">
        <v>542</v>
      </c>
      <c r="B173" s="2" t="s">
        <v>543</v>
      </c>
      <c r="C173" s="2" t="s">
        <v>62</v>
      </c>
      <c r="D173" s="2" t="s">
        <v>63</v>
      </c>
      <c r="E173" s="3" t="s">
        <v>479</v>
      </c>
      <c r="F173" s="2" t="s">
        <v>26</v>
      </c>
      <c r="G173" s="4" t="n">
        <v>6500000</v>
      </c>
      <c r="H173" s="4" t="n">
        <v>300000</v>
      </c>
      <c r="I173" s="4" t="n">
        <v>250000</v>
      </c>
      <c r="J173" s="2" t="n">
        <v>22</v>
      </c>
      <c r="K173" s="2" t="n">
        <v>3</v>
      </c>
      <c r="L173" s="2" t="n">
        <v>0</v>
      </c>
      <c r="M173" s="2" t="n">
        <v>0</v>
      </c>
      <c r="N173" s="4" t="n">
        <v>65000</v>
      </c>
      <c r="O173" s="4" t="n">
        <v>130000</v>
      </c>
    </row>
    <row r="174" customFormat="false" ht="15" hidden="false" customHeight="false" outlineLevel="0" collapsed="false">
      <c r="A174" s="2" t="s">
        <v>544</v>
      </c>
      <c r="B174" s="2" t="s">
        <v>545</v>
      </c>
      <c r="C174" s="2" t="s">
        <v>57</v>
      </c>
      <c r="D174" s="2" t="s">
        <v>58</v>
      </c>
      <c r="E174" s="3" t="s">
        <v>546</v>
      </c>
      <c r="F174" s="2" t="s">
        <v>26</v>
      </c>
      <c r="G174" s="4" t="n">
        <v>9500000</v>
      </c>
      <c r="H174" s="4" t="n">
        <v>350000</v>
      </c>
      <c r="I174" s="4" t="n">
        <v>250000</v>
      </c>
      <c r="J174" s="2" t="n">
        <v>22</v>
      </c>
      <c r="K174" s="2" t="n">
        <v>1</v>
      </c>
      <c r="L174" s="2" t="n">
        <v>2</v>
      </c>
      <c r="M174" s="2" t="n">
        <v>0</v>
      </c>
      <c r="N174" s="4" t="n">
        <v>95000</v>
      </c>
      <c r="O174" s="4" t="n">
        <v>190000</v>
      </c>
    </row>
    <row r="175" customFormat="false" ht="15" hidden="false" customHeight="false" outlineLevel="0" collapsed="false">
      <c r="A175" s="2" t="s">
        <v>547</v>
      </c>
      <c r="B175" s="2" t="s">
        <v>548</v>
      </c>
      <c r="C175" s="2" t="s">
        <v>57</v>
      </c>
      <c r="D175" s="2" t="s">
        <v>137</v>
      </c>
      <c r="E175" s="3" t="s">
        <v>549</v>
      </c>
      <c r="F175" s="2" t="s">
        <v>26</v>
      </c>
      <c r="G175" s="4" t="n">
        <v>5800000</v>
      </c>
      <c r="H175" s="4" t="n">
        <v>400000</v>
      </c>
      <c r="I175" s="4" t="n">
        <v>300000</v>
      </c>
      <c r="J175" s="2" t="n">
        <v>22</v>
      </c>
      <c r="K175" s="2" t="n">
        <v>3</v>
      </c>
      <c r="L175" s="2" t="n">
        <v>2</v>
      </c>
      <c r="M175" s="2" t="n">
        <v>0</v>
      </c>
      <c r="N175" s="4" t="n">
        <v>58000</v>
      </c>
      <c r="O175" s="4" t="n">
        <v>116000</v>
      </c>
    </row>
    <row r="176" customFormat="false" ht="15" hidden="false" customHeight="false" outlineLevel="0" collapsed="false">
      <c r="A176" s="2" t="s">
        <v>550</v>
      </c>
      <c r="B176" s="2" t="s">
        <v>551</v>
      </c>
      <c r="C176" s="2" t="s">
        <v>68</v>
      </c>
      <c r="D176" s="2" t="s">
        <v>177</v>
      </c>
      <c r="E176" s="3" t="s">
        <v>552</v>
      </c>
      <c r="F176" s="2" t="s">
        <v>65</v>
      </c>
      <c r="G176" s="4" t="n">
        <v>5800000</v>
      </c>
      <c r="H176" s="4" t="n">
        <v>400000</v>
      </c>
      <c r="I176" s="4" t="n">
        <v>330000</v>
      </c>
      <c r="J176" s="2" t="n">
        <v>23</v>
      </c>
      <c r="K176" s="2" t="n">
        <v>0</v>
      </c>
      <c r="L176" s="2" t="n">
        <v>3</v>
      </c>
      <c r="M176" s="2" t="n">
        <v>0</v>
      </c>
      <c r="N176" s="4" t="n">
        <v>58000</v>
      </c>
      <c r="O176" s="4" t="n">
        <v>116000</v>
      </c>
    </row>
    <row r="177" customFormat="false" ht="15" hidden="false" customHeight="false" outlineLevel="0" collapsed="false">
      <c r="A177" s="2" t="s">
        <v>553</v>
      </c>
      <c r="B177" s="2" t="s">
        <v>554</v>
      </c>
      <c r="C177" s="2" t="s">
        <v>47</v>
      </c>
      <c r="D177" s="2" t="s">
        <v>113</v>
      </c>
      <c r="E177" s="3" t="s">
        <v>555</v>
      </c>
      <c r="F177" s="2" t="s">
        <v>26</v>
      </c>
      <c r="G177" s="4" t="n">
        <v>4800000</v>
      </c>
      <c r="H177" s="4" t="n">
        <v>400000</v>
      </c>
      <c r="I177" s="4" t="n">
        <v>330000</v>
      </c>
      <c r="J177" s="2" t="n">
        <v>23</v>
      </c>
      <c r="K177" s="2" t="n">
        <v>3</v>
      </c>
      <c r="L177" s="2" t="n">
        <v>1</v>
      </c>
      <c r="M177" s="2" t="n">
        <v>0</v>
      </c>
      <c r="N177" s="4" t="n">
        <v>48000</v>
      </c>
      <c r="O177" s="4" t="n">
        <v>96000</v>
      </c>
    </row>
    <row r="178" customFormat="false" ht="15" hidden="false" customHeight="false" outlineLevel="0" collapsed="false">
      <c r="A178" s="2" t="s">
        <v>556</v>
      </c>
      <c r="B178" s="2" t="s">
        <v>557</v>
      </c>
      <c r="C178" s="2" t="s">
        <v>23</v>
      </c>
      <c r="D178" s="2" t="s">
        <v>24</v>
      </c>
      <c r="E178" s="3" t="s">
        <v>558</v>
      </c>
      <c r="F178" s="2" t="s">
        <v>26</v>
      </c>
      <c r="G178" s="4" t="n">
        <v>7200000</v>
      </c>
      <c r="H178" s="4" t="n">
        <v>300000</v>
      </c>
      <c r="I178" s="4" t="n">
        <v>300000</v>
      </c>
      <c r="J178" s="2" t="n">
        <v>23</v>
      </c>
      <c r="K178" s="2" t="n">
        <v>1</v>
      </c>
      <c r="L178" s="2" t="n">
        <v>3</v>
      </c>
      <c r="M178" s="2" t="n">
        <v>0</v>
      </c>
      <c r="N178" s="4" t="n">
        <v>72000</v>
      </c>
      <c r="O178" s="4" t="n">
        <v>144000</v>
      </c>
    </row>
    <row r="179" customFormat="false" ht="15" hidden="false" customHeight="false" outlineLevel="0" collapsed="false">
      <c r="A179" s="2" t="s">
        <v>559</v>
      </c>
      <c r="B179" s="2" t="s">
        <v>371</v>
      </c>
      <c r="C179" s="2" t="s">
        <v>52</v>
      </c>
      <c r="D179" s="2" t="s">
        <v>53</v>
      </c>
      <c r="E179" s="3" t="s">
        <v>560</v>
      </c>
      <c r="F179" s="2" t="s">
        <v>26</v>
      </c>
      <c r="G179" s="4" t="n">
        <v>9500000</v>
      </c>
      <c r="H179" s="4" t="n">
        <v>350000</v>
      </c>
      <c r="I179" s="4" t="n">
        <v>330000</v>
      </c>
      <c r="J179" s="2" t="n">
        <v>21</v>
      </c>
      <c r="K179" s="2" t="n">
        <v>3</v>
      </c>
      <c r="L179" s="2" t="n">
        <v>2</v>
      </c>
      <c r="M179" s="2" t="n">
        <v>0</v>
      </c>
      <c r="N179" s="4" t="n">
        <v>95000</v>
      </c>
      <c r="O179" s="4" t="n">
        <v>190000</v>
      </c>
    </row>
    <row r="180" customFormat="false" ht="15" hidden="false" customHeight="false" outlineLevel="0" collapsed="false">
      <c r="A180" s="2" t="s">
        <v>561</v>
      </c>
      <c r="B180" s="2" t="s">
        <v>562</v>
      </c>
      <c r="C180" s="2" t="s">
        <v>86</v>
      </c>
      <c r="D180" s="2" t="s">
        <v>106</v>
      </c>
      <c r="E180" s="3" t="s">
        <v>563</v>
      </c>
      <c r="F180" s="2" t="s">
        <v>26</v>
      </c>
      <c r="G180" s="4" t="n">
        <v>5800000</v>
      </c>
      <c r="H180" s="4" t="n">
        <v>400000</v>
      </c>
      <c r="I180" s="4" t="n">
        <v>300000</v>
      </c>
      <c r="J180" s="2" t="n">
        <v>19</v>
      </c>
      <c r="K180" s="2" t="n">
        <v>1</v>
      </c>
      <c r="L180" s="2" t="n">
        <v>2</v>
      </c>
      <c r="M180" s="2" t="n">
        <v>2</v>
      </c>
      <c r="N180" s="4" t="n">
        <v>58000</v>
      </c>
      <c r="O180" s="4" t="n">
        <v>116000</v>
      </c>
    </row>
    <row r="181" customFormat="false" ht="15" hidden="false" customHeight="false" outlineLevel="0" collapsed="false">
      <c r="A181" s="2" t="s">
        <v>564</v>
      </c>
      <c r="B181" s="2" t="s">
        <v>565</v>
      </c>
      <c r="C181" s="2" t="s">
        <v>47</v>
      </c>
      <c r="D181" s="2" t="s">
        <v>117</v>
      </c>
      <c r="E181" s="3" t="s">
        <v>566</v>
      </c>
      <c r="F181" s="2" t="s">
        <v>26</v>
      </c>
      <c r="G181" s="4" t="n">
        <v>8500000</v>
      </c>
      <c r="H181" s="4" t="n">
        <v>350000</v>
      </c>
      <c r="I181" s="4" t="n">
        <v>300000</v>
      </c>
      <c r="J181" s="2" t="n">
        <v>20</v>
      </c>
      <c r="K181" s="2" t="n">
        <v>2</v>
      </c>
      <c r="L181" s="2" t="n">
        <v>2</v>
      </c>
      <c r="M181" s="2" t="n">
        <v>0</v>
      </c>
      <c r="N181" s="4" t="n">
        <v>85000</v>
      </c>
      <c r="O181" s="4" t="n">
        <v>170000</v>
      </c>
    </row>
    <row r="182" customFormat="false" ht="15" hidden="false" customHeight="false" outlineLevel="0" collapsed="false">
      <c r="A182" s="2" t="s">
        <v>567</v>
      </c>
      <c r="B182" s="2" t="s">
        <v>568</v>
      </c>
      <c r="C182" s="2" t="s">
        <v>86</v>
      </c>
      <c r="D182" s="2" t="s">
        <v>106</v>
      </c>
      <c r="E182" s="3" t="s">
        <v>569</v>
      </c>
      <c r="F182" s="2" t="s">
        <v>26</v>
      </c>
      <c r="G182" s="4" t="n">
        <v>4800000</v>
      </c>
      <c r="H182" s="4" t="n">
        <v>350000</v>
      </c>
      <c r="I182" s="4" t="n">
        <v>250000</v>
      </c>
      <c r="J182" s="2" t="n">
        <v>20</v>
      </c>
      <c r="K182" s="2" t="n">
        <v>0</v>
      </c>
      <c r="L182" s="2" t="n">
        <v>2</v>
      </c>
      <c r="M182" s="2" t="n">
        <v>2</v>
      </c>
      <c r="N182" s="4" t="n">
        <v>48000</v>
      </c>
      <c r="O182" s="4" t="n">
        <v>96000</v>
      </c>
    </row>
    <row r="183" customFormat="false" ht="15" hidden="false" customHeight="false" outlineLevel="0" collapsed="false">
      <c r="A183" s="2" t="s">
        <v>570</v>
      </c>
      <c r="B183" s="2" t="s">
        <v>180</v>
      </c>
      <c r="C183" s="2" t="s">
        <v>52</v>
      </c>
      <c r="D183" s="2" t="s">
        <v>53</v>
      </c>
      <c r="E183" s="3" t="s">
        <v>571</v>
      </c>
      <c r="F183" s="2" t="s">
        <v>26</v>
      </c>
      <c r="G183" s="4" t="n">
        <v>5800000</v>
      </c>
      <c r="H183" s="4" t="n">
        <v>400000</v>
      </c>
      <c r="I183" s="4" t="n">
        <v>330000</v>
      </c>
      <c r="J183" s="2" t="n">
        <v>20</v>
      </c>
      <c r="K183" s="2" t="n">
        <v>1</v>
      </c>
      <c r="L183" s="2" t="n">
        <v>0</v>
      </c>
      <c r="M183" s="2" t="n">
        <v>3</v>
      </c>
      <c r="N183" s="4" t="n">
        <v>58000</v>
      </c>
      <c r="O183" s="4" t="n">
        <v>116000</v>
      </c>
    </row>
    <row r="184" customFormat="false" ht="15" hidden="false" customHeight="false" outlineLevel="0" collapsed="false">
      <c r="A184" s="2" t="s">
        <v>572</v>
      </c>
      <c r="B184" s="2" t="s">
        <v>162</v>
      </c>
      <c r="C184" s="2" t="s">
        <v>47</v>
      </c>
      <c r="D184" s="2" t="s">
        <v>48</v>
      </c>
      <c r="E184" s="3" t="s">
        <v>530</v>
      </c>
      <c r="F184" s="2" t="s">
        <v>26</v>
      </c>
      <c r="G184" s="4" t="n">
        <v>9500000</v>
      </c>
      <c r="H184" s="4" t="n">
        <v>300000</v>
      </c>
      <c r="I184" s="4" t="n">
        <v>330000</v>
      </c>
      <c r="J184" s="2" t="n">
        <v>19</v>
      </c>
      <c r="K184" s="2" t="n">
        <v>0</v>
      </c>
      <c r="L184" s="2" t="n">
        <v>0</v>
      </c>
      <c r="M184" s="2" t="n">
        <v>5</v>
      </c>
      <c r="N184" s="4" t="n">
        <v>95000</v>
      </c>
      <c r="O184" s="4" t="n">
        <v>190000</v>
      </c>
    </row>
    <row r="185" customFormat="false" ht="15" hidden="false" customHeight="false" outlineLevel="0" collapsed="false">
      <c r="A185" s="2" t="s">
        <v>573</v>
      </c>
      <c r="B185" s="2" t="s">
        <v>273</v>
      </c>
      <c r="C185" s="2" t="s">
        <v>52</v>
      </c>
      <c r="D185" s="2" t="s">
        <v>53</v>
      </c>
      <c r="E185" s="3" t="s">
        <v>493</v>
      </c>
      <c r="F185" s="2" t="s">
        <v>20</v>
      </c>
      <c r="G185" s="4" t="n">
        <v>9500000</v>
      </c>
      <c r="H185" s="4" t="n">
        <v>300000</v>
      </c>
      <c r="I185" s="4" t="n">
        <v>300000</v>
      </c>
      <c r="J185" s="2" t="n">
        <v>23</v>
      </c>
      <c r="K185" s="2" t="n">
        <v>3</v>
      </c>
      <c r="L185" s="2" t="n">
        <v>3</v>
      </c>
      <c r="M185" s="2" t="n">
        <v>0</v>
      </c>
      <c r="N185" s="4" t="n">
        <v>95000</v>
      </c>
      <c r="O185" s="4" t="n">
        <v>190000</v>
      </c>
    </row>
    <row r="186" customFormat="false" ht="15" hidden="false" customHeight="false" outlineLevel="0" collapsed="false">
      <c r="A186" s="2" t="s">
        <v>574</v>
      </c>
      <c r="B186" s="2" t="s">
        <v>241</v>
      </c>
      <c r="C186" s="2" t="s">
        <v>68</v>
      </c>
      <c r="D186" s="2" t="s">
        <v>177</v>
      </c>
      <c r="E186" s="3" t="s">
        <v>575</v>
      </c>
      <c r="F186" s="2" t="s">
        <v>65</v>
      </c>
      <c r="G186" s="4" t="n">
        <v>4500000</v>
      </c>
      <c r="H186" s="4" t="n">
        <v>400000</v>
      </c>
      <c r="I186" s="4" t="n">
        <v>330000</v>
      </c>
      <c r="J186" s="2" t="n">
        <v>19</v>
      </c>
      <c r="K186" s="2" t="n">
        <v>0</v>
      </c>
      <c r="L186" s="2" t="n">
        <v>1</v>
      </c>
      <c r="M186" s="2" t="n">
        <v>4</v>
      </c>
      <c r="N186" s="4" t="n">
        <v>45000</v>
      </c>
      <c r="O186" s="4" t="n">
        <v>90000</v>
      </c>
    </row>
    <row r="187" customFormat="false" ht="15" hidden="false" customHeight="false" outlineLevel="0" collapsed="false">
      <c r="A187" s="2" t="s">
        <v>576</v>
      </c>
      <c r="B187" s="2" t="s">
        <v>577</v>
      </c>
      <c r="C187" s="2" t="s">
        <v>196</v>
      </c>
      <c r="D187" s="2" t="s">
        <v>197</v>
      </c>
      <c r="E187" s="3" t="s">
        <v>578</v>
      </c>
      <c r="F187" s="2" t="s">
        <v>20</v>
      </c>
      <c r="G187" s="4" t="n">
        <v>5800000</v>
      </c>
      <c r="H187" s="4" t="n">
        <v>300000</v>
      </c>
      <c r="I187" s="4" t="n">
        <v>250000</v>
      </c>
      <c r="J187" s="2" t="n">
        <v>20</v>
      </c>
      <c r="K187" s="2" t="n">
        <v>0</v>
      </c>
      <c r="L187" s="2" t="n">
        <v>2</v>
      </c>
      <c r="M187" s="2" t="n">
        <v>2</v>
      </c>
      <c r="N187" s="4" t="n">
        <v>58000</v>
      </c>
      <c r="O187" s="4" t="n">
        <v>116000</v>
      </c>
    </row>
    <row r="188" customFormat="false" ht="15" hidden="false" customHeight="false" outlineLevel="0" collapsed="false">
      <c r="A188" s="2" t="s">
        <v>579</v>
      </c>
      <c r="B188" s="2" t="s">
        <v>580</v>
      </c>
      <c r="C188" s="2" t="s">
        <v>86</v>
      </c>
      <c r="D188" s="2" t="s">
        <v>106</v>
      </c>
      <c r="E188" s="3" t="s">
        <v>581</v>
      </c>
      <c r="F188" s="2" t="s">
        <v>26</v>
      </c>
      <c r="G188" s="4" t="n">
        <v>8500000</v>
      </c>
      <c r="H188" s="4" t="n">
        <v>350000</v>
      </c>
      <c r="I188" s="4" t="n">
        <v>250000</v>
      </c>
      <c r="J188" s="2" t="n">
        <v>24</v>
      </c>
      <c r="K188" s="2" t="n">
        <v>0</v>
      </c>
      <c r="L188" s="2" t="n">
        <v>2</v>
      </c>
      <c r="M188" s="2" t="n">
        <v>0</v>
      </c>
      <c r="N188" s="4" t="n">
        <v>85000</v>
      </c>
      <c r="O188" s="4" t="n">
        <v>170000</v>
      </c>
    </row>
    <row r="189" customFormat="false" ht="15" hidden="false" customHeight="false" outlineLevel="0" collapsed="false">
      <c r="A189" s="2" t="s">
        <v>582</v>
      </c>
      <c r="B189" s="2" t="s">
        <v>583</v>
      </c>
      <c r="C189" s="2" t="s">
        <v>17</v>
      </c>
      <c r="D189" s="2" t="s">
        <v>36</v>
      </c>
      <c r="E189" s="3" t="s">
        <v>584</v>
      </c>
      <c r="F189" s="2" t="s">
        <v>20</v>
      </c>
      <c r="G189" s="4" t="n">
        <v>6500000</v>
      </c>
      <c r="H189" s="4" t="n">
        <v>350000</v>
      </c>
      <c r="I189" s="4" t="n">
        <v>330000</v>
      </c>
      <c r="J189" s="2" t="n">
        <v>23</v>
      </c>
      <c r="K189" s="2" t="n">
        <v>1</v>
      </c>
      <c r="L189" s="2" t="n">
        <v>1</v>
      </c>
      <c r="M189" s="2" t="n">
        <v>0</v>
      </c>
      <c r="N189" s="4" t="n">
        <v>65000</v>
      </c>
      <c r="O189" s="4" t="n">
        <v>130000</v>
      </c>
    </row>
    <row r="190" customFormat="false" ht="15" hidden="false" customHeight="false" outlineLevel="0" collapsed="false">
      <c r="A190" s="2" t="s">
        <v>585</v>
      </c>
      <c r="B190" s="2" t="s">
        <v>586</v>
      </c>
      <c r="C190" s="2" t="s">
        <v>62</v>
      </c>
      <c r="D190" s="2" t="s">
        <v>63</v>
      </c>
      <c r="E190" s="3" t="s">
        <v>587</v>
      </c>
      <c r="F190" s="2" t="s">
        <v>26</v>
      </c>
      <c r="G190" s="4" t="n">
        <v>4500000</v>
      </c>
      <c r="H190" s="4" t="n">
        <v>300000</v>
      </c>
      <c r="I190" s="4" t="n">
        <v>250000</v>
      </c>
      <c r="J190" s="2" t="n">
        <v>21</v>
      </c>
      <c r="K190" s="2" t="n">
        <v>2</v>
      </c>
      <c r="L190" s="2" t="n">
        <v>1</v>
      </c>
      <c r="M190" s="2" t="n">
        <v>0</v>
      </c>
      <c r="N190" s="4" t="n">
        <v>45000</v>
      </c>
      <c r="O190" s="4" t="n">
        <v>90000</v>
      </c>
    </row>
    <row r="191" customFormat="false" ht="15" hidden="false" customHeight="false" outlineLevel="0" collapsed="false">
      <c r="A191" s="2" t="s">
        <v>588</v>
      </c>
      <c r="B191" s="2" t="s">
        <v>589</v>
      </c>
      <c r="C191" s="2" t="s">
        <v>62</v>
      </c>
      <c r="D191" s="2" t="s">
        <v>141</v>
      </c>
      <c r="E191" s="3" t="s">
        <v>295</v>
      </c>
      <c r="F191" s="2" t="s">
        <v>26</v>
      </c>
      <c r="G191" s="4" t="n">
        <v>6500000</v>
      </c>
      <c r="H191" s="4" t="n">
        <v>350000</v>
      </c>
      <c r="I191" s="4" t="n">
        <v>330000</v>
      </c>
      <c r="J191" s="2" t="n">
        <v>23</v>
      </c>
      <c r="K191" s="2" t="n">
        <v>0</v>
      </c>
      <c r="L191" s="2" t="n">
        <v>2</v>
      </c>
      <c r="M191" s="2" t="n">
        <v>0</v>
      </c>
      <c r="N191" s="4" t="n">
        <v>65000</v>
      </c>
      <c r="O191" s="4" t="n">
        <v>130000</v>
      </c>
    </row>
    <row r="192" customFormat="false" ht="15" hidden="false" customHeight="false" outlineLevel="0" collapsed="false">
      <c r="A192" s="2" t="s">
        <v>590</v>
      </c>
      <c r="B192" s="2" t="s">
        <v>56</v>
      </c>
      <c r="C192" s="2" t="s">
        <v>196</v>
      </c>
      <c r="D192" s="2" t="s">
        <v>204</v>
      </c>
      <c r="E192" s="3" t="s">
        <v>591</v>
      </c>
      <c r="F192" s="2" t="s">
        <v>26</v>
      </c>
      <c r="G192" s="4" t="n">
        <v>4800000</v>
      </c>
      <c r="H192" s="4" t="n">
        <v>350000</v>
      </c>
      <c r="I192" s="4" t="n">
        <v>330000</v>
      </c>
      <c r="J192" s="2" t="n">
        <v>22</v>
      </c>
      <c r="K192" s="2" t="n">
        <v>2</v>
      </c>
      <c r="L192" s="2" t="n">
        <v>0</v>
      </c>
      <c r="M192" s="2" t="n">
        <v>0</v>
      </c>
      <c r="N192" s="4" t="n">
        <v>48000</v>
      </c>
      <c r="O192" s="4" t="n">
        <v>96000</v>
      </c>
    </row>
    <row r="193" customFormat="false" ht="15" hidden="false" customHeight="false" outlineLevel="0" collapsed="false">
      <c r="A193" s="2" t="s">
        <v>592</v>
      </c>
      <c r="B193" s="2" t="s">
        <v>593</v>
      </c>
      <c r="C193" s="2" t="s">
        <v>47</v>
      </c>
      <c r="D193" s="2" t="s">
        <v>48</v>
      </c>
      <c r="E193" s="3" t="s">
        <v>594</v>
      </c>
      <c r="F193" s="2" t="s">
        <v>26</v>
      </c>
      <c r="G193" s="4" t="n">
        <v>8500000</v>
      </c>
      <c r="H193" s="4" t="n">
        <v>400000</v>
      </c>
      <c r="I193" s="4" t="n">
        <v>330000</v>
      </c>
      <c r="J193" s="2" t="n">
        <v>20</v>
      </c>
      <c r="K193" s="2" t="n">
        <v>3</v>
      </c>
      <c r="L193" s="2" t="n">
        <v>3</v>
      </c>
      <c r="M193" s="2" t="n">
        <v>0</v>
      </c>
      <c r="N193" s="4" t="n">
        <v>85000</v>
      </c>
      <c r="O193" s="4" t="n">
        <v>170000</v>
      </c>
    </row>
    <row r="194" customFormat="false" ht="15" hidden="false" customHeight="false" outlineLevel="0" collapsed="false">
      <c r="A194" s="2" t="s">
        <v>595</v>
      </c>
      <c r="B194" s="2" t="s">
        <v>81</v>
      </c>
      <c r="C194" s="2" t="s">
        <v>47</v>
      </c>
      <c r="D194" s="2" t="s">
        <v>113</v>
      </c>
      <c r="E194" s="3" t="s">
        <v>64</v>
      </c>
      <c r="F194" s="2" t="s">
        <v>26</v>
      </c>
      <c r="G194" s="4" t="n">
        <v>4500000</v>
      </c>
      <c r="H194" s="4" t="n">
        <v>400000</v>
      </c>
      <c r="I194" s="4" t="n">
        <v>300000</v>
      </c>
      <c r="J194" s="2" t="n">
        <v>22</v>
      </c>
      <c r="K194" s="2" t="n">
        <v>2</v>
      </c>
      <c r="L194" s="2" t="n">
        <v>0</v>
      </c>
      <c r="M194" s="2" t="n">
        <v>0</v>
      </c>
      <c r="N194" s="4" t="n">
        <v>45000</v>
      </c>
      <c r="O194" s="4" t="n">
        <v>90000</v>
      </c>
    </row>
    <row r="195" customFormat="false" ht="15" hidden="false" customHeight="false" outlineLevel="0" collapsed="false">
      <c r="A195" s="2" t="s">
        <v>596</v>
      </c>
      <c r="B195" s="2" t="s">
        <v>597</v>
      </c>
      <c r="C195" s="2" t="s">
        <v>196</v>
      </c>
      <c r="D195" s="2" t="s">
        <v>204</v>
      </c>
      <c r="E195" s="3" t="s">
        <v>598</v>
      </c>
      <c r="F195" s="2" t="s">
        <v>20</v>
      </c>
      <c r="G195" s="4" t="n">
        <v>9500000</v>
      </c>
      <c r="H195" s="4" t="n">
        <v>300000</v>
      </c>
      <c r="I195" s="4" t="n">
        <v>250000</v>
      </c>
      <c r="J195" s="2" t="n">
        <v>20</v>
      </c>
      <c r="K195" s="2" t="n">
        <v>3</v>
      </c>
      <c r="L195" s="2" t="n">
        <v>0</v>
      </c>
      <c r="M195" s="2" t="n">
        <v>1</v>
      </c>
      <c r="N195" s="4" t="n">
        <v>95000</v>
      </c>
      <c r="O195" s="4" t="n">
        <v>190000</v>
      </c>
    </row>
    <row r="196" customFormat="false" ht="15" hidden="false" customHeight="false" outlineLevel="0" collapsed="false">
      <c r="A196" s="2" t="s">
        <v>599</v>
      </c>
      <c r="B196" s="2" t="s">
        <v>600</v>
      </c>
      <c r="C196" s="2" t="s">
        <v>52</v>
      </c>
      <c r="D196" s="2" t="s">
        <v>53</v>
      </c>
      <c r="E196" s="3" t="s">
        <v>601</v>
      </c>
      <c r="F196" s="2" t="s">
        <v>26</v>
      </c>
      <c r="G196" s="4" t="n">
        <v>4200000</v>
      </c>
      <c r="H196" s="4" t="n">
        <v>350000</v>
      </c>
      <c r="I196" s="4" t="n">
        <v>250000</v>
      </c>
      <c r="J196" s="2" t="n">
        <v>22</v>
      </c>
      <c r="K196" s="2" t="n">
        <v>3</v>
      </c>
      <c r="L196" s="2" t="n">
        <v>3</v>
      </c>
      <c r="M196" s="2" t="n">
        <v>0</v>
      </c>
      <c r="N196" s="4" t="n">
        <v>42000</v>
      </c>
      <c r="O196" s="4" t="n">
        <v>84000</v>
      </c>
    </row>
    <row r="197" customFormat="false" ht="15" hidden="false" customHeight="false" outlineLevel="0" collapsed="false">
      <c r="A197" s="2" t="s">
        <v>602</v>
      </c>
      <c r="B197" s="2" t="s">
        <v>216</v>
      </c>
      <c r="C197" s="2" t="s">
        <v>86</v>
      </c>
      <c r="D197" s="2" t="s">
        <v>106</v>
      </c>
      <c r="E197" s="3" t="s">
        <v>603</v>
      </c>
      <c r="F197" s="2" t="s">
        <v>26</v>
      </c>
      <c r="G197" s="4" t="n">
        <v>7200000</v>
      </c>
      <c r="H197" s="4" t="n">
        <v>350000</v>
      </c>
      <c r="I197" s="4" t="n">
        <v>250000</v>
      </c>
      <c r="J197" s="2" t="n">
        <v>23</v>
      </c>
      <c r="K197" s="2" t="n">
        <v>1</v>
      </c>
      <c r="L197" s="2" t="n">
        <v>0</v>
      </c>
      <c r="M197" s="2" t="n">
        <v>0</v>
      </c>
      <c r="N197" s="4" t="n">
        <v>72000</v>
      </c>
      <c r="O197" s="4" t="n">
        <v>144000</v>
      </c>
    </row>
    <row r="198" customFormat="false" ht="15" hidden="false" customHeight="false" outlineLevel="0" collapsed="false">
      <c r="A198" s="2" t="s">
        <v>604</v>
      </c>
      <c r="B198" s="2" t="s">
        <v>605</v>
      </c>
      <c r="C198" s="2" t="s">
        <v>68</v>
      </c>
      <c r="D198" s="2" t="s">
        <v>217</v>
      </c>
      <c r="E198" s="3" t="s">
        <v>606</v>
      </c>
      <c r="F198" s="2" t="s">
        <v>26</v>
      </c>
      <c r="G198" s="4" t="n">
        <v>4200000</v>
      </c>
      <c r="H198" s="4" t="n">
        <v>300000</v>
      </c>
      <c r="I198" s="4" t="n">
        <v>300000</v>
      </c>
      <c r="J198" s="2" t="n">
        <v>18</v>
      </c>
      <c r="K198" s="2" t="n">
        <v>2</v>
      </c>
      <c r="L198" s="2" t="n">
        <v>3</v>
      </c>
      <c r="M198" s="2" t="n">
        <v>1</v>
      </c>
      <c r="N198" s="4" t="n">
        <v>42000</v>
      </c>
      <c r="O198" s="4" t="n">
        <v>84000</v>
      </c>
    </row>
    <row r="199" customFormat="false" ht="15" hidden="false" customHeight="false" outlineLevel="0" collapsed="false">
      <c r="A199" s="2" t="s">
        <v>607</v>
      </c>
      <c r="B199" s="2" t="s">
        <v>608</v>
      </c>
      <c r="C199" s="2" t="s">
        <v>62</v>
      </c>
      <c r="D199" s="2" t="s">
        <v>63</v>
      </c>
      <c r="E199" s="3" t="s">
        <v>609</v>
      </c>
      <c r="F199" s="2" t="s">
        <v>26</v>
      </c>
      <c r="G199" s="4" t="n">
        <v>7200000</v>
      </c>
      <c r="H199" s="4" t="n">
        <v>350000</v>
      </c>
      <c r="I199" s="4" t="n">
        <v>250000</v>
      </c>
      <c r="J199" s="2" t="n">
        <v>23</v>
      </c>
      <c r="K199" s="2" t="n">
        <v>1</v>
      </c>
      <c r="L199" s="2" t="n">
        <v>2</v>
      </c>
      <c r="M199" s="2" t="n">
        <v>0</v>
      </c>
      <c r="N199" s="4" t="n">
        <v>72000</v>
      </c>
      <c r="O199" s="4" t="n">
        <v>144000</v>
      </c>
    </row>
    <row r="200" customFormat="false" ht="15" hidden="false" customHeight="false" outlineLevel="0" collapsed="false">
      <c r="A200" s="2" t="s">
        <v>610</v>
      </c>
      <c r="B200" s="2" t="s">
        <v>611</v>
      </c>
      <c r="C200" s="2" t="s">
        <v>86</v>
      </c>
      <c r="D200" s="2" t="s">
        <v>106</v>
      </c>
      <c r="E200" s="3" t="s">
        <v>612</v>
      </c>
      <c r="F200" s="2" t="s">
        <v>20</v>
      </c>
      <c r="G200" s="4" t="n">
        <v>5200000</v>
      </c>
      <c r="H200" s="4" t="n">
        <v>300000</v>
      </c>
      <c r="I200" s="4" t="n">
        <v>250000</v>
      </c>
      <c r="J200" s="2" t="n">
        <v>20</v>
      </c>
      <c r="K200" s="2" t="n">
        <v>3</v>
      </c>
      <c r="L200" s="2" t="n">
        <v>3</v>
      </c>
      <c r="M200" s="2" t="n">
        <v>0</v>
      </c>
      <c r="N200" s="4" t="n">
        <v>52000</v>
      </c>
      <c r="O200" s="4" t="n">
        <v>104000</v>
      </c>
    </row>
    <row r="201" customFormat="false" ht="15" hidden="false" customHeight="false" outlineLevel="0" collapsed="false">
      <c r="A201" s="2" t="s">
        <v>613</v>
      </c>
      <c r="B201" s="2" t="s">
        <v>614</v>
      </c>
      <c r="C201" s="2" t="s">
        <v>47</v>
      </c>
      <c r="D201" s="2" t="s">
        <v>48</v>
      </c>
      <c r="E201" s="3" t="s">
        <v>615</v>
      </c>
      <c r="F201" s="2" t="s">
        <v>20</v>
      </c>
      <c r="G201" s="4" t="n">
        <v>5800000</v>
      </c>
      <c r="H201" s="4" t="n">
        <v>300000</v>
      </c>
      <c r="I201" s="4" t="n">
        <v>330000</v>
      </c>
      <c r="J201" s="2" t="n">
        <v>24</v>
      </c>
      <c r="K201" s="2" t="n">
        <v>0</v>
      </c>
      <c r="L201" s="2" t="n">
        <v>0</v>
      </c>
      <c r="M201" s="2" t="n">
        <v>0</v>
      </c>
      <c r="N201" s="4" t="n">
        <v>58000</v>
      </c>
      <c r="O201" s="4" t="n">
        <v>116000</v>
      </c>
    </row>
    <row r="202" customFormat="false" ht="15" hidden="false" customHeight="false" outlineLevel="0" collapsed="false">
      <c r="A202" s="2" t="s">
        <v>616</v>
      </c>
      <c r="B202" s="2" t="s">
        <v>617</v>
      </c>
      <c r="C202" s="2" t="s">
        <v>196</v>
      </c>
      <c r="D202" s="2" t="s">
        <v>523</v>
      </c>
      <c r="E202" s="3" t="s">
        <v>618</v>
      </c>
      <c r="F202" s="2" t="s">
        <v>20</v>
      </c>
      <c r="G202" s="4" t="n">
        <v>4200000</v>
      </c>
      <c r="H202" s="4" t="n">
        <v>350000</v>
      </c>
      <c r="I202" s="4" t="n">
        <v>330000</v>
      </c>
      <c r="J202" s="2" t="n">
        <v>23</v>
      </c>
      <c r="K202" s="2" t="n">
        <v>0</v>
      </c>
      <c r="L202" s="2" t="n">
        <v>1</v>
      </c>
      <c r="M202" s="2" t="n">
        <v>0</v>
      </c>
      <c r="N202" s="4" t="n">
        <v>42000</v>
      </c>
      <c r="O202" s="4" t="n">
        <v>84000</v>
      </c>
    </row>
    <row r="203" customFormat="false" ht="15" hidden="false" customHeight="false" outlineLevel="0" collapsed="false">
      <c r="A203" s="2" t="s">
        <v>619</v>
      </c>
      <c r="B203" s="2" t="s">
        <v>620</v>
      </c>
      <c r="C203" s="2" t="s">
        <v>52</v>
      </c>
      <c r="D203" s="2" t="s">
        <v>53</v>
      </c>
      <c r="E203" s="3" t="s">
        <v>621</v>
      </c>
      <c r="F203" s="2" t="s">
        <v>20</v>
      </c>
      <c r="G203" s="4" t="n">
        <v>4200000</v>
      </c>
      <c r="H203" s="4" t="n">
        <v>300000</v>
      </c>
      <c r="I203" s="4" t="n">
        <v>330000</v>
      </c>
      <c r="J203" s="2" t="n">
        <v>20</v>
      </c>
      <c r="K203" s="2" t="n">
        <v>1</v>
      </c>
      <c r="L203" s="2" t="n">
        <v>2</v>
      </c>
      <c r="M203" s="2" t="n">
        <v>1</v>
      </c>
      <c r="N203" s="4" t="n">
        <v>42000</v>
      </c>
      <c r="O203" s="4" t="n">
        <v>84000</v>
      </c>
    </row>
    <row r="204" customFormat="false" ht="15" hidden="false" customHeight="false" outlineLevel="0" collapsed="false">
      <c r="A204" s="2" t="s">
        <v>622</v>
      </c>
      <c r="B204" s="2" t="s">
        <v>623</v>
      </c>
      <c r="C204" s="2" t="s">
        <v>68</v>
      </c>
      <c r="D204" s="2" t="s">
        <v>69</v>
      </c>
      <c r="E204" s="3" t="s">
        <v>624</v>
      </c>
      <c r="F204" s="2" t="s">
        <v>26</v>
      </c>
      <c r="G204" s="4" t="n">
        <v>9500000</v>
      </c>
      <c r="H204" s="4" t="n">
        <v>300000</v>
      </c>
      <c r="I204" s="4" t="n">
        <v>300000</v>
      </c>
      <c r="J204" s="2" t="n">
        <v>20</v>
      </c>
      <c r="K204" s="2" t="n">
        <v>2</v>
      </c>
      <c r="L204" s="2" t="n">
        <v>0</v>
      </c>
      <c r="M204" s="2" t="n">
        <v>2</v>
      </c>
      <c r="N204" s="4" t="n">
        <v>95000</v>
      </c>
      <c r="O204" s="4" t="n">
        <v>190000</v>
      </c>
    </row>
    <row r="205" customFormat="false" ht="15" hidden="false" customHeight="false" outlineLevel="0" collapsed="false">
      <c r="A205" s="2" t="s">
        <v>625</v>
      </c>
      <c r="B205" s="2" t="s">
        <v>626</v>
      </c>
      <c r="C205" s="2" t="s">
        <v>57</v>
      </c>
      <c r="D205" s="2" t="s">
        <v>58</v>
      </c>
      <c r="E205" s="3" t="s">
        <v>627</v>
      </c>
      <c r="F205" s="2" t="s">
        <v>26</v>
      </c>
      <c r="G205" s="4" t="n">
        <v>4200000</v>
      </c>
      <c r="H205" s="4" t="n">
        <v>350000</v>
      </c>
      <c r="I205" s="4" t="n">
        <v>330000</v>
      </c>
      <c r="J205" s="2" t="n">
        <v>23</v>
      </c>
      <c r="K205" s="2" t="n">
        <v>3</v>
      </c>
      <c r="L205" s="2" t="n">
        <v>2</v>
      </c>
      <c r="M205" s="2" t="n">
        <v>0</v>
      </c>
      <c r="N205" s="4" t="n">
        <v>42000</v>
      </c>
      <c r="O205" s="4" t="n">
        <v>84000</v>
      </c>
    </row>
    <row r="206" customFormat="false" ht="15" hidden="false" customHeight="false" outlineLevel="0" collapsed="false">
      <c r="A206" s="2" t="s">
        <v>628</v>
      </c>
      <c r="B206" s="2" t="s">
        <v>629</v>
      </c>
      <c r="C206" s="2" t="s">
        <v>57</v>
      </c>
      <c r="D206" s="2" t="s">
        <v>137</v>
      </c>
      <c r="E206" s="3" t="s">
        <v>630</v>
      </c>
      <c r="F206" s="2" t="s">
        <v>20</v>
      </c>
      <c r="G206" s="4" t="n">
        <v>9500000</v>
      </c>
      <c r="H206" s="4" t="n">
        <v>350000</v>
      </c>
      <c r="I206" s="4" t="n">
        <v>250000</v>
      </c>
      <c r="J206" s="2" t="n">
        <v>24</v>
      </c>
      <c r="K206" s="2" t="n">
        <v>1</v>
      </c>
      <c r="L206" s="2" t="n">
        <v>2</v>
      </c>
      <c r="M206" s="2" t="n">
        <v>0</v>
      </c>
      <c r="N206" s="4" t="n">
        <v>95000</v>
      </c>
      <c r="O206" s="4" t="n">
        <v>190000</v>
      </c>
    </row>
    <row r="207" customFormat="false" ht="15" hidden="false" customHeight="false" outlineLevel="0" collapsed="false">
      <c r="A207" s="2" t="s">
        <v>631</v>
      </c>
      <c r="B207" s="2" t="s">
        <v>632</v>
      </c>
      <c r="C207" s="2" t="s">
        <v>196</v>
      </c>
      <c r="D207" s="2" t="s">
        <v>204</v>
      </c>
      <c r="E207" s="3" t="s">
        <v>633</v>
      </c>
      <c r="F207" s="2" t="s">
        <v>65</v>
      </c>
      <c r="G207" s="4" t="n">
        <v>9500000</v>
      </c>
      <c r="H207" s="4" t="n">
        <v>400000</v>
      </c>
      <c r="I207" s="4" t="n">
        <v>250000</v>
      </c>
      <c r="J207" s="2" t="n">
        <v>21</v>
      </c>
      <c r="K207" s="2" t="n">
        <v>1</v>
      </c>
      <c r="L207" s="2" t="n">
        <v>2</v>
      </c>
      <c r="M207" s="2" t="n">
        <v>0</v>
      </c>
      <c r="N207" s="4" t="n">
        <v>95000</v>
      </c>
      <c r="O207" s="4" t="n">
        <v>190000</v>
      </c>
    </row>
    <row r="208" customFormat="false" ht="15" hidden="false" customHeight="false" outlineLevel="0" collapsed="false">
      <c r="A208" s="2" t="s">
        <v>634</v>
      </c>
      <c r="B208" s="2" t="s">
        <v>116</v>
      </c>
      <c r="C208" s="2" t="s">
        <v>23</v>
      </c>
      <c r="D208" s="2" t="s">
        <v>32</v>
      </c>
      <c r="E208" s="3" t="s">
        <v>635</v>
      </c>
      <c r="F208" s="2" t="s">
        <v>20</v>
      </c>
      <c r="G208" s="4" t="n">
        <v>5200000</v>
      </c>
      <c r="H208" s="4" t="n">
        <v>300000</v>
      </c>
      <c r="I208" s="4" t="n">
        <v>300000</v>
      </c>
      <c r="J208" s="2" t="n">
        <v>21</v>
      </c>
      <c r="K208" s="2" t="n">
        <v>0</v>
      </c>
      <c r="L208" s="2" t="n">
        <v>0</v>
      </c>
      <c r="M208" s="2" t="n">
        <v>3</v>
      </c>
      <c r="N208" s="4" t="n">
        <v>52000</v>
      </c>
      <c r="O208" s="4" t="n">
        <v>104000</v>
      </c>
    </row>
    <row r="209" customFormat="false" ht="15" hidden="false" customHeight="false" outlineLevel="0" collapsed="false">
      <c r="A209" s="2" t="s">
        <v>636</v>
      </c>
      <c r="B209" s="2" t="s">
        <v>637</v>
      </c>
      <c r="C209" s="2" t="s">
        <v>86</v>
      </c>
      <c r="D209" s="2" t="s">
        <v>87</v>
      </c>
      <c r="E209" s="3" t="s">
        <v>638</v>
      </c>
      <c r="F209" s="2" t="s">
        <v>20</v>
      </c>
      <c r="G209" s="4" t="n">
        <v>6500000</v>
      </c>
      <c r="H209" s="4" t="n">
        <v>350000</v>
      </c>
      <c r="I209" s="4" t="n">
        <v>250000</v>
      </c>
      <c r="J209" s="2" t="n">
        <v>19</v>
      </c>
      <c r="K209" s="2" t="n">
        <v>1</v>
      </c>
      <c r="L209" s="2" t="n">
        <v>0</v>
      </c>
      <c r="M209" s="2" t="n">
        <v>4</v>
      </c>
      <c r="N209" s="4" t="n">
        <v>65000</v>
      </c>
      <c r="O209" s="4" t="n">
        <v>130000</v>
      </c>
    </row>
    <row r="210" customFormat="false" ht="15" hidden="false" customHeight="false" outlineLevel="0" collapsed="false">
      <c r="A210" s="2" t="s">
        <v>639</v>
      </c>
      <c r="B210" s="2" t="s">
        <v>640</v>
      </c>
      <c r="C210" s="2" t="s">
        <v>47</v>
      </c>
      <c r="D210" s="2" t="s">
        <v>117</v>
      </c>
      <c r="E210" s="3" t="s">
        <v>641</v>
      </c>
      <c r="F210" s="2" t="s">
        <v>26</v>
      </c>
      <c r="G210" s="4" t="n">
        <v>5800000</v>
      </c>
      <c r="H210" s="4" t="n">
        <v>350000</v>
      </c>
      <c r="I210" s="4" t="n">
        <v>300000</v>
      </c>
      <c r="J210" s="2" t="n">
        <v>22</v>
      </c>
      <c r="K210" s="2" t="n">
        <v>2</v>
      </c>
      <c r="L210" s="2" t="n">
        <v>2</v>
      </c>
      <c r="M210" s="2" t="n">
        <v>0</v>
      </c>
      <c r="N210" s="4" t="n">
        <v>58000</v>
      </c>
      <c r="O210" s="4" t="n">
        <v>116000</v>
      </c>
    </row>
    <row r="211" customFormat="false" ht="15" hidden="false" customHeight="false" outlineLevel="0" collapsed="false">
      <c r="A211" s="2" t="s">
        <v>642</v>
      </c>
      <c r="B211" s="2" t="s">
        <v>210</v>
      </c>
      <c r="C211" s="2" t="s">
        <v>86</v>
      </c>
      <c r="D211" s="2" t="s">
        <v>106</v>
      </c>
      <c r="E211" s="3" t="s">
        <v>643</v>
      </c>
      <c r="F211" s="2" t="s">
        <v>20</v>
      </c>
      <c r="G211" s="4" t="n">
        <v>8500000</v>
      </c>
      <c r="H211" s="4" t="n">
        <v>350000</v>
      </c>
      <c r="I211" s="4" t="n">
        <v>250000</v>
      </c>
      <c r="J211" s="2" t="n">
        <v>20</v>
      </c>
      <c r="K211" s="2" t="n">
        <v>2</v>
      </c>
      <c r="L211" s="2" t="n">
        <v>3</v>
      </c>
      <c r="M211" s="2" t="n">
        <v>0</v>
      </c>
      <c r="N211" s="4" t="n">
        <v>85000</v>
      </c>
      <c r="O211" s="4" t="n">
        <v>170000</v>
      </c>
    </row>
    <row r="212" customFormat="false" ht="15" hidden="false" customHeight="false" outlineLevel="0" collapsed="false">
      <c r="A212" s="2" t="s">
        <v>644</v>
      </c>
      <c r="B212" s="2" t="s">
        <v>645</v>
      </c>
      <c r="C212" s="2" t="s">
        <v>47</v>
      </c>
      <c r="D212" s="2" t="s">
        <v>113</v>
      </c>
      <c r="E212" s="3" t="s">
        <v>646</v>
      </c>
      <c r="F212" s="2" t="s">
        <v>20</v>
      </c>
      <c r="G212" s="4" t="n">
        <v>9500000</v>
      </c>
      <c r="H212" s="4" t="n">
        <v>400000</v>
      </c>
      <c r="I212" s="4" t="n">
        <v>330000</v>
      </c>
      <c r="J212" s="2" t="n">
        <v>23</v>
      </c>
      <c r="K212" s="2" t="n">
        <v>3</v>
      </c>
      <c r="L212" s="2" t="n">
        <v>2</v>
      </c>
      <c r="M212" s="2" t="n">
        <v>0</v>
      </c>
      <c r="N212" s="4" t="n">
        <v>95000</v>
      </c>
      <c r="O212" s="4" t="n">
        <v>190000</v>
      </c>
    </row>
    <row r="213" customFormat="false" ht="15" hidden="false" customHeight="false" outlineLevel="0" collapsed="false">
      <c r="A213" s="2" t="s">
        <v>647</v>
      </c>
      <c r="B213" s="2" t="s">
        <v>186</v>
      </c>
      <c r="C213" s="2" t="s">
        <v>68</v>
      </c>
      <c r="D213" s="2" t="s">
        <v>69</v>
      </c>
      <c r="E213" s="3" t="s">
        <v>648</v>
      </c>
      <c r="F213" s="2" t="s">
        <v>26</v>
      </c>
      <c r="G213" s="4" t="n">
        <v>5200000</v>
      </c>
      <c r="H213" s="4" t="n">
        <v>350000</v>
      </c>
      <c r="I213" s="4" t="n">
        <v>330000</v>
      </c>
      <c r="J213" s="2" t="n">
        <v>23</v>
      </c>
      <c r="K213" s="2" t="n">
        <v>2</v>
      </c>
      <c r="L213" s="2" t="n">
        <v>2</v>
      </c>
      <c r="M213" s="2" t="n">
        <v>0</v>
      </c>
      <c r="N213" s="4" t="n">
        <v>52000</v>
      </c>
      <c r="O213" s="4" t="n">
        <v>104000</v>
      </c>
    </row>
    <row r="214" customFormat="false" ht="15" hidden="false" customHeight="false" outlineLevel="0" collapsed="false">
      <c r="A214" s="2" t="s">
        <v>649</v>
      </c>
      <c r="B214" s="2" t="s">
        <v>650</v>
      </c>
      <c r="C214" s="2" t="s">
        <v>52</v>
      </c>
      <c r="D214" s="2" t="s">
        <v>53</v>
      </c>
      <c r="E214" s="3" t="s">
        <v>651</v>
      </c>
      <c r="F214" s="2" t="s">
        <v>20</v>
      </c>
      <c r="G214" s="4" t="n">
        <v>9500000</v>
      </c>
      <c r="H214" s="4" t="n">
        <v>350000</v>
      </c>
      <c r="I214" s="4" t="n">
        <v>250000</v>
      </c>
      <c r="J214" s="2" t="n">
        <v>22</v>
      </c>
      <c r="K214" s="2" t="n">
        <v>0</v>
      </c>
      <c r="L214" s="2" t="n">
        <v>0</v>
      </c>
      <c r="M214" s="2" t="n">
        <v>2</v>
      </c>
      <c r="N214" s="4" t="n">
        <v>95000</v>
      </c>
      <c r="O214" s="4" t="n">
        <v>190000</v>
      </c>
    </row>
    <row r="215" customFormat="false" ht="15" hidden="false" customHeight="false" outlineLevel="0" collapsed="false">
      <c r="A215" s="2" t="s">
        <v>652</v>
      </c>
      <c r="B215" s="2" t="s">
        <v>653</v>
      </c>
      <c r="C215" s="2" t="s">
        <v>196</v>
      </c>
      <c r="D215" s="2" t="s">
        <v>197</v>
      </c>
      <c r="E215" s="3" t="s">
        <v>493</v>
      </c>
      <c r="F215" s="2" t="s">
        <v>26</v>
      </c>
      <c r="G215" s="4" t="n">
        <v>5200000</v>
      </c>
      <c r="H215" s="4" t="n">
        <v>300000</v>
      </c>
      <c r="I215" s="4" t="n">
        <v>330000</v>
      </c>
      <c r="J215" s="2" t="n">
        <v>19</v>
      </c>
      <c r="K215" s="2" t="n">
        <v>0</v>
      </c>
      <c r="L215" s="2" t="n">
        <v>1</v>
      </c>
      <c r="M215" s="2" t="n">
        <v>4</v>
      </c>
      <c r="N215" s="4" t="n">
        <v>52000</v>
      </c>
      <c r="O215" s="4" t="n">
        <v>104000</v>
      </c>
    </row>
    <row r="216" customFormat="false" ht="15" hidden="false" customHeight="false" outlineLevel="0" collapsed="false">
      <c r="A216" s="2" t="s">
        <v>654</v>
      </c>
      <c r="B216" s="2" t="s">
        <v>655</v>
      </c>
      <c r="C216" s="2" t="s">
        <v>68</v>
      </c>
      <c r="D216" s="2" t="s">
        <v>69</v>
      </c>
      <c r="E216" s="3" t="s">
        <v>656</v>
      </c>
      <c r="F216" s="2" t="s">
        <v>26</v>
      </c>
      <c r="G216" s="4" t="n">
        <v>8500000</v>
      </c>
      <c r="H216" s="4" t="n">
        <v>400000</v>
      </c>
      <c r="I216" s="4" t="n">
        <v>300000</v>
      </c>
      <c r="J216" s="2" t="n">
        <v>18</v>
      </c>
      <c r="K216" s="2" t="n">
        <v>0</v>
      </c>
      <c r="L216" s="2" t="n">
        <v>3</v>
      </c>
      <c r="M216" s="2" t="n">
        <v>3</v>
      </c>
      <c r="N216" s="4" t="n">
        <v>85000</v>
      </c>
      <c r="O216" s="4" t="n">
        <v>170000</v>
      </c>
    </row>
    <row r="217" customFormat="false" ht="15" hidden="false" customHeight="false" outlineLevel="0" collapsed="false">
      <c r="A217" s="2" t="s">
        <v>657</v>
      </c>
      <c r="B217" s="2" t="s">
        <v>658</v>
      </c>
      <c r="C217" s="2" t="s">
        <v>86</v>
      </c>
      <c r="D217" s="2" t="s">
        <v>106</v>
      </c>
      <c r="E217" s="3" t="s">
        <v>659</v>
      </c>
      <c r="F217" s="2" t="s">
        <v>65</v>
      </c>
      <c r="G217" s="4" t="n">
        <v>4200000</v>
      </c>
      <c r="H217" s="4" t="n">
        <v>400000</v>
      </c>
      <c r="I217" s="4" t="n">
        <v>330000</v>
      </c>
      <c r="J217" s="2" t="n">
        <v>23</v>
      </c>
      <c r="K217" s="2" t="n">
        <v>3</v>
      </c>
      <c r="L217" s="2" t="n">
        <v>1</v>
      </c>
      <c r="M217" s="2" t="n">
        <v>0</v>
      </c>
      <c r="N217" s="4" t="n">
        <v>42000</v>
      </c>
      <c r="O217" s="4" t="n">
        <v>84000</v>
      </c>
    </row>
    <row r="218" customFormat="false" ht="15" hidden="false" customHeight="false" outlineLevel="0" collapsed="false">
      <c r="A218" s="2" t="s">
        <v>660</v>
      </c>
      <c r="B218" s="2" t="s">
        <v>661</v>
      </c>
      <c r="C218" s="2" t="s">
        <v>86</v>
      </c>
      <c r="D218" s="2" t="s">
        <v>87</v>
      </c>
      <c r="E218" s="3" t="s">
        <v>662</v>
      </c>
      <c r="F218" s="2" t="s">
        <v>20</v>
      </c>
      <c r="G218" s="4" t="n">
        <v>9500000</v>
      </c>
      <c r="H218" s="4" t="n">
        <v>350000</v>
      </c>
      <c r="I218" s="4" t="n">
        <v>300000</v>
      </c>
      <c r="J218" s="2" t="n">
        <v>20</v>
      </c>
      <c r="K218" s="2" t="n">
        <v>3</v>
      </c>
      <c r="L218" s="2" t="n">
        <v>0</v>
      </c>
      <c r="M218" s="2" t="n">
        <v>1</v>
      </c>
      <c r="N218" s="4" t="n">
        <v>95000</v>
      </c>
      <c r="O218" s="4" t="n">
        <v>190000</v>
      </c>
    </row>
    <row r="219" customFormat="false" ht="15" hidden="false" customHeight="false" outlineLevel="0" collapsed="false">
      <c r="A219" s="2" t="s">
        <v>663</v>
      </c>
      <c r="B219" s="2" t="s">
        <v>664</v>
      </c>
      <c r="C219" s="2" t="s">
        <v>52</v>
      </c>
      <c r="D219" s="2" t="s">
        <v>53</v>
      </c>
      <c r="E219" s="3" t="s">
        <v>665</v>
      </c>
      <c r="F219" s="2" t="s">
        <v>20</v>
      </c>
      <c r="G219" s="4" t="n">
        <v>4500000</v>
      </c>
      <c r="H219" s="4" t="n">
        <v>400000</v>
      </c>
      <c r="I219" s="4" t="n">
        <v>330000</v>
      </c>
      <c r="J219" s="2" t="n">
        <v>24</v>
      </c>
      <c r="K219" s="2" t="n">
        <v>0</v>
      </c>
      <c r="L219" s="2" t="n">
        <v>0</v>
      </c>
      <c r="M219" s="2" t="n">
        <v>0</v>
      </c>
      <c r="N219" s="4" t="n">
        <v>45000</v>
      </c>
      <c r="O219" s="4" t="n">
        <v>90000</v>
      </c>
    </row>
    <row r="220" customFormat="false" ht="15" hidden="false" customHeight="false" outlineLevel="0" collapsed="false">
      <c r="A220" s="2" t="s">
        <v>666</v>
      </c>
      <c r="B220" s="2" t="s">
        <v>667</v>
      </c>
      <c r="C220" s="2" t="s">
        <v>62</v>
      </c>
      <c r="D220" s="2" t="s">
        <v>63</v>
      </c>
      <c r="E220" s="3" t="s">
        <v>668</v>
      </c>
      <c r="F220" s="2" t="s">
        <v>26</v>
      </c>
      <c r="G220" s="4" t="n">
        <v>4800000</v>
      </c>
      <c r="H220" s="4" t="n">
        <v>300000</v>
      </c>
      <c r="I220" s="4" t="n">
        <v>300000</v>
      </c>
      <c r="J220" s="2" t="n">
        <v>24</v>
      </c>
      <c r="K220" s="2" t="n">
        <v>3</v>
      </c>
      <c r="L220" s="2" t="n">
        <v>2</v>
      </c>
      <c r="M220" s="2" t="n">
        <v>0</v>
      </c>
      <c r="N220" s="4" t="n">
        <v>48000</v>
      </c>
      <c r="O220" s="4" t="n">
        <v>96000</v>
      </c>
    </row>
    <row r="221" customFormat="false" ht="15" hidden="false" customHeight="false" outlineLevel="0" collapsed="false">
      <c r="A221" s="2" t="s">
        <v>669</v>
      </c>
      <c r="B221" s="2" t="s">
        <v>597</v>
      </c>
      <c r="C221" s="2" t="s">
        <v>86</v>
      </c>
      <c r="D221" s="2" t="s">
        <v>87</v>
      </c>
      <c r="E221" s="3" t="s">
        <v>670</v>
      </c>
      <c r="F221" s="2" t="s">
        <v>20</v>
      </c>
      <c r="G221" s="4" t="n">
        <v>8500000</v>
      </c>
      <c r="H221" s="4" t="n">
        <v>350000</v>
      </c>
      <c r="I221" s="4" t="n">
        <v>250000</v>
      </c>
      <c r="J221" s="2" t="n">
        <v>18</v>
      </c>
      <c r="K221" s="2" t="n">
        <v>2</v>
      </c>
      <c r="L221" s="2" t="n">
        <v>0</v>
      </c>
      <c r="M221" s="2" t="n">
        <v>4</v>
      </c>
      <c r="N221" s="4" t="n">
        <v>85000</v>
      </c>
      <c r="O221" s="4" t="n">
        <v>170000</v>
      </c>
    </row>
  </sheetData>
  <autoFilter ref="A1:O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3" min="12" style="0" width="18"/>
    <col collapsed="false" customWidth="true" hidden="false" outlineLevel="0" max="14" min="14" style="0" width="25"/>
    <col collapsed="false" customWidth="true" hidden="false" outlineLevel="0" max="15" min="15" style="0" width="18"/>
    <col collapsed="false" customWidth="true" hidden="false" outlineLevel="0" max="16" min="16" style="0" width="17"/>
    <col collapsed="false" customWidth="true" hidden="false" outlineLevel="0" max="17" min="17" style="0" width="16"/>
    <col collapsed="false" customWidth="true" hidden="false" outlineLevel="0" max="18" min="18" style="0" width="15"/>
    <col collapsed="false" customWidth="true" hidden="false" outlineLevel="0" max="19" min="19" style="0" width="23"/>
    <col collapsed="false" customWidth="true" hidden="false" outlineLevel="0" max="20" min="20" style="0" width="38"/>
    <col collapsed="false" customWidth="true" hidden="false" outlineLevel="0" max="21" min="21" style="0" width="23"/>
    <col collapsed="false" customWidth="true" hidden="false" outlineLevel="0" max="22" min="22" style="0" width="3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671</v>
      </c>
      <c r="Q1" s="1" t="s">
        <v>672</v>
      </c>
      <c r="R1" s="1" t="s">
        <v>673</v>
      </c>
      <c r="S1" s="1" t="s">
        <v>674</v>
      </c>
      <c r="T1" s="1" t="s">
        <v>675</v>
      </c>
      <c r="U1" s="1" t="s">
        <v>676</v>
      </c>
      <c r="V1" s="1" t="s">
        <v>677</v>
      </c>
      <c r="X1" s="5" t="s">
        <v>678</v>
      </c>
      <c r="Y1" s="6" t="s">
        <v>679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2" t="s">
        <v>20</v>
      </c>
      <c r="G2" s="2" t="n">
        <v>4500000</v>
      </c>
      <c r="H2" s="2" t="n">
        <v>400000</v>
      </c>
      <c r="I2" s="2" t="n">
        <v>330000</v>
      </c>
      <c r="J2" s="2" t="n">
        <v>22</v>
      </c>
      <c r="K2" s="2" t="n">
        <v>0</v>
      </c>
      <c r="L2" s="2" t="n">
        <v>3</v>
      </c>
      <c r="M2" s="2" t="n">
        <v>0</v>
      </c>
      <c r="N2" s="2" t="n">
        <v>45000</v>
      </c>
      <c r="O2" s="2" t="n">
        <v>90000</v>
      </c>
      <c r="P2" s="7" t="n">
        <f aca="false">H2+I2</f>
        <v>730000</v>
      </c>
      <c r="Q2" s="7" t="n">
        <f aca="false">N2+O2</f>
        <v>135000</v>
      </c>
      <c r="R2" s="7" t="n">
        <f aca="false">G2+P2-Q2</f>
        <v>5095000</v>
      </c>
      <c r="S2" s="7" t="n">
        <f aca="false">DATEDIF(E2,$Y$1,"y")</f>
        <v>4</v>
      </c>
      <c r="T2" s="7" t="str">
        <f aca="false">IF(S2&gt;=5,"Senior",IF(S2&gt;=1,"Menengah","Baru"))</f>
        <v>Menengah</v>
      </c>
      <c r="U2" s="7" t="n">
        <f aca="false">J2/(J2+K2+L2+M2)*100</f>
        <v>88</v>
      </c>
      <c r="V2" s="7" t="str">
        <f aca="false">IF(U2&gt;=95,"Baik",IF(U2&gt;=85,"Cukup","Perlu Perhatian"))</f>
        <v>Cukup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3" t="s">
        <v>25</v>
      </c>
      <c r="F3" s="2" t="s">
        <v>26</v>
      </c>
      <c r="G3" s="2" t="n">
        <v>4200000</v>
      </c>
      <c r="H3" s="2" t="n">
        <v>400000</v>
      </c>
      <c r="I3" s="2" t="n">
        <v>250000</v>
      </c>
      <c r="J3" s="2" t="n">
        <v>23</v>
      </c>
      <c r="K3" s="2" t="n">
        <v>3</v>
      </c>
      <c r="L3" s="2" t="n">
        <v>1</v>
      </c>
      <c r="M3" s="2" t="n">
        <v>0</v>
      </c>
      <c r="N3" s="2" t="n">
        <v>42000</v>
      </c>
      <c r="O3" s="2" t="n">
        <v>84000</v>
      </c>
      <c r="P3" s="7"/>
      <c r="Q3" s="7"/>
      <c r="R3" s="7"/>
      <c r="S3" s="7"/>
      <c r="T3" s="7"/>
      <c r="U3" s="7"/>
      <c r="V3" s="7"/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17</v>
      </c>
      <c r="D4" s="2" t="s">
        <v>18</v>
      </c>
      <c r="E4" s="3" t="s">
        <v>29</v>
      </c>
      <c r="F4" s="2" t="s">
        <v>26</v>
      </c>
      <c r="G4" s="2" t="n">
        <v>6500000</v>
      </c>
      <c r="H4" s="2" t="n">
        <v>350000</v>
      </c>
      <c r="I4" s="2" t="n">
        <v>250000</v>
      </c>
      <c r="J4" s="2" t="n">
        <v>19</v>
      </c>
      <c r="K4" s="2" t="n">
        <v>2</v>
      </c>
      <c r="L4" s="2" t="n">
        <v>0</v>
      </c>
      <c r="M4" s="2" t="n">
        <v>3</v>
      </c>
      <c r="N4" s="2" t="n">
        <v>65000</v>
      </c>
      <c r="O4" s="2" t="n">
        <v>130000</v>
      </c>
      <c r="P4" s="7"/>
      <c r="Q4" s="7"/>
      <c r="R4" s="7"/>
      <c r="S4" s="7"/>
      <c r="T4" s="7"/>
      <c r="U4" s="7"/>
      <c r="V4" s="7"/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23</v>
      </c>
      <c r="D5" s="2" t="s">
        <v>32</v>
      </c>
      <c r="E5" s="3" t="s">
        <v>33</v>
      </c>
      <c r="F5" s="2" t="s">
        <v>26</v>
      </c>
      <c r="G5" s="2" t="n">
        <v>4200000</v>
      </c>
      <c r="H5" s="2" t="n">
        <v>400000</v>
      </c>
      <c r="I5" s="2" t="n">
        <v>300000</v>
      </c>
      <c r="J5" s="2" t="n">
        <v>22</v>
      </c>
      <c r="K5" s="2" t="n">
        <v>0</v>
      </c>
      <c r="L5" s="2" t="n">
        <v>3</v>
      </c>
      <c r="M5" s="2" t="n">
        <v>0</v>
      </c>
      <c r="N5" s="2" t="n">
        <v>42000</v>
      </c>
      <c r="O5" s="2" t="n">
        <v>84000</v>
      </c>
      <c r="P5" s="7"/>
      <c r="Q5" s="7"/>
      <c r="R5" s="7"/>
      <c r="S5" s="7"/>
      <c r="T5" s="7"/>
      <c r="U5" s="7"/>
      <c r="V5" s="7"/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17</v>
      </c>
      <c r="D6" s="2" t="s">
        <v>36</v>
      </c>
      <c r="E6" s="3" t="s">
        <v>37</v>
      </c>
      <c r="F6" s="2" t="s">
        <v>26</v>
      </c>
      <c r="G6" s="2" t="n">
        <v>6500000</v>
      </c>
      <c r="H6" s="2" t="n">
        <v>400000</v>
      </c>
      <c r="I6" s="2" t="n">
        <v>250000</v>
      </c>
      <c r="J6" s="2" t="n">
        <v>23</v>
      </c>
      <c r="K6" s="2" t="n">
        <v>0</v>
      </c>
      <c r="L6" s="2" t="n">
        <v>0</v>
      </c>
      <c r="M6" s="2" t="n">
        <v>1</v>
      </c>
      <c r="N6" s="2" t="n">
        <v>65000</v>
      </c>
      <c r="O6" s="2" t="n">
        <v>130000</v>
      </c>
      <c r="P6" s="7"/>
      <c r="Q6" s="7"/>
      <c r="R6" s="7"/>
      <c r="S6" s="7"/>
      <c r="T6" s="7"/>
      <c r="U6" s="7"/>
      <c r="V6" s="7"/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23</v>
      </c>
      <c r="D7" s="2" t="s">
        <v>24</v>
      </c>
      <c r="E7" s="3" t="s">
        <v>40</v>
      </c>
      <c r="F7" s="2" t="s">
        <v>26</v>
      </c>
      <c r="G7" s="2" t="n">
        <v>8500000</v>
      </c>
      <c r="H7" s="2" t="n">
        <v>400000</v>
      </c>
      <c r="I7" s="2" t="n">
        <v>300000</v>
      </c>
      <c r="J7" s="2" t="n">
        <v>19</v>
      </c>
      <c r="K7" s="2" t="n">
        <v>2</v>
      </c>
      <c r="L7" s="2" t="n">
        <v>2</v>
      </c>
      <c r="M7" s="2" t="n">
        <v>1</v>
      </c>
      <c r="N7" s="2" t="n">
        <v>85000</v>
      </c>
      <c r="O7" s="2" t="n">
        <v>170000</v>
      </c>
      <c r="P7" s="7"/>
      <c r="Q7" s="7"/>
      <c r="R7" s="7"/>
      <c r="S7" s="7"/>
      <c r="T7" s="7"/>
      <c r="U7" s="7"/>
      <c r="V7" s="7"/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23</v>
      </c>
      <c r="D8" s="2" t="s">
        <v>43</v>
      </c>
      <c r="E8" s="3" t="s">
        <v>44</v>
      </c>
      <c r="F8" s="2" t="s">
        <v>26</v>
      </c>
      <c r="G8" s="2" t="n">
        <v>5200000</v>
      </c>
      <c r="H8" s="2" t="n">
        <v>300000</v>
      </c>
      <c r="I8" s="2" t="n">
        <v>300000</v>
      </c>
      <c r="J8" s="2" t="n">
        <v>21</v>
      </c>
      <c r="K8" s="2" t="n">
        <v>2</v>
      </c>
      <c r="L8" s="2" t="n">
        <v>1</v>
      </c>
      <c r="M8" s="2" t="n">
        <v>0</v>
      </c>
      <c r="N8" s="2" t="n">
        <v>52000</v>
      </c>
      <c r="O8" s="2" t="n">
        <v>104000</v>
      </c>
      <c r="P8" s="7"/>
      <c r="Q8" s="7"/>
      <c r="R8" s="7"/>
      <c r="S8" s="7"/>
      <c r="T8" s="7"/>
      <c r="U8" s="7"/>
      <c r="V8" s="7"/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3" t="s">
        <v>49</v>
      </c>
      <c r="F9" s="2" t="s">
        <v>26</v>
      </c>
      <c r="G9" s="2" t="n">
        <v>4500000</v>
      </c>
      <c r="H9" s="2" t="n">
        <v>300000</v>
      </c>
      <c r="I9" s="2" t="n">
        <v>330000</v>
      </c>
      <c r="J9" s="2" t="n">
        <v>23</v>
      </c>
      <c r="K9" s="2" t="n">
        <v>2</v>
      </c>
      <c r="L9" s="2" t="n">
        <v>1</v>
      </c>
      <c r="M9" s="2" t="n">
        <v>0</v>
      </c>
      <c r="N9" s="2" t="n">
        <v>45000</v>
      </c>
      <c r="O9" s="2" t="n">
        <v>90000</v>
      </c>
      <c r="P9" s="7"/>
      <c r="Q9" s="7"/>
      <c r="R9" s="7"/>
      <c r="S9" s="7"/>
      <c r="T9" s="7"/>
      <c r="U9" s="7"/>
      <c r="V9" s="7"/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3" t="s">
        <v>54</v>
      </c>
      <c r="F10" s="2" t="s">
        <v>20</v>
      </c>
      <c r="G10" s="2" t="n">
        <v>9500000</v>
      </c>
      <c r="H10" s="2" t="n">
        <v>400000</v>
      </c>
      <c r="I10" s="2" t="n">
        <v>300000</v>
      </c>
      <c r="J10" s="2" t="n">
        <v>23</v>
      </c>
      <c r="K10" s="2" t="n">
        <v>3</v>
      </c>
      <c r="L10" s="2" t="n">
        <v>3</v>
      </c>
      <c r="M10" s="2" t="n">
        <v>0</v>
      </c>
      <c r="N10" s="2" t="n">
        <v>95000</v>
      </c>
      <c r="O10" s="2" t="n">
        <v>190000</v>
      </c>
      <c r="P10" s="7"/>
      <c r="Q10" s="7"/>
      <c r="R10" s="7"/>
      <c r="S10" s="7"/>
      <c r="T10" s="7"/>
      <c r="U10" s="7"/>
      <c r="V10" s="7"/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3" t="s">
        <v>59</v>
      </c>
      <c r="F11" s="2" t="s">
        <v>20</v>
      </c>
      <c r="G11" s="2" t="n">
        <v>4200000</v>
      </c>
      <c r="H11" s="2" t="n">
        <v>300000</v>
      </c>
      <c r="I11" s="2" t="n">
        <v>250000</v>
      </c>
      <c r="J11" s="2" t="n">
        <v>23</v>
      </c>
      <c r="K11" s="2" t="n">
        <v>1</v>
      </c>
      <c r="L11" s="2" t="n">
        <v>3</v>
      </c>
      <c r="M11" s="2" t="n">
        <v>0</v>
      </c>
      <c r="N11" s="2" t="n">
        <v>42000</v>
      </c>
      <c r="O11" s="2" t="n">
        <v>84000</v>
      </c>
      <c r="P11" s="7"/>
      <c r="Q11" s="7"/>
      <c r="R11" s="7"/>
      <c r="S11" s="7"/>
      <c r="T11" s="7"/>
      <c r="U11" s="7"/>
      <c r="V11" s="7"/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3" t="s">
        <v>64</v>
      </c>
      <c r="F12" s="2" t="s">
        <v>65</v>
      </c>
      <c r="G12" s="2" t="n">
        <v>9500000</v>
      </c>
      <c r="H12" s="2" t="n">
        <v>350000</v>
      </c>
      <c r="I12" s="2" t="n">
        <v>330000</v>
      </c>
      <c r="J12" s="2" t="n">
        <v>24</v>
      </c>
      <c r="K12" s="2" t="n">
        <v>0</v>
      </c>
      <c r="L12" s="2" t="n">
        <v>0</v>
      </c>
      <c r="M12" s="2" t="n">
        <v>0</v>
      </c>
      <c r="N12" s="2" t="n">
        <v>95000</v>
      </c>
      <c r="O12" s="2" t="n">
        <v>190000</v>
      </c>
      <c r="P12" s="7"/>
      <c r="Q12" s="7"/>
      <c r="R12" s="7"/>
      <c r="S12" s="7"/>
      <c r="T12" s="7"/>
      <c r="U12" s="7"/>
      <c r="V12" s="7"/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3" t="s">
        <v>70</v>
      </c>
      <c r="F13" s="2" t="s">
        <v>26</v>
      </c>
      <c r="G13" s="2" t="n">
        <v>8500000</v>
      </c>
      <c r="H13" s="2" t="n">
        <v>300000</v>
      </c>
      <c r="I13" s="2" t="n">
        <v>330000</v>
      </c>
      <c r="J13" s="2" t="n">
        <v>23</v>
      </c>
      <c r="K13" s="2" t="n">
        <v>2</v>
      </c>
      <c r="L13" s="2" t="n">
        <v>1</v>
      </c>
      <c r="M13" s="2" t="n">
        <v>0</v>
      </c>
      <c r="N13" s="2" t="n">
        <v>85000</v>
      </c>
      <c r="O13" s="2" t="n">
        <v>170000</v>
      </c>
      <c r="P13" s="7"/>
      <c r="Q13" s="7"/>
      <c r="R13" s="7"/>
      <c r="S13" s="7"/>
      <c r="T13" s="7"/>
      <c r="U13" s="7"/>
      <c r="V13" s="7"/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17</v>
      </c>
      <c r="D14" s="2" t="s">
        <v>36</v>
      </c>
      <c r="E14" s="3" t="s">
        <v>73</v>
      </c>
      <c r="F14" s="2" t="s">
        <v>26</v>
      </c>
      <c r="G14" s="2" t="n">
        <v>4800000</v>
      </c>
      <c r="H14" s="2" t="n">
        <v>350000</v>
      </c>
      <c r="I14" s="2" t="n">
        <v>250000</v>
      </c>
      <c r="J14" s="2" t="n">
        <v>22</v>
      </c>
      <c r="K14" s="2" t="n">
        <v>0</v>
      </c>
      <c r="L14" s="2" t="n">
        <v>2</v>
      </c>
      <c r="M14" s="2" t="n">
        <v>0</v>
      </c>
      <c r="N14" s="2" t="n">
        <v>48000</v>
      </c>
      <c r="O14" s="2" t="n">
        <v>96000</v>
      </c>
      <c r="P14" s="7"/>
      <c r="Q14" s="7"/>
      <c r="R14" s="7"/>
      <c r="S14" s="7"/>
      <c r="T14" s="7"/>
      <c r="U14" s="7"/>
      <c r="V14" s="7"/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23</v>
      </c>
      <c r="D15" s="2" t="s">
        <v>32</v>
      </c>
      <c r="E15" s="3" t="s">
        <v>76</v>
      </c>
      <c r="F15" s="2" t="s">
        <v>20</v>
      </c>
      <c r="G15" s="2" t="n">
        <v>5200000</v>
      </c>
      <c r="H15" s="2" t="n">
        <v>400000</v>
      </c>
      <c r="I15" s="2" t="n">
        <v>250000</v>
      </c>
      <c r="J15" s="2" t="n">
        <v>18</v>
      </c>
      <c r="K15" s="2" t="n">
        <v>3</v>
      </c>
      <c r="L15" s="2" t="n">
        <v>0</v>
      </c>
      <c r="M15" s="2" t="n">
        <v>3</v>
      </c>
      <c r="N15" s="2" t="n">
        <v>52000</v>
      </c>
      <c r="O15" s="2" t="n">
        <v>104000</v>
      </c>
      <c r="P15" s="7"/>
      <c r="Q15" s="7"/>
      <c r="R15" s="7"/>
      <c r="S15" s="7"/>
      <c r="T15" s="7"/>
      <c r="U15" s="7"/>
      <c r="V15" s="7"/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57</v>
      </c>
      <c r="D16" s="2" t="s">
        <v>58</v>
      </c>
      <c r="E16" s="3" t="s">
        <v>79</v>
      </c>
      <c r="F16" s="2" t="s">
        <v>65</v>
      </c>
      <c r="G16" s="2" t="n">
        <v>4800000</v>
      </c>
      <c r="H16" s="2" t="n">
        <v>350000</v>
      </c>
      <c r="I16" s="2" t="n">
        <v>330000</v>
      </c>
      <c r="J16" s="2" t="n">
        <v>24</v>
      </c>
      <c r="K16" s="2" t="n">
        <v>3</v>
      </c>
      <c r="L16" s="2" t="n">
        <v>1</v>
      </c>
      <c r="M16" s="2" t="n">
        <v>0</v>
      </c>
      <c r="N16" s="2" t="n">
        <v>48000</v>
      </c>
      <c r="O16" s="2" t="n">
        <v>96000</v>
      </c>
      <c r="P16" s="7"/>
      <c r="Q16" s="7"/>
      <c r="R16" s="7"/>
      <c r="S16" s="7"/>
      <c r="T16" s="7"/>
      <c r="U16" s="7"/>
      <c r="V16" s="7"/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17</v>
      </c>
      <c r="D17" s="2" t="s">
        <v>82</v>
      </c>
      <c r="E17" s="3" t="s">
        <v>83</v>
      </c>
      <c r="F17" s="2" t="s">
        <v>26</v>
      </c>
      <c r="G17" s="2" t="n">
        <v>9500000</v>
      </c>
      <c r="H17" s="2" t="n">
        <v>350000</v>
      </c>
      <c r="I17" s="2" t="n">
        <v>250000</v>
      </c>
      <c r="J17" s="2" t="n">
        <v>19</v>
      </c>
      <c r="K17" s="2" t="n">
        <v>1</v>
      </c>
      <c r="L17" s="2" t="n">
        <v>0</v>
      </c>
      <c r="M17" s="2" t="n">
        <v>4</v>
      </c>
      <c r="N17" s="2" t="n">
        <v>95000</v>
      </c>
      <c r="O17" s="2" t="n">
        <v>190000</v>
      </c>
      <c r="P17" s="7"/>
      <c r="Q17" s="7"/>
      <c r="R17" s="7"/>
      <c r="S17" s="7"/>
      <c r="T17" s="7"/>
      <c r="U17" s="7"/>
      <c r="V17" s="7"/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3" t="s">
        <v>88</v>
      </c>
      <c r="F18" s="2" t="s">
        <v>20</v>
      </c>
      <c r="G18" s="2" t="n">
        <v>4500000</v>
      </c>
      <c r="H18" s="2" t="n">
        <v>400000</v>
      </c>
      <c r="I18" s="2" t="n">
        <v>330000</v>
      </c>
      <c r="J18" s="2" t="n">
        <v>18</v>
      </c>
      <c r="K18" s="2" t="n">
        <v>1</v>
      </c>
      <c r="L18" s="2" t="n">
        <v>0</v>
      </c>
      <c r="M18" s="2" t="n">
        <v>5</v>
      </c>
      <c r="N18" s="2" t="n">
        <v>45000</v>
      </c>
      <c r="O18" s="2" t="n">
        <v>90000</v>
      </c>
      <c r="P18" s="7"/>
      <c r="Q18" s="7"/>
      <c r="R18" s="7"/>
      <c r="S18" s="7"/>
      <c r="T18" s="7"/>
      <c r="U18" s="7"/>
      <c r="V18" s="7"/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23</v>
      </c>
      <c r="D19" s="2" t="s">
        <v>43</v>
      </c>
      <c r="E19" s="3" t="s">
        <v>91</v>
      </c>
      <c r="F19" s="2" t="s">
        <v>20</v>
      </c>
      <c r="G19" s="2" t="n">
        <v>8500000</v>
      </c>
      <c r="H19" s="2" t="n">
        <v>300000</v>
      </c>
      <c r="I19" s="2" t="n">
        <v>330000</v>
      </c>
      <c r="J19" s="2" t="n">
        <v>19</v>
      </c>
      <c r="K19" s="2" t="n">
        <v>3</v>
      </c>
      <c r="L19" s="2" t="n">
        <v>1</v>
      </c>
      <c r="M19" s="2" t="n">
        <v>1</v>
      </c>
      <c r="N19" s="2" t="n">
        <v>85000</v>
      </c>
      <c r="O19" s="2" t="n">
        <v>170000</v>
      </c>
      <c r="P19" s="7"/>
      <c r="Q19" s="7"/>
      <c r="R19" s="7"/>
      <c r="S19" s="7"/>
      <c r="T19" s="7"/>
      <c r="U19" s="7"/>
      <c r="V19" s="7"/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47</v>
      </c>
      <c r="D20" s="2" t="s">
        <v>48</v>
      </c>
      <c r="E20" s="3" t="s">
        <v>94</v>
      </c>
      <c r="F20" s="2" t="s">
        <v>26</v>
      </c>
      <c r="G20" s="2" t="n">
        <v>6500000</v>
      </c>
      <c r="H20" s="2" t="n">
        <v>350000</v>
      </c>
      <c r="I20" s="2" t="n">
        <v>300000</v>
      </c>
      <c r="J20" s="2" t="n">
        <v>21</v>
      </c>
      <c r="K20" s="2" t="n">
        <v>0</v>
      </c>
      <c r="L20" s="2" t="n">
        <v>0</v>
      </c>
      <c r="M20" s="2" t="n">
        <v>3</v>
      </c>
      <c r="N20" s="2" t="n">
        <v>65000</v>
      </c>
      <c r="O20" s="2" t="n">
        <v>130000</v>
      </c>
      <c r="P20" s="7"/>
      <c r="Q20" s="7"/>
      <c r="R20" s="7"/>
      <c r="S20" s="7"/>
      <c r="T20" s="7"/>
      <c r="U20" s="7"/>
      <c r="V20" s="7"/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68</v>
      </c>
      <c r="D21" s="2" t="s">
        <v>69</v>
      </c>
      <c r="E21" s="3" t="s">
        <v>97</v>
      </c>
      <c r="F21" s="2" t="s">
        <v>20</v>
      </c>
      <c r="G21" s="2" t="n">
        <v>9500000</v>
      </c>
      <c r="H21" s="2" t="n">
        <v>350000</v>
      </c>
      <c r="I21" s="2" t="n">
        <v>250000</v>
      </c>
      <c r="J21" s="2" t="n">
        <v>21</v>
      </c>
      <c r="K21" s="2" t="n">
        <v>1</v>
      </c>
      <c r="L21" s="2" t="n">
        <v>2</v>
      </c>
      <c r="M21" s="2" t="n">
        <v>0</v>
      </c>
      <c r="N21" s="2" t="n">
        <v>95000</v>
      </c>
      <c r="O21" s="2" t="n">
        <v>190000</v>
      </c>
      <c r="P21" s="7"/>
      <c r="Q21" s="7"/>
      <c r="R21" s="7"/>
      <c r="S21" s="7"/>
      <c r="T21" s="7"/>
      <c r="U21" s="7"/>
      <c r="V21" s="7"/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23</v>
      </c>
      <c r="D22" s="2" t="s">
        <v>32</v>
      </c>
      <c r="E22" s="3" t="s">
        <v>100</v>
      </c>
      <c r="F22" s="2" t="s">
        <v>20</v>
      </c>
      <c r="G22" s="2" t="n">
        <v>9500000</v>
      </c>
      <c r="H22" s="2" t="n">
        <v>300000</v>
      </c>
      <c r="I22" s="2" t="n">
        <v>250000</v>
      </c>
      <c r="J22" s="2" t="n">
        <v>24</v>
      </c>
      <c r="K22" s="2" t="n">
        <v>1</v>
      </c>
      <c r="L22" s="2" t="n">
        <v>1</v>
      </c>
      <c r="M22" s="2" t="n">
        <v>0</v>
      </c>
      <c r="N22" s="2" t="n">
        <v>95000</v>
      </c>
      <c r="O22" s="2" t="n">
        <v>190000</v>
      </c>
      <c r="P22" s="7"/>
      <c r="Q22" s="7"/>
      <c r="R22" s="7"/>
      <c r="S22" s="7"/>
      <c r="T22" s="7"/>
      <c r="U22" s="7"/>
      <c r="V22" s="7"/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52</v>
      </c>
      <c r="D23" s="2" t="s">
        <v>53</v>
      </c>
      <c r="E23" s="3" t="s">
        <v>103</v>
      </c>
      <c r="F23" s="2" t="s">
        <v>65</v>
      </c>
      <c r="G23" s="2" t="n">
        <v>4800000</v>
      </c>
      <c r="H23" s="2" t="n">
        <v>350000</v>
      </c>
      <c r="I23" s="2" t="n">
        <v>250000</v>
      </c>
      <c r="J23" s="2" t="n">
        <v>21</v>
      </c>
      <c r="K23" s="2" t="n">
        <v>2</v>
      </c>
      <c r="L23" s="2" t="n">
        <v>3</v>
      </c>
      <c r="M23" s="2" t="n">
        <v>0</v>
      </c>
      <c r="N23" s="2" t="n">
        <v>48000</v>
      </c>
      <c r="O23" s="2" t="n">
        <v>96000</v>
      </c>
      <c r="P23" s="7"/>
      <c r="Q23" s="7"/>
      <c r="R23" s="7"/>
      <c r="S23" s="7"/>
      <c r="T23" s="7"/>
      <c r="U23" s="7"/>
      <c r="V23" s="7"/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86</v>
      </c>
      <c r="D24" s="2" t="s">
        <v>106</v>
      </c>
      <c r="E24" s="3" t="s">
        <v>107</v>
      </c>
      <c r="F24" s="2" t="s">
        <v>20</v>
      </c>
      <c r="G24" s="2" t="n">
        <v>5200000</v>
      </c>
      <c r="H24" s="2" t="n">
        <v>300000</v>
      </c>
      <c r="I24" s="2" t="n">
        <v>330000</v>
      </c>
      <c r="J24" s="2" t="n">
        <v>23</v>
      </c>
      <c r="K24" s="2" t="n">
        <v>0</v>
      </c>
      <c r="L24" s="2" t="n">
        <v>2</v>
      </c>
      <c r="M24" s="2" t="n">
        <v>0</v>
      </c>
      <c r="N24" s="2" t="n">
        <v>52000</v>
      </c>
      <c r="O24" s="2" t="n">
        <v>104000</v>
      </c>
      <c r="P24" s="7"/>
      <c r="Q24" s="7"/>
      <c r="R24" s="7"/>
      <c r="S24" s="7"/>
      <c r="T24" s="7"/>
      <c r="U24" s="7"/>
      <c r="V24" s="7"/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52</v>
      </c>
      <c r="D25" s="2" t="s">
        <v>53</v>
      </c>
      <c r="E25" s="3" t="s">
        <v>110</v>
      </c>
      <c r="F25" s="2" t="s">
        <v>65</v>
      </c>
      <c r="G25" s="2" t="n">
        <v>4500000</v>
      </c>
      <c r="H25" s="2" t="n">
        <v>300000</v>
      </c>
      <c r="I25" s="2" t="n">
        <v>250000</v>
      </c>
      <c r="J25" s="2" t="n">
        <v>22</v>
      </c>
      <c r="K25" s="2" t="n">
        <v>0</v>
      </c>
      <c r="L25" s="2" t="n">
        <v>1</v>
      </c>
      <c r="M25" s="2" t="n">
        <v>1</v>
      </c>
      <c r="N25" s="2" t="n">
        <v>45000</v>
      </c>
      <c r="O25" s="2" t="n">
        <v>90000</v>
      </c>
      <c r="P25" s="7"/>
      <c r="Q25" s="7"/>
      <c r="R25" s="7"/>
      <c r="S25" s="7"/>
      <c r="T25" s="7"/>
      <c r="U25" s="7"/>
      <c r="V25" s="7"/>
    </row>
    <row r="26" customFormat="false" ht="15" hidden="false" customHeight="false" outlineLevel="0" collapsed="false">
      <c r="A26" s="2" t="s">
        <v>111</v>
      </c>
      <c r="B26" s="2" t="s">
        <v>112</v>
      </c>
      <c r="C26" s="2" t="s">
        <v>47</v>
      </c>
      <c r="D26" s="2" t="s">
        <v>113</v>
      </c>
      <c r="E26" s="3" t="s">
        <v>114</v>
      </c>
      <c r="F26" s="2" t="s">
        <v>20</v>
      </c>
      <c r="G26" s="2" t="n">
        <v>4500000</v>
      </c>
      <c r="H26" s="2" t="n">
        <v>350000</v>
      </c>
      <c r="I26" s="2" t="n">
        <v>330000</v>
      </c>
      <c r="J26" s="2" t="n">
        <v>22</v>
      </c>
      <c r="K26" s="2" t="n">
        <v>2</v>
      </c>
      <c r="L26" s="2" t="n">
        <v>2</v>
      </c>
      <c r="M26" s="2" t="n">
        <v>0</v>
      </c>
      <c r="N26" s="2" t="n">
        <v>45000</v>
      </c>
      <c r="O26" s="2" t="n">
        <v>90000</v>
      </c>
      <c r="P26" s="7"/>
      <c r="Q26" s="7"/>
      <c r="R26" s="7"/>
      <c r="S26" s="7"/>
      <c r="T26" s="7"/>
      <c r="U26" s="7"/>
      <c r="V26" s="7"/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47</v>
      </c>
      <c r="D27" s="2" t="s">
        <v>117</v>
      </c>
      <c r="E27" s="3" t="s">
        <v>118</v>
      </c>
      <c r="F27" s="2" t="s">
        <v>20</v>
      </c>
      <c r="G27" s="2" t="n">
        <v>5800000</v>
      </c>
      <c r="H27" s="2" t="n">
        <v>350000</v>
      </c>
      <c r="I27" s="2" t="n">
        <v>300000</v>
      </c>
      <c r="J27" s="2" t="n">
        <v>24</v>
      </c>
      <c r="K27" s="2" t="n">
        <v>0</v>
      </c>
      <c r="L27" s="2" t="n">
        <v>0</v>
      </c>
      <c r="M27" s="2" t="n">
        <v>0</v>
      </c>
      <c r="N27" s="2" t="n">
        <v>58000</v>
      </c>
      <c r="O27" s="2" t="n">
        <v>116000</v>
      </c>
      <c r="P27" s="7"/>
      <c r="Q27" s="7"/>
      <c r="R27" s="7"/>
      <c r="S27" s="7"/>
      <c r="T27" s="7"/>
      <c r="U27" s="7"/>
      <c r="V27" s="7"/>
    </row>
    <row r="28" customFormat="false" ht="15" hidden="false" customHeight="false" outlineLevel="0" collapsed="false">
      <c r="A28" s="2" t="s">
        <v>119</v>
      </c>
      <c r="B28" s="2" t="s">
        <v>120</v>
      </c>
      <c r="C28" s="2" t="s">
        <v>23</v>
      </c>
      <c r="D28" s="2" t="s">
        <v>24</v>
      </c>
      <c r="E28" s="3" t="s">
        <v>121</v>
      </c>
      <c r="F28" s="2" t="s">
        <v>20</v>
      </c>
      <c r="G28" s="2" t="n">
        <v>5800000</v>
      </c>
      <c r="H28" s="2" t="n">
        <v>300000</v>
      </c>
      <c r="I28" s="2" t="n">
        <v>300000</v>
      </c>
      <c r="J28" s="2" t="n">
        <v>18</v>
      </c>
      <c r="K28" s="2" t="n">
        <v>1</v>
      </c>
      <c r="L28" s="2" t="n">
        <v>2</v>
      </c>
      <c r="M28" s="2" t="n">
        <v>3</v>
      </c>
      <c r="N28" s="2" t="n">
        <v>58000</v>
      </c>
      <c r="O28" s="2" t="n">
        <v>116000</v>
      </c>
      <c r="P28" s="7"/>
      <c r="Q28" s="7"/>
      <c r="R28" s="7"/>
      <c r="S28" s="7"/>
      <c r="T28" s="7"/>
      <c r="U28" s="7"/>
      <c r="V28" s="7"/>
    </row>
    <row r="29" customFormat="false" ht="15" hidden="false" customHeight="false" outlineLevel="0" collapsed="false">
      <c r="A29" s="2" t="s">
        <v>122</v>
      </c>
      <c r="B29" s="2" t="s">
        <v>123</v>
      </c>
      <c r="C29" s="2" t="s">
        <v>52</v>
      </c>
      <c r="D29" s="2" t="s">
        <v>124</v>
      </c>
      <c r="E29" s="3" t="s">
        <v>125</v>
      </c>
      <c r="F29" s="2" t="s">
        <v>65</v>
      </c>
      <c r="G29" s="2" t="n">
        <v>9500000</v>
      </c>
      <c r="H29" s="2" t="n">
        <v>300000</v>
      </c>
      <c r="I29" s="2" t="n">
        <v>330000</v>
      </c>
      <c r="J29" s="2" t="n">
        <v>24</v>
      </c>
      <c r="K29" s="2" t="n">
        <v>2</v>
      </c>
      <c r="L29" s="2" t="n">
        <v>0</v>
      </c>
      <c r="M29" s="2" t="n">
        <v>0</v>
      </c>
      <c r="N29" s="2" t="n">
        <v>95000</v>
      </c>
      <c r="O29" s="2" t="n">
        <v>190000</v>
      </c>
      <c r="P29" s="7"/>
      <c r="Q29" s="7"/>
      <c r="R29" s="7"/>
      <c r="S29" s="7"/>
      <c r="T29" s="7"/>
      <c r="U29" s="7"/>
      <c r="V29" s="7"/>
    </row>
    <row r="30" customFormat="false" ht="15" hidden="false" customHeight="false" outlineLevel="0" collapsed="false">
      <c r="A30" s="2" t="s">
        <v>126</v>
      </c>
      <c r="B30" s="2" t="s">
        <v>127</v>
      </c>
      <c r="C30" s="2" t="s">
        <v>23</v>
      </c>
      <c r="D30" s="2" t="s">
        <v>24</v>
      </c>
      <c r="E30" s="3" t="s">
        <v>128</v>
      </c>
      <c r="F30" s="2" t="s">
        <v>20</v>
      </c>
      <c r="G30" s="2" t="n">
        <v>5800000</v>
      </c>
      <c r="H30" s="2" t="n">
        <v>400000</v>
      </c>
      <c r="I30" s="2" t="n">
        <v>250000</v>
      </c>
      <c r="J30" s="2" t="n">
        <v>23</v>
      </c>
      <c r="K30" s="2" t="n">
        <v>2</v>
      </c>
      <c r="L30" s="2" t="n">
        <v>1</v>
      </c>
      <c r="M30" s="2" t="n">
        <v>0</v>
      </c>
      <c r="N30" s="2" t="n">
        <v>58000</v>
      </c>
      <c r="O30" s="2" t="n">
        <v>116000</v>
      </c>
      <c r="P30" s="7"/>
      <c r="Q30" s="7"/>
      <c r="R30" s="7"/>
      <c r="S30" s="7"/>
      <c r="T30" s="7"/>
      <c r="U30" s="7"/>
      <c r="V30" s="7"/>
    </row>
    <row r="31" customFormat="false" ht="15" hidden="false" customHeight="false" outlineLevel="0" collapsed="false">
      <c r="A31" s="2" t="s">
        <v>129</v>
      </c>
      <c r="B31" s="2" t="s">
        <v>130</v>
      </c>
      <c r="C31" s="2" t="s">
        <v>52</v>
      </c>
      <c r="D31" s="2" t="s">
        <v>124</v>
      </c>
      <c r="E31" s="3" t="s">
        <v>131</v>
      </c>
      <c r="F31" s="2" t="s">
        <v>20</v>
      </c>
      <c r="G31" s="2" t="n">
        <v>7200000</v>
      </c>
      <c r="H31" s="2" t="n">
        <v>350000</v>
      </c>
      <c r="I31" s="2" t="n">
        <v>250000</v>
      </c>
      <c r="J31" s="2" t="n">
        <v>18</v>
      </c>
      <c r="K31" s="2" t="n">
        <v>2</v>
      </c>
      <c r="L31" s="2" t="n">
        <v>1</v>
      </c>
      <c r="M31" s="2" t="n">
        <v>3</v>
      </c>
      <c r="N31" s="2" t="n">
        <v>72000</v>
      </c>
      <c r="O31" s="2" t="n">
        <v>144000</v>
      </c>
      <c r="P31" s="7"/>
      <c r="Q31" s="7"/>
      <c r="R31" s="7"/>
      <c r="S31" s="7"/>
      <c r="T31" s="7"/>
      <c r="U31" s="7"/>
      <c r="V31" s="7"/>
    </row>
    <row r="32" customFormat="false" ht="15" hidden="false" customHeight="false" outlineLevel="0" collapsed="false">
      <c r="A32" s="2" t="s">
        <v>132</v>
      </c>
      <c r="B32" s="2" t="s">
        <v>133</v>
      </c>
      <c r="C32" s="2" t="s">
        <v>52</v>
      </c>
      <c r="D32" s="2" t="s">
        <v>124</v>
      </c>
      <c r="E32" s="3" t="s">
        <v>134</v>
      </c>
      <c r="F32" s="2" t="s">
        <v>20</v>
      </c>
      <c r="G32" s="2" t="n">
        <v>4500000</v>
      </c>
      <c r="H32" s="2" t="n">
        <v>400000</v>
      </c>
      <c r="I32" s="2" t="n">
        <v>250000</v>
      </c>
      <c r="J32" s="2" t="n">
        <v>22</v>
      </c>
      <c r="K32" s="2" t="n">
        <v>0</v>
      </c>
      <c r="L32" s="2" t="n">
        <v>2</v>
      </c>
      <c r="M32" s="2" t="n">
        <v>0</v>
      </c>
      <c r="N32" s="2" t="n">
        <v>45000</v>
      </c>
      <c r="O32" s="2" t="n">
        <v>90000</v>
      </c>
      <c r="P32" s="7"/>
      <c r="Q32" s="7"/>
      <c r="R32" s="7"/>
      <c r="S32" s="7"/>
      <c r="T32" s="7"/>
      <c r="U32" s="7"/>
      <c r="V32" s="7"/>
    </row>
    <row r="33" customFormat="false" ht="15" hidden="false" customHeight="false" outlineLevel="0" collapsed="false">
      <c r="A33" s="2" t="s">
        <v>135</v>
      </c>
      <c r="B33" s="2" t="s">
        <v>136</v>
      </c>
      <c r="C33" s="2" t="s">
        <v>57</v>
      </c>
      <c r="D33" s="2" t="s">
        <v>137</v>
      </c>
      <c r="E33" s="3" t="s">
        <v>138</v>
      </c>
      <c r="F33" s="2" t="s">
        <v>20</v>
      </c>
      <c r="G33" s="2" t="n">
        <v>6500000</v>
      </c>
      <c r="H33" s="2" t="n">
        <v>300000</v>
      </c>
      <c r="I33" s="2" t="n">
        <v>300000</v>
      </c>
      <c r="J33" s="2" t="n">
        <v>19</v>
      </c>
      <c r="K33" s="2" t="n">
        <v>1</v>
      </c>
      <c r="L33" s="2" t="n">
        <v>0</v>
      </c>
      <c r="M33" s="2" t="n">
        <v>4</v>
      </c>
      <c r="N33" s="2" t="n">
        <v>65000</v>
      </c>
      <c r="O33" s="2" t="n">
        <v>130000</v>
      </c>
      <c r="P33" s="7"/>
      <c r="Q33" s="7"/>
      <c r="R33" s="7"/>
      <c r="S33" s="7"/>
      <c r="T33" s="7"/>
      <c r="U33" s="7"/>
      <c r="V33" s="7"/>
    </row>
    <row r="34" customFormat="false" ht="15" hidden="false" customHeight="false" outlineLevel="0" collapsed="false">
      <c r="A34" s="2" t="s">
        <v>139</v>
      </c>
      <c r="B34" s="2" t="s">
        <v>140</v>
      </c>
      <c r="C34" s="2" t="s">
        <v>62</v>
      </c>
      <c r="D34" s="2" t="s">
        <v>141</v>
      </c>
      <c r="E34" s="3" t="s">
        <v>142</v>
      </c>
      <c r="F34" s="2" t="s">
        <v>26</v>
      </c>
      <c r="G34" s="2" t="n">
        <v>4800000</v>
      </c>
      <c r="H34" s="2" t="n">
        <v>350000</v>
      </c>
      <c r="I34" s="2" t="n">
        <v>250000</v>
      </c>
      <c r="J34" s="2" t="n">
        <v>19</v>
      </c>
      <c r="K34" s="2" t="n">
        <v>2</v>
      </c>
      <c r="L34" s="2" t="n">
        <v>3</v>
      </c>
      <c r="M34" s="2" t="n">
        <v>0</v>
      </c>
      <c r="N34" s="2" t="n">
        <v>48000</v>
      </c>
      <c r="O34" s="2" t="n">
        <v>96000</v>
      </c>
      <c r="P34" s="7"/>
      <c r="Q34" s="7"/>
      <c r="R34" s="7"/>
      <c r="S34" s="7"/>
      <c r="T34" s="7"/>
      <c r="U34" s="7"/>
      <c r="V34" s="7"/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57</v>
      </c>
      <c r="D35" s="2" t="s">
        <v>58</v>
      </c>
      <c r="E35" s="3" t="s">
        <v>145</v>
      </c>
      <c r="F35" s="2" t="s">
        <v>26</v>
      </c>
      <c r="G35" s="2" t="n">
        <v>4200000</v>
      </c>
      <c r="H35" s="2" t="n">
        <v>350000</v>
      </c>
      <c r="I35" s="2" t="n">
        <v>250000</v>
      </c>
      <c r="J35" s="2" t="n">
        <v>19</v>
      </c>
      <c r="K35" s="2" t="n">
        <v>3</v>
      </c>
      <c r="L35" s="2" t="n">
        <v>2</v>
      </c>
      <c r="M35" s="2" t="n">
        <v>0</v>
      </c>
      <c r="N35" s="2" t="n">
        <v>42000</v>
      </c>
      <c r="O35" s="2" t="n">
        <v>84000</v>
      </c>
      <c r="P35" s="7"/>
      <c r="Q35" s="7"/>
      <c r="R35" s="7"/>
      <c r="S35" s="7"/>
      <c r="T35" s="7"/>
      <c r="U35" s="7"/>
      <c r="V35" s="7"/>
    </row>
    <row r="36" customFormat="false" ht="15" hidden="false" customHeight="false" outlineLevel="0" collapsed="false">
      <c r="A36" s="2" t="s">
        <v>146</v>
      </c>
      <c r="B36" s="2" t="s">
        <v>147</v>
      </c>
      <c r="C36" s="2" t="s">
        <v>47</v>
      </c>
      <c r="D36" s="2" t="s">
        <v>48</v>
      </c>
      <c r="E36" s="3" t="s">
        <v>148</v>
      </c>
      <c r="F36" s="2" t="s">
        <v>26</v>
      </c>
      <c r="G36" s="2" t="n">
        <v>5800000</v>
      </c>
      <c r="H36" s="2" t="n">
        <v>300000</v>
      </c>
      <c r="I36" s="2" t="n">
        <v>300000</v>
      </c>
      <c r="J36" s="2" t="n">
        <v>20</v>
      </c>
      <c r="K36" s="2" t="n">
        <v>3</v>
      </c>
      <c r="L36" s="2" t="n">
        <v>2</v>
      </c>
      <c r="M36" s="2" t="n">
        <v>0</v>
      </c>
      <c r="N36" s="2" t="n">
        <v>58000</v>
      </c>
      <c r="O36" s="2" t="n">
        <v>116000</v>
      </c>
      <c r="P36" s="7"/>
      <c r="Q36" s="7"/>
      <c r="R36" s="7"/>
      <c r="S36" s="7"/>
      <c r="T36" s="7"/>
      <c r="U36" s="7"/>
      <c r="V36" s="7"/>
    </row>
    <row r="37" customFormat="false" ht="15" hidden="false" customHeight="false" outlineLevel="0" collapsed="false">
      <c r="A37" s="2" t="s">
        <v>149</v>
      </c>
      <c r="B37" s="2" t="s">
        <v>150</v>
      </c>
      <c r="C37" s="2" t="s">
        <v>17</v>
      </c>
      <c r="D37" s="2" t="s">
        <v>18</v>
      </c>
      <c r="E37" s="3" t="s">
        <v>151</v>
      </c>
      <c r="F37" s="2" t="s">
        <v>65</v>
      </c>
      <c r="G37" s="2" t="n">
        <v>5800000</v>
      </c>
      <c r="H37" s="2" t="n">
        <v>300000</v>
      </c>
      <c r="I37" s="2" t="n">
        <v>250000</v>
      </c>
      <c r="J37" s="2" t="n">
        <v>22</v>
      </c>
      <c r="K37" s="2" t="n">
        <v>3</v>
      </c>
      <c r="L37" s="2" t="n">
        <v>2</v>
      </c>
      <c r="M37" s="2" t="n">
        <v>0</v>
      </c>
      <c r="N37" s="2" t="n">
        <v>58000</v>
      </c>
      <c r="O37" s="2" t="n">
        <v>116000</v>
      </c>
      <c r="P37" s="7"/>
      <c r="Q37" s="7"/>
      <c r="R37" s="7"/>
      <c r="S37" s="7"/>
      <c r="T37" s="7"/>
      <c r="U37" s="7"/>
      <c r="V37" s="7"/>
    </row>
    <row r="38" customFormat="false" ht="15" hidden="false" customHeight="false" outlineLevel="0" collapsed="false">
      <c r="A38" s="2" t="s">
        <v>152</v>
      </c>
      <c r="B38" s="2" t="s">
        <v>153</v>
      </c>
      <c r="C38" s="2" t="s">
        <v>86</v>
      </c>
      <c r="D38" s="2" t="s">
        <v>87</v>
      </c>
      <c r="E38" s="3" t="s">
        <v>154</v>
      </c>
      <c r="F38" s="2" t="s">
        <v>26</v>
      </c>
      <c r="G38" s="2" t="n">
        <v>5200000</v>
      </c>
      <c r="H38" s="2" t="n">
        <v>350000</v>
      </c>
      <c r="I38" s="2" t="n">
        <v>250000</v>
      </c>
      <c r="J38" s="2" t="n">
        <v>23</v>
      </c>
      <c r="K38" s="2" t="n">
        <v>3</v>
      </c>
      <c r="L38" s="2" t="n">
        <v>0</v>
      </c>
      <c r="M38" s="2" t="n">
        <v>0</v>
      </c>
      <c r="N38" s="2" t="n">
        <v>52000</v>
      </c>
      <c r="O38" s="2" t="n">
        <v>104000</v>
      </c>
      <c r="P38" s="7"/>
      <c r="Q38" s="7"/>
      <c r="R38" s="7"/>
      <c r="S38" s="7"/>
      <c r="T38" s="7"/>
      <c r="U38" s="7"/>
      <c r="V38" s="7"/>
    </row>
    <row r="39" customFormat="false" ht="15" hidden="false" customHeight="false" outlineLevel="0" collapsed="false">
      <c r="A39" s="2" t="s">
        <v>155</v>
      </c>
      <c r="B39" s="2" t="s">
        <v>156</v>
      </c>
      <c r="C39" s="2" t="s">
        <v>47</v>
      </c>
      <c r="D39" s="2" t="s">
        <v>117</v>
      </c>
      <c r="E39" s="3" t="s">
        <v>157</v>
      </c>
      <c r="F39" s="2" t="s">
        <v>20</v>
      </c>
      <c r="G39" s="2" t="n">
        <v>6500000</v>
      </c>
      <c r="H39" s="2" t="n">
        <v>400000</v>
      </c>
      <c r="I39" s="2" t="n">
        <v>300000</v>
      </c>
      <c r="J39" s="2" t="n">
        <v>23</v>
      </c>
      <c r="K39" s="2" t="n">
        <v>0</v>
      </c>
      <c r="L39" s="2" t="n">
        <v>2</v>
      </c>
      <c r="M39" s="2" t="n">
        <v>0</v>
      </c>
      <c r="N39" s="2" t="n">
        <v>65000</v>
      </c>
      <c r="O39" s="2" t="n">
        <v>130000</v>
      </c>
      <c r="P39" s="7"/>
      <c r="Q39" s="7"/>
      <c r="R39" s="7"/>
      <c r="S39" s="7"/>
      <c r="T39" s="7"/>
      <c r="U39" s="7"/>
      <c r="V39" s="7"/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62</v>
      </c>
      <c r="D40" s="2" t="s">
        <v>63</v>
      </c>
      <c r="E40" s="3" t="s">
        <v>160</v>
      </c>
      <c r="F40" s="2" t="s">
        <v>26</v>
      </c>
      <c r="G40" s="2" t="n">
        <v>9500000</v>
      </c>
      <c r="H40" s="2" t="n">
        <v>300000</v>
      </c>
      <c r="I40" s="2" t="n">
        <v>250000</v>
      </c>
      <c r="J40" s="2" t="n">
        <v>21</v>
      </c>
      <c r="K40" s="2" t="n">
        <v>3</v>
      </c>
      <c r="L40" s="2" t="n">
        <v>1</v>
      </c>
      <c r="M40" s="2" t="n">
        <v>0</v>
      </c>
      <c r="N40" s="2" t="n">
        <v>95000</v>
      </c>
      <c r="O40" s="2" t="n">
        <v>190000</v>
      </c>
      <c r="P40" s="7"/>
      <c r="Q40" s="7"/>
      <c r="R40" s="7"/>
      <c r="S40" s="7"/>
      <c r="T40" s="7"/>
      <c r="U40" s="7"/>
      <c r="V40" s="7"/>
    </row>
    <row r="41" customFormat="false" ht="15" hidden="false" customHeight="false" outlineLevel="0" collapsed="false">
      <c r="A41" s="2" t="s">
        <v>161</v>
      </c>
      <c r="B41" s="2" t="s">
        <v>162</v>
      </c>
      <c r="C41" s="2" t="s">
        <v>17</v>
      </c>
      <c r="D41" s="2" t="s">
        <v>82</v>
      </c>
      <c r="E41" s="3" t="s">
        <v>163</v>
      </c>
      <c r="F41" s="2" t="s">
        <v>26</v>
      </c>
      <c r="G41" s="2" t="n">
        <v>5800000</v>
      </c>
      <c r="H41" s="2" t="n">
        <v>350000</v>
      </c>
      <c r="I41" s="2" t="n">
        <v>250000</v>
      </c>
      <c r="J41" s="2" t="n">
        <v>21</v>
      </c>
      <c r="K41" s="2" t="n">
        <v>2</v>
      </c>
      <c r="L41" s="2" t="n">
        <v>3</v>
      </c>
      <c r="M41" s="2" t="n">
        <v>0</v>
      </c>
      <c r="N41" s="2" t="n">
        <v>58000</v>
      </c>
      <c r="O41" s="2" t="n">
        <v>116000</v>
      </c>
      <c r="P41" s="7"/>
      <c r="Q41" s="7"/>
      <c r="R41" s="7"/>
      <c r="S41" s="7"/>
      <c r="T41" s="7"/>
      <c r="U41" s="7"/>
      <c r="V41" s="7"/>
    </row>
    <row r="42" customFormat="false" ht="15" hidden="false" customHeight="false" outlineLevel="0" collapsed="false">
      <c r="A42" s="2" t="s">
        <v>164</v>
      </c>
      <c r="B42" s="2" t="s">
        <v>165</v>
      </c>
      <c r="C42" s="2" t="s">
        <v>47</v>
      </c>
      <c r="D42" s="2" t="s">
        <v>113</v>
      </c>
      <c r="E42" s="3" t="s">
        <v>166</v>
      </c>
      <c r="F42" s="2" t="s">
        <v>26</v>
      </c>
      <c r="G42" s="2" t="n">
        <v>4800000</v>
      </c>
      <c r="H42" s="2" t="n">
        <v>400000</v>
      </c>
      <c r="I42" s="2" t="n">
        <v>250000</v>
      </c>
      <c r="J42" s="2" t="n">
        <v>20</v>
      </c>
      <c r="K42" s="2" t="n">
        <v>2</v>
      </c>
      <c r="L42" s="2" t="n">
        <v>0</v>
      </c>
      <c r="M42" s="2" t="n">
        <v>2</v>
      </c>
      <c r="N42" s="2" t="n">
        <v>48000</v>
      </c>
      <c r="O42" s="2" t="n">
        <v>96000</v>
      </c>
      <c r="P42" s="7"/>
      <c r="Q42" s="7"/>
      <c r="R42" s="7"/>
      <c r="S42" s="7"/>
      <c r="T42" s="7"/>
      <c r="U42" s="7"/>
      <c r="V42" s="7"/>
    </row>
    <row r="43" customFormat="false" ht="15" hidden="false" customHeight="false" outlineLevel="0" collapsed="false">
      <c r="A43" s="2" t="s">
        <v>167</v>
      </c>
      <c r="B43" s="2" t="s">
        <v>168</v>
      </c>
      <c r="C43" s="2" t="s">
        <v>47</v>
      </c>
      <c r="D43" s="2" t="s">
        <v>48</v>
      </c>
      <c r="E43" s="3" t="s">
        <v>169</v>
      </c>
      <c r="F43" s="2" t="s">
        <v>20</v>
      </c>
      <c r="G43" s="2" t="n">
        <v>5200000</v>
      </c>
      <c r="H43" s="2" t="n">
        <v>350000</v>
      </c>
      <c r="I43" s="2" t="n">
        <v>330000</v>
      </c>
      <c r="J43" s="2" t="n">
        <v>24</v>
      </c>
      <c r="K43" s="2" t="n">
        <v>0</v>
      </c>
      <c r="L43" s="2" t="n">
        <v>3</v>
      </c>
      <c r="M43" s="2" t="n">
        <v>0</v>
      </c>
      <c r="N43" s="2" t="n">
        <v>52000</v>
      </c>
      <c r="O43" s="2" t="n">
        <v>104000</v>
      </c>
      <c r="P43" s="7"/>
      <c r="Q43" s="7"/>
      <c r="R43" s="7"/>
      <c r="S43" s="7"/>
      <c r="T43" s="7"/>
      <c r="U43" s="7"/>
      <c r="V43" s="7"/>
    </row>
    <row r="44" customFormat="false" ht="15" hidden="false" customHeight="false" outlineLevel="0" collapsed="false">
      <c r="A44" s="2" t="s">
        <v>170</v>
      </c>
      <c r="B44" s="2" t="s">
        <v>171</v>
      </c>
      <c r="C44" s="2" t="s">
        <v>47</v>
      </c>
      <c r="D44" s="2" t="s">
        <v>113</v>
      </c>
      <c r="E44" s="3" t="s">
        <v>172</v>
      </c>
      <c r="F44" s="2" t="s">
        <v>26</v>
      </c>
      <c r="G44" s="2" t="n">
        <v>5200000</v>
      </c>
      <c r="H44" s="2" t="n">
        <v>300000</v>
      </c>
      <c r="I44" s="2" t="n">
        <v>330000</v>
      </c>
      <c r="J44" s="2" t="n">
        <v>23</v>
      </c>
      <c r="K44" s="2" t="n">
        <v>0</v>
      </c>
      <c r="L44" s="2" t="n">
        <v>0</v>
      </c>
      <c r="M44" s="2" t="n">
        <v>1</v>
      </c>
      <c r="N44" s="2" t="n">
        <v>52000</v>
      </c>
      <c r="O44" s="2" t="n">
        <v>104000</v>
      </c>
      <c r="P44" s="7"/>
      <c r="Q44" s="7"/>
      <c r="R44" s="7"/>
      <c r="S44" s="7"/>
      <c r="T44" s="7"/>
      <c r="U44" s="7"/>
      <c r="V44" s="7"/>
    </row>
    <row r="45" customFormat="false" ht="15" hidden="false" customHeight="false" outlineLevel="0" collapsed="false">
      <c r="A45" s="2" t="s">
        <v>173</v>
      </c>
      <c r="B45" s="2" t="s">
        <v>174</v>
      </c>
      <c r="C45" s="2" t="s">
        <v>57</v>
      </c>
      <c r="D45" s="2" t="s">
        <v>58</v>
      </c>
      <c r="E45" s="3" t="s">
        <v>175</v>
      </c>
      <c r="F45" s="2" t="s">
        <v>26</v>
      </c>
      <c r="G45" s="2" t="n">
        <v>9500000</v>
      </c>
      <c r="H45" s="2" t="n">
        <v>300000</v>
      </c>
      <c r="I45" s="2" t="n">
        <v>250000</v>
      </c>
      <c r="J45" s="2" t="n">
        <v>21</v>
      </c>
      <c r="K45" s="2" t="n">
        <v>1</v>
      </c>
      <c r="L45" s="2" t="n">
        <v>3</v>
      </c>
      <c r="M45" s="2" t="n">
        <v>0</v>
      </c>
      <c r="N45" s="2" t="n">
        <v>95000</v>
      </c>
      <c r="O45" s="2" t="n">
        <v>190000</v>
      </c>
      <c r="P45" s="7"/>
      <c r="Q45" s="7"/>
      <c r="R45" s="7"/>
      <c r="S45" s="7"/>
      <c r="T45" s="7"/>
      <c r="U45" s="7"/>
      <c r="V45" s="7"/>
    </row>
    <row r="46" customFormat="false" ht="15" hidden="false" customHeight="false" outlineLevel="0" collapsed="false">
      <c r="A46" s="2" t="s">
        <v>176</v>
      </c>
      <c r="B46" s="2" t="s">
        <v>156</v>
      </c>
      <c r="C46" s="2" t="s">
        <v>68</v>
      </c>
      <c r="D46" s="2" t="s">
        <v>177</v>
      </c>
      <c r="E46" s="3" t="s">
        <v>178</v>
      </c>
      <c r="F46" s="2" t="s">
        <v>26</v>
      </c>
      <c r="G46" s="2" t="n">
        <v>9500000</v>
      </c>
      <c r="H46" s="2" t="n">
        <v>350000</v>
      </c>
      <c r="I46" s="2" t="n">
        <v>330000</v>
      </c>
      <c r="J46" s="2" t="n">
        <v>21</v>
      </c>
      <c r="K46" s="2" t="n">
        <v>1</v>
      </c>
      <c r="L46" s="2" t="n">
        <v>3</v>
      </c>
      <c r="M46" s="2" t="n">
        <v>0</v>
      </c>
      <c r="N46" s="2" t="n">
        <v>95000</v>
      </c>
      <c r="O46" s="2" t="n">
        <v>190000</v>
      </c>
      <c r="P46" s="7"/>
      <c r="Q46" s="7"/>
      <c r="R46" s="7"/>
      <c r="S46" s="7"/>
      <c r="T46" s="7"/>
      <c r="U46" s="7"/>
      <c r="V46" s="7"/>
    </row>
    <row r="47" customFormat="false" ht="15" hidden="false" customHeight="false" outlineLevel="0" collapsed="false">
      <c r="A47" s="2" t="s">
        <v>179</v>
      </c>
      <c r="B47" s="2" t="s">
        <v>180</v>
      </c>
      <c r="C47" s="2" t="s">
        <v>47</v>
      </c>
      <c r="D47" s="2" t="s">
        <v>113</v>
      </c>
      <c r="E47" s="3" t="s">
        <v>181</v>
      </c>
      <c r="F47" s="2" t="s">
        <v>26</v>
      </c>
      <c r="G47" s="2" t="n">
        <v>9500000</v>
      </c>
      <c r="H47" s="2" t="n">
        <v>350000</v>
      </c>
      <c r="I47" s="2" t="n">
        <v>330000</v>
      </c>
      <c r="J47" s="2" t="n">
        <v>19</v>
      </c>
      <c r="K47" s="2" t="n">
        <v>2</v>
      </c>
      <c r="L47" s="2" t="n">
        <v>3</v>
      </c>
      <c r="M47" s="2" t="n">
        <v>0</v>
      </c>
      <c r="N47" s="2" t="n">
        <v>95000</v>
      </c>
      <c r="O47" s="2" t="n">
        <v>190000</v>
      </c>
      <c r="P47" s="7"/>
      <c r="Q47" s="7"/>
      <c r="R47" s="7"/>
      <c r="S47" s="7"/>
      <c r="T47" s="7"/>
      <c r="U47" s="7"/>
      <c r="V47" s="7"/>
    </row>
    <row r="48" customFormat="false" ht="15" hidden="false" customHeight="false" outlineLevel="0" collapsed="false">
      <c r="A48" s="2" t="s">
        <v>182</v>
      </c>
      <c r="B48" s="2" t="s">
        <v>183</v>
      </c>
      <c r="C48" s="2" t="s">
        <v>47</v>
      </c>
      <c r="D48" s="2" t="s">
        <v>117</v>
      </c>
      <c r="E48" s="3" t="s">
        <v>184</v>
      </c>
      <c r="F48" s="2" t="s">
        <v>20</v>
      </c>
      <c r="G48" s="2" t="n">
        <v>9500000</v>
      </c>
      <c r="H48" s="2" t="n">
        <v>300000</v>
      </c>
      <c r="I48" s="2" t="n">
        <v>250000</v>
      </c>
      <c r="J48" s="2" t="n">
        <v>19</v>
      </c>
      <c r="K48" s="2" t="n">
        <v>1</v>
      </c>
      <c r="L48" s="2" t="n">
        <v>3</v>
      </c>
      <c r="M48" s="2" t="n">
        <v>1</v>
      </c>
      <c r="N48" s="2" t="n">
        <v>95000</v>
      </c>
      <c r="O48" s="2" t="n">
        <v>190000</v>
      </c>
      <c r="P48" s="7"/>
      <c r="Q48" s="7"/>
      <c r="R48" s="7"/>
      <c r="S48" s="7"/>
      <c r="T48" s="7"/>
      <c r="U48" s="7"/>
      <c r="V48" s="7"/>
    </row>
    <row r="49" customFormat="false" ht="15" hidden="false" customHeight="false" outlineLevel="0" collapsed="false">
      <c r="A49" s="2" t="s">
        <v>185</v>
      </c>
      <c r="B49" s="2" t="s">
        <v>186</v>
      </c>
      <c r="C49" s="2" t="s">
        <v>23</v>
      </c>
      <c r="D49" s="2" t="s">
        <v>32</v>
      </c>
      <c r="E49" s="3" t="s">
        <v>187</v>
      </c>
      <c r="F49" s="2" t="s">
        <v>20</v>
      </c>
      <c r="G49" s="2" t="n">
        <v>8500000</v>
      </c>
      <c r="H49" s="2" t="n">
        <v>350000</v>
      </c>
      <c r="I49" s="2" t="n">
        <v>250000</v>
      </c>
      <c r="J49" s="2" t="n">
        <v>19</v>
      </c>
      <c r="K49" s="2" t="n">
        <v>3</v>
      </c>
      <c r="L49" s="2" t="n">
        <v>3</v>
      </c>
      <c r="M49" s="2" t="n">
        <v>0</v>
      </c>
      <c r="N49" s="2" t="n">
        <v>85000</v>
      </c>
      <c r="O49" s="2" t="n">
        <v>170000</v>
      </c>
      <c r="P49" s="7"/>
      <c r="Q49" s="7"/>
      <c r="R49" s="7"/>
      <c r="S49" s="7"/>
      <c r="T49" s="7"/>
      <c r="U49" s="7"/>
      <c r="V49" s="7"/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62</v>
      </c>
      <c r="D50" s="2" t="s">
        <v>63</v>
      </c>
      <c r="E50" s="3" t="s">
        <v>190</v>
      </c>
      <c r="F50" s="2" t="s">
        <v>65</v>
      </c>
      <c r="G50" s="2" t="n">
        <v>5800000</v>
      </c>
      <c r="H50" s="2" t="n">
        <v>350000</v>
      </c>
      <c r="I50" s="2" t="n">
        <v>300000</v>
      </c>
      <c r="J50" s="2" t="n">
        <v>22</v>
      </c>
      <c r="K50" s="2" t="n">
        <v>1</v>
      </c>
      <c r="L50" s="2" t="n">
        <v>3</v>
      </c>
      <c r="M50" s="2" t="n">
        <v>0</v>
      </c>
      <c r="N50" s="2" t="n">
        <v>58000</v>
      </c>
      <c r="O50" s="2" t="n">
        <v>116000</v>
      </c>
      <c r="P50" s="7"/>
      <c r="Q50" s="7"/>
      <c r="R50" s="7"/>
      <c r="S50" s="7"/>
      <c r="T50" s="7"/>
      <c r="U50" s="7"/>
      <c r="V50" s="7"/>
    </row>
    <row r="51" customFormat="false" ht="15" hidden="false" customHeight="false" outlineLevel="0" collapsed="false">
      <c r="A51" s="2" t="s">
        <v>191</v>
      </c>
      <c r="B51" s="2" t="s">
        <v>192</v>
      </c>
      <c r="C51" s="2" t="s">
        <v>62</v>
      </c>
      <c r="D51" s="2" t="s">
        <v>63</v>
      </c>
      <c r="E51" s="3" t="s">
        <v>193</v>
      </c>
      <c r="F51" s="2" t="s">
        <v>26</v>
      </c>
      <c r="G51" s="2" t="n">
        <v>7200000</v>
      </c>
      <c r="H51" s="2" t="n">
        <v>400000</v>
      </c>
      <c r="I51" s="2" t="n">
        <v>250000</v>
      </c>
      <c r="J51" s="2" t="n">
        <v>24</v>
      </c>
      <c r="K51" s="2" t="n">
        <v>3</v>
      </c>
      <c r="L51" s="2" t="n">
        <v>1</v>
      </c>
      <c r="M51" s="2" t="n">
        <v>0</v>
      </c>
      <c r="N51" s="2" t="n">
        <v>72000</v>
      </c>
      <c r="O51" s="2" t="n">
        <v>144000</v>
      </c>
      <c r="P51" s="7"/>
      <c r="Q51" s="7"/>
      <c r="R51" s="7"/>
      <c r="S51" s="7"/>
      <c r="T51" s="7"/>
      <c r="U51" s="7"/>
      <c r="V51" s="7"/>
    </row>
    <row r="52" customFormat="false" ht="15" hidden="false" customHeight="false" outlineLevel="0" collapsed="false">
      <c r="A52" s="2" t="s">
        <v>194</v>
      </c>
      <c r="B52" s="2" t="s">
        <v>195</v>
      </c>
      <c r="C52" s="2" t="s">
        <v>196</v>
      </c>
      <c r="D52" s="2" t="s">
        <v>197</v>
      </c>
      <c r="E52" s="3" t="s">
        <v>198</v>
      </c>
      <c r="F52" s="2" t="s">
        <v>26</v>
      </c>
      <c r="G52" s="2" t="n">
        <v>4200000</v>
      </c>
      <c r="H52" s="2" t="n">
        <v>300000</v>
      </c>
      <c r="I52" s="2" t="n">
        <v>330000</v>
      </c>
      <c r="J52" s="2" t="n">
        <v>21</v>
      </c>
      <c r="K52" s="2" t="n">
        <v>1</v>
      </c>
      <c r="L52" s="2" t="n">
        <v>3</v>
      </c>
      <c r="M52" s="2" t="n">
        <v>0</v>
      </c>
      <c r="N52" s="2" t="n">
        <v>42000</v>
      </c>
      <c r="O52" s="2" t="n">
        <v>84000</v>
      </c>
      <c r="P52" s="7"/>
      <c r="Q52" s="7"/>
      <c r="R52" s="7"/>
      <c r="S52" s="7"/>
      <c r="T52" s="7"/>
      <c r="U52" s="7"/>
      <c r="V52" s="7"/>
    </row>
    <row r="53" customFormat="false" ht="15" hidden="false" customHeight="false" outlineLevel="0" collapsed="false">
      <c r="A53" s="2" t="s">
        <v>199</v>
      </c>
      <c r="B53" s="2" t="s">
        <v>200</v>
      </c>
      <c r="C53" s="2" t="s">
        <v>17</v>
      </c>
      <c r="D53" s="2" t="s">
        <v>82</v>
      </c>
      <c r="E53" s="3" t="s">
        <v>201</v>
      </c>
      <c r="F53" s="2" t="s">
        <v>20</v>
      </c>
      <c r="G53" s="2" t="n">
        <v>6500000</v>
      </c>
      <c r="H53" s="2" t="n">
        <v>350000</v>
      </c>
      <c r="I53" s="2" t="n">
        <v>300000</v>
      </c>
      <c r="J53" s="2" t="n">
        <v>20</v>
      </c>
      <c r="K53" s="2" t="n">
        <v>3</v>
      </c>
      <c r="L53" s="2" t="n">
        <v>2</v>
      </c>
      <c r="M53" s="2" t="n">
        <v>0</v>
      </c>
      <c r="N53" s="2" t="n">
        <v>65000</v>
      </c>
      <c r="O53" s="2" t="n">
        <v>130000</v>
      </c>
      <c r="P53" s="7"/>
      <c r="Q53" s="7"/>
      <c r="R53" s="7"/>
      <c r="S53" s="7"/>
      <c r="T53" s="7"/>
      <c r="U53" s="7"/>
      <c r="V53" s="7"/>
    </row>
    <row r="54" customFormat="false" ht="15" hidden="false" customHeight="false" outlineLevel="0" collapsed="false">
      <c r="A54" s="2" t="s">
        <v>202</v>
      </c>
      <c r="B54" s="2" t="s">
        <v>203</v>
      </c>
      <c r="C54" s="2" t="s">
        <v>196</v>
      </c>
      <c r="D54" s="2" t="s">
        <v>204</v>
      </c>
      <c r="E54" s="3" t="s">
        <v>205</v>
      </c>
      <c r="F54" s="2" t="s">
        <v>20</v>
      </c>
      <c r="G54" s="2" t="n">
        <v>6500000</v>
      </c>
      <c r="H54" s="2" t="n">
        <v>300000</v>
      </c>
      <c r="I54" s="2" t="n">
        <v>330000</v>
      </c>
      <c r="J54" s="2" t="n">
        <v>18</v>
      </c>
      <c r="K54" s="2" t="n">
        <v>0</v>
      </c>
      <c r="L54" s="2" t="n">
        <v>0</v>
      </c>
      <c r="M54" s="2" t="n">
        <v>6</v>
      </c>
      <c r="N54" s="2" t="n">
        <v>65000</v>
      </c>
      <c r="O54" s="2" t="n">
        <v>130000</v>
      </c>
      <c r="P54" s="7"/>
      <c r="Q54" s="7"/>
      <c r="R54" s="7"/>
      <c r="S54" s="7"/>
      <c r="T54" s="7"/>
      <c r="U54" s="7"/>
      <c r="V54" s="7"/>
    </row>
    <row r="55" customFormat="false" ht="15" hidden="false" customHeight="false" outlineLevel="0" collapsed="false">
      <c r="A55" s="2" t="s">
        <v>206</v>
      </c>
      <c r="B55" s="2" t="s">
        <v>207</v>
      </c>
      <c r="C55" s="2" t="s">
        <v>196</v>
      </c>
      <c r="D55" s="2" t="s">
        <v>204</v>
      </c>
      <c r="E55" s="3" t="s">
        <v>208</v>
      </c>
      <c r="F55" s="2" t="s">
        <v>20</v>
      </c>
      <c r="G55" s="2" t="n">
        <v>8500000</v>
      </c>
      <c r="H55" s="2" t="n">
        <v>400000</v>
      </c>
      <c r="I55" s="2" t="n">
        <v>250000</v>
      </c>
      <c r="J55" s="2" t="n">
        <v>22</v>
      </c>
      <c r="K55" s="2" t="n">
        <v>1</v>
      </c>
      <c r="L55" s="2" t="n">
        <v>3</v>
      </c>
      <c r="M55" s="2" t="n">
        <v>0</v>
      </c>
      <c r="N55" s="2" t="n">
        <v>85000</v>
      </c>
      <c r="O55" s="2" t="n">
        <v>170000</v>
      </c>
      <c r="P55" s="7"/>
      <c r="Q55" s="7"/>
      <c r="R55" s="7"/>
      <c r="S55" s="7"/>
      <c r="T55" s="7"/>
      <c r="U55" s="7"/>
      <c r="V55" s="7"/>
    </row>
    <row r="56" customFormat="false" ht="15" hidden="false" customHeight="false" outlineLevel="0" collapsed="false">
      <c r="A56" s="2" t="s">
        <v>209</v>
      </c>
      <c r="B56" s="2" t="s">
        <v>210</v>
      </c>
      <c r="C56" s="2" t="s">
        <v>57</v>
      </c>
      <c r="D56" s="2" t="s">
        <v>58</v>
      </c>
      <c r="E56" s="3" t="s">
        <v>211</v>
      </c>
      <c r="F56" s="2" t="s">
        <v>65</v>
      </c>
      <c r="G56" s="2" t="n">
        <v>4500000</v>
      </c>
      <c r="H56" s="2" t="n">
        <v>300000</v>
      </c>
      <c r="I56" s="2" t="n">
        <v>300000</v>
      </c>
      <c r="J56" s="2" t="n">
        <v>18</v>
      </c>
      <c r="K56" s="2" t="n">
        <v>0</v>
      </c>
      <c r="L56" s="2" t="n">
        <v>2</v>
      </c>
      <c r="M56" s="2" t="n">
        <v>4</v>
      </c>
      <c r="N56" s="2" t="n">
        <v>45000</v>
      </c>
      <c r="O56" s="2" t="n">
        <v>90000</v>
      </c>
      <c r="P56" s="7"/>
      <c r="Q56" s="7"/>
      <c r="R56" s="7"/>
      <c r="S56" s="7"/>
      <c r="T56" s="7"/>
      <c r="U56" s="7"/>
      <c r="V56" s="7"/>
    </row>
    <row r="57" customFormat="false" ht="15" hidden="false" customHeight="false" outlineLevel="0" collapsed="false">
      <c r="A57" s="2" t="s">
        <v>212</v>
      </c>
      <c r="B57" s="2" t="s">
        <v>213</v>
      </c>
      <c r="C57" s="2" t="s">
        <v>62</v>
      </c>
      <c r="D57" s="2" t="s">
        <v>141</v>
      </c>
      <c r="E57" s="3" t="s">
        <v>214</v>
      </c>
      <c r="F57" s="2" t="s">
        <v>26</v>
      </c>
      <c r="G57" s="2" t="n">
        <v>5200000</v>
      </c>
      <c r="H57" s="2" t="n">
        <v>300000</v>
      </c>
      <c r="I57" s="2" t="n">
        <v>330000</v>
      </c>
      <c r="J57" s="2" t="n">
        <v>24</v>
      </c>
      <c r="K57" s="2" t="n">
        <v>2</v>
      </c>
      <c r="L57" s="2" t="n">
        <v>0</v>
      </c>
      <c r="M57" s="2" t="n">
        <v>0</v>
      </c>
      <c r="N57" s="2" t="n">
        <v>52000</v>
      </c>
      <c r="O57" s="2" t="n">
        <v>104000</v>
      </c>
      <c r="P57" s="7"/>
      <c r="Q57" s="7"/>
      <c r="R57" s="7"/>
      <c r="S57" s="7"/>
      <c r="T57" s="7"/>
      <c r="U57" s="7"/>
      <c r="V57" s="7"/>
    </row>
    <row r="58" customFormat="false" ht="15" hidden="false" customHeight="false" outlineLevel="0" collapsed="false">
      <c r="A58" s="2" t="s">
        <v>215</v>
      </c>
      <c r="B58" s="2" t="s">
        <v>216</v>
      </c>
      <c r="C58" s="2" t="s">
        <v>68</v>
      </c>
      <c r="D58" s="2" t="s">
        <v>217</v>
      </c>
      <c r="E58" s="3" t="s">
        <v>218</v>
      </c>
      <c r="F58" s="2" t="s">
        <v>26</v>
      </c>
      <c r="G58" s="2" t="n">
        <v>4500000</v>
      </c>
      <c r="H58" s="2" t="n">
        <v>400000</v>
      </c>
      <c r="I58" s="2" t="n">
        <v>330000</v>
      </c>
      <c r="J58" s="2" t="n">
        <v>20</v>
      </c>
      <c r="K58" s="2" t="n">
        <v>0</v>
      </c>
      <c r="L58" s="2" t="n">
        <v>3</v>
      </c>
      <c r="M58" s="2" t="n">
        <v>1</v>
      </c>
      <c r="N58" s="2" t="n">
        <v>45000</v>
      </c>
      <c r="O58" s="2" t="n">
        <v>90000</v>
      </c>
      <c r="P58" s="7"/>
      <c r="Q58" s="7"/>
      <c r="R58" s="7"/>
      <c r="S58" s="7"/>
      <c r="T58" s="7"/>
      <c r="U58" s="7"/>
      <c r="V58" s="7"/>
    </row>
    <row r="59" customFormat="false" ht="15" hidden="false" customHeight="false" outlineLevel="0" collapsed="false">
      <c r="A59" s="2" t="s">
        <v>219</v>
      </c>
      <c r="B59" s="2" t="s">
        <v>220</v>
      </c>
      <c r="C59" s="2" t="s">
        <v>62</v>
      </c>
      <c r="D59" s="2" t="s">
        <v>63</v>
      </c>
      <c r="E59" s="3" t="s">
        <v>221</v>
      </c>
      <c r="F59" s="2" t="s">
        <v>26</v>
      </c>
      <c r="G59" s="2" t="n">
        <v>7200000</v>
      </c>
      <c r="H59" s="2" t="n">
        <v>300000</v>
      </c>
      <c r="I59" s="2" t="n">
        <v>330000</v>
      </c>
      <c r="J59" s="2" t="n">
        <v>22</v>
      </c>
      <c r="K59" s="2" t="n">
        <v>2</v>
      </c>
      <c r="L59" s="2" t="n">
        <v>3</v>
      </c>
      <c r="M59" s="2" t="n">
        <v>0</v>
      </c>
      <c r="N59" s="2" t="n">
        <v>72000</v>
      </c>
      <c r="O59" s="2" t="n">
        <v>144000</v>
      </c>
      <c r="P59" s="7"/>
      <c r="Q59" s="7"/>
      <c r="R59" s="7"/>
      <c r="S59" s="7"/>
      <c r="T59" s="7"/>
      <c r="U59" s="7"/>
      <c r="V59" s="7"/>
    </row>
    <row r="60" customFormat="false" ht="15" hidden="false" customHeight="false" outlineLevel="0" collapsed="false">
      <c r="A60" s="2" t="s">
        <v>222</v>
      </c>
      <c r="B60" s="2" t="s">
        <v>223</v>
      </c>
      <c r="C60" s="2" t="s">
        <v>17</v>
      </c>
      <c r="D60" s="2" t="s">
        <v>82</v>
      </c>
      <c r="E60" s="3" t="s">
        <v>224</v>
      </c>
      <c r="F60" s="2" t="s">
        <v>26</v>
      </c>
      <c r="G60" s="2" t="n">
        <v>4500000</v>
      </c>
      <c r="H60" s="2" t="n">
        <v>350000</v>
      </c>
      <c r="I60" s="2" t="n">
        <v>300000</v>
      </c>
      <c r="J60" s="2" t="n">
        <v>19</v>
      </c>
      <c r="K60" s="2" t="n">
        <v>3</v>
      </c>
      <c r="L60" s="2" t="n">
        <v>3</v>
      </c>
      <c r="M60" s="2" t="n">
        <v>0</v>
      </c>
      <c r="N60" s="2" t="n">
        <v>45000</v>
      </c>
      <c r="O60" s="2" t="n">
        <v>90000</v>
      </c>
      <c r="P60" s="7"/>
      <c r="Q60" s="7"/>
      <c r="R60" s="7"/>
      <c r="S60" s="7"/>
      <c r="T60" s="7"/>
      <c r="U60" s="7"/>
      <c r="V60" s="7"/>
    </row>
    <row r="61" customFormat="false" ht="15" hidden="false" customHeight="false" outlineLevel="0" collapsed="false">
      <c r="A61" s="2" t="s">
        <v>225</v>
      </c>
      <c r="B61" s="2" t="s">
        <v>85</v>
      </c>
      <c r="C61" s="2" t="s">
        <v>52</v>
      </c>
      <c r="D61" s="2" t="s">
        <v>124</v>
      </c>
      <c r="E61" s="3" t="s">
        <v>226</v>
      </c>
      <c r="F61" s="2" t="s">
        <v>26</v>
      </c>
      <c r="G61" s="2" t="n">
        <v>6500000</v>
      </c>
      <c r="H61" s="2" t="n">
        <v>350000</v>
      </c>
      <c r="I61" s="2" t="n">
        <v>300000</v>
      </c>
      <c r="J61" s="2" t="n">
        <v>20</v>
      </c>
      <c r="K61" s="2" t="n">
        <v>2</v>
      </c>
      <c r="L61" s="2" t="n">
        <v>0</v>
      </c>
      <c r="M61" s="2" t="n">
        <v>2</v>
      </c>
      <c r="N61" s="2" t="n">
        <v>65000</v>
      </c>
      <c r="O61" s="2" t="n">
        <v>130000</v>
      </c>
      <c r="P61" s="7"/>
      <c r="Q61" s="7"/>
      <c r="R61" s="7"/>
      <c r="S61" s="7"/>
      <c r="T61" s="7"/>
      <c r="U61" s="7"/>
      <c r="V61" s="7"/>
    </row>
    <row r="62" customFormat="false" ht="15" hidden="false" customHeight="false" outlineLevel="0" collapsed="false">
      <c r="A62" s="2" t="s">
        <v>227</v>
      </c>
      <c r="B62" s="2" t="s">
        <v>228</v>
      </c>
      <c r="C62" s="2" t="s">
        <v>23</v>
      </c>
      <c r="D62" s="2" t="s">
        <v>24</v>
      </c>
      <c r="E62" s="3" t="s">
        <v>229</v>
      </c>
      <c r="F62" s="2" t="s">
        <v>26</v>
      </c>
      <c r="G62" s="2" t="n">
        <v>5200000</v>
      </c>
      <c r="H62" s="2" t="n">
        <v>400000</v>
      </c>
      <c r="I62" s="2" t="n">
        <v>300000</v>
      </c>
      <c r="J62" s="2" t="n">
        <v>23</v>
      </c>
      <c r="K62" s="2" t="n">
        <v>3</v>
      </c>
      <c r="L62" s="2" t="n">
        <v>3</v>
      </c>
      <c r="M62" s="2" t="n">
        <v>0</v>
      </c>
      <c r="N62" s="2" t="n">
        <v>52000</v>
      </c>
      <c r="O62" s="2" t="n">
        <v>104000</v>
      </c>
      <c r="P62" s="7"/>
      <c r="Q62" s="7"/>
      <c r="R62" s="7"/>
      <c r="S62" s="7"/>
      <c r="T62" s="7"/>
      <c r="U62" s="7"/>
      <c r="V62" s="7"/>
    </row>
    <row r="63" customFormat="false" ht="15" hidden="false" customHeight="false" outlineLevel="0" collapsed="false">
      <c r="A63" s="2" t="s">
        <v>230</v>
      </c>
      <c r="B63" s="2" t="s">
        <v>231</v>
      </c>
      <c r="C63" s="2" t="s">
        <v>17</v>
      </c>
      <c r="D63" s="2" t="s">
        <v>18</v>
      </c>
      <c r="E63" s="3" t="s">
        <v>232</v>
      </c>
      <c r="F63" s="2" t="s">
        <v>26</v>
      </c>
      <c r="G63" s="2" t="n">
        <v>5800000</v>
      </c>
      <c r="H63" s="2" t="n">
        <v>400000</v>
      </c>
      <c r="I63" s="2" t="n">
        <v>330000</v>
      </c>
      <c r="J63" s="2" t="n">
        <v>20</v>
      </c>
      <c r="K63" s="2" t="n">
        <v>3</v>
      </c>
      <c r="L63" s="2" t="n">
        <v>2</v>
      </c>
      <c r="M63" s="2" t="n">
        <v>0</v>
      </c>
      <c r="N63" s="2" t="n">
        <v>58000</v>
      </c>
      <c r="O63" s="2" t="n">
        <v>116000</v>
      </c>
      <c r="P63" s="7"/>
      <c r="Q63" s="7"/>
      <c r="R63" s="7"/>
      <c r="S63" s="7"/>
      <c r="T63" s="7"/>
      <c r="U63" s="7"/>
      <c r="V63" s="7"/>
    </row>
    <row r="64" customFormat="false" ht="15" hidden="false" customHeight="false" outlineLevel="0" collapsed="false">
      <c r="A64" s="2" t="s">
        <v>233</v>
      </c>
      <c r="B64" s="2" t="s">
        <v>234</v>
      </c>
      <c r="C64" s="2" t="s">
        <v>68</v>
      </c>
      <c r="D64" s="2" t="s">
        <v>177</v>
      </c>
      <c r="E64" s="3" t="s">
        <v>235</v>
      </c>
      <c r="F64" s="2" t="s">
        <v>20</v>
      </c>
      <c r="G64" s="2" t="n">
        <v>5800000</v>
      </c>
      <c r="H64" s="2" t="n">
        <v>300000</v>
      </c>
      <c r="I64" s="2" t="n">
        <v>250000</v>
      </c>
      <c r="J64" s="2" t="n">
        <v>23</v>
      </c>
      <c r="K64" s="2" t="n">
        <v>1</v>
      </c>
      <c r="L64" s="2" t="n">
        <v>2</v>
      </c>
      <c r="M64" s="2" t="n">
        <v>0</v>
      </c>
      <c r="N64" s="2" t="n">
        <v>58000</v>
      </c>
      <c r="O64" s="2" t="n">
        <v>116000</v>
      </c>
      <c r="P64" s="7"/>
      <c r="Q64" s="7"/>
      <c r="R64" s="7"/>
      <c r="S64" s="7"/>
      <c r="T64" s="7"/>
      <c r="U64" s="7"/>
      <c r="V64" s="7"/>
    </row>
    <row r="65" customFormat="false" ht="15" hidden="false" customHeight="false" outlineLevel="0" collapsed="false">
      <c r="A65" s="2" t="s">
        <v>236</v>
      </c>
      <c r="B65" s="2" t="s">
        <v>237</v>
      </c>
      <c r="C65" s="2" t="s">
        <v>57</v>
      </c>
      <c r="D65" s="2" t="s">
        <v>238</v>
      </c>
      <c r="E65" s="3" t="s">
        <v>239</v>
      </c>
      <c r="F65" s="2" t="s">
        <v>26</v>
      </c>
      <c r="G65" s="2" t="n">
        <v>5800000</v>
      </c>
      <c r="H65" s="2" t="n">
        <v>400000</v>
      </c>
      <c r="I65" s="2" t="n">
        <v>330000</v>
      </c>
      <c r="J65" s="2" t="n">
        <v>24</v>
      </c>
      <c r="K65" s="2" t="n">
        <v>2</v>
      </c>
      <c r="L65" s="2" t="n">
        <v>0</v>
      </c>
      <c r="M65" s="2" t="n">
        <v>0</v>
      </c>
      <c r="N65" s="2" t="n">
        <v>58000</v>
      </c>
      <c r="O65" s="2" t="n">
        <v>116000</v>
      </c>
      <c r="P65" s="7"/>
      <c r="Q65" s="7"/>
      <c r="R65" s="7"/>
      <c r="S65" s="7"/>
      <c r="T65" s="7"/>
      <c r="U65" s="7"/>
      <c r="V65" s="7"/>
    </row>
    <row r="66" customFormat="false" ht="15" hidden="false" customHeight="false" outlineLevel="0" collapsed="false">
      <c r="A66" s="2" t="s">
        <v>240</v>
      </c>
      <c r="B66" s="2" t="s">
        <v>241</v>
      </c>
      <c r="C66" s="2" t="s">
        <v>47</v>
      </c>
      <c r="D66" s="2" t="s">
        <v>117</v>
      </c>
      <c r="E66" s="3" t="s">
        <v>242</v>
      </c>
      <c r="F66" s="2" t="s">
        <v>20</v>
      </c>
      <c r="G66" s="2" t="n">
        <v>9500000</v>
      </c>
      <c r="H66" s="2" t="n">
        <v>300000</v>
      </c>
      <c r="I66" s="2" t="n">
        <v>300000</v>
      </c>
      <c r="J66" s="2" t="n">
        <v>18</v>
      </c>
      <c r="K66" s="2" t="n">
        <v>0</v>
      </c>
      <c r="L66" s="2" t="n">
        <v>2</v>
      </c>
      <c r="M66" s="2" t="n">
        <v>4</v>
      </c>
      <c r="N66" s="2" t="n">
        <v>95000</v>
      </c>
      <c r="O66" s="2" t="n">
        <v>190000</v>
      </c>
      <c r="P66" s="7"/>
      <c r="Q66" s="7"/>
      <c r="R66" s="7"/>
      <c r="S66" s="7"/>
      <c r="T66" s="7"/>
      <c r="U66" s="7"/>
      <c r="V66" s="7"/>
    </row>
    <row r="67" customFormat="false" ht="15" hidden="false" customHeight="false" outlineLevel="0" collapsed="false">
      <c r="A67" s="2" t="s">
        <v>243</v>
      </c>
      <c r="B67" s="2" t="s">
        <v>244</v>
      </c>
      <c r="C67" s="2" t="s">
        <v>23</v>
      </c>
      <c r="D67" s="2" t="s">
        <v>24</v>
      </c>
      <c r="E67" s="3" t="s">
        <v>245</v>
      </c>
      <c r="F67" s="2" t="s">
        <v>20</v>
      </c>
      <c r="G67" s="2" t="n">
        <v>8500000</v>
      </c>
      <c r="H67" s="2" t="n">
        <v>350000</v>
      </c>
      <c r="I67" s="2" t="n">
        <v>300000</v>
      </c>
      <c r="J67" s="2" t="n">
        <v>19</v>
      </c>
      <c r="K67" s="2" t="n">
        <v>0</v>
      </c>
      <c r="L67" s="2" t="n">
        <v>2</v>
      </c>
      <c r="M67" s="2" t="n">
        <v>3</v>
      </c>
      <c r="N67" s="2" t="n">
        <v>85000</v>
      </c>
      <c r="O67" s="2" t="n">
        <v>170000</v>
      </c>
      <c r="P67" s="7"/>
      <c r="Q67" s="7"/>
      <c r="R67" s="7"/>
      <c r="S67" s="7"/>
      <c r="T67" s="7"/>
      <c r="U67" s="7"/>
      <c r="V67" s="7"/>
    </row>
    <row r="68" customFormat="false" ht="15" hidden="false" customHeight="false" outlineLevel="0" collapsed="false">
      <c r="A68" s="2" t="s">
        <v>246</v>
      </c>
      <c r="B68" s="2" t="s">
        <v>247</v>
      </c>
      <c r="C68" s="2" t="s">
        <v>23</v>
      </c>
      <c r="D68" s="2" t="s">
        <v>32</v>
      </c>
      <c r="E68" s="3" t="s">
        <v>248</v>
      </c>
      <c r="F68" s="2" t="s">
        <v>20</v>
      </c>
      <c r="G68" s="2" t="n">
        <v>4200000</v>
      </c>
      <c r="H68" s="2" t="n">
        <v>300000</v>
      </c>
      <c r="I68" s="2" t="n">
        <v>250000</v>
      </c>
      <c r="J68" s="2" t="n">
        <v>24</v>
      </c>
      <c r="K68" s="2" t="n">
        <v>2</v>
      </c>
      <c r="L68" s="2" t="n">
        <v>0</v>
      </c>
      <c r="M68" s="2" t="n">
        <v>0</v>
      </c>
      <c r="N68" s="2" t="n">
        <v>42000</v>
      </c>
      <c r="O68" s="2" t="n">
        <v>84000</v>
      </c>
      <c r="P68" s="7"/>
      <c r="Q68" s="7"/>
      <c r="R68" s="7"/>
      <c r="S68" s="7"/>
      <c r="T68" s="7"/>
      <c r="U68" s="7"/>
      <c r="V68" s="7"/>
    </row>
    <row r="69" customFormat="false" ht="15" hidden="false" customHeight="false" outlineLevel="0" collapsed="false">
      <c r="A69" s="2" t="s">
        <v>249</v>
      </c>
      <c r="B69" s="2" t="s">
        <v>250</v>
      </c>
      <c r="C69" s="2" t="s">
        <v>86</v>
      </c>
      <c r="D69" s="2" t="s">
        <v>106</v>
      </c>
      <c r="E69" s="3" t="s">
        <v>251</v>
      </c>
      <c r="F69" s="2" t="s">
        <v>26</v>
      </c>
      <c r="G69" s="2" t="n">
        <v>5200000</v>
      </c>
      <c r="H69" s="2" t="n">
        <v>400000</v>
      </c>
      <c r="I69" s="2" t="n">
        <v>300000</v>
      </c>
      <c r="J69" s="2" t="n">
        <v>21</v>
      </c>
      <c r="K69" s="2" t="n">
        <v>3</v>
      </c>
      <c r="L69" s="2" t="n">
        <v>2</v>
      </c>
      <c r="M69" s="2" t="n">
        <v>0</v>
      </c>
      <c r="N69" s="2" t="n">
        <v>52000</v>
      </c>
      <c r="O69" s="2" t="n">
        <v>104000</v>
      </c>
      <c r="P69" s="7"/>
      <c r="Q69" s="7"/>
      <c r="R69" s="7"/>
      <c r="S69" s="7"/>
      <c r="T69" s="7"/>
      <c r="U69" s="7"/>
      <c r="V69" s="7"/>
    </row>
    <row r="70" customFormat="false" ht="15" hidden="false" customHeight="false" outlineLevel="0" collapsed="false">
      <c r="A70" s="2" t="s">
        <v>252</v>
      </c>
      <c r="B70" s="2" t="s">
        <v>253</v>
      </c>
      <c r="C70" s="2" t="s">
        <v>17</v>
      </c>
      <c r="D70" s="2" t="s">
        <v>36</v>
      </c>
      <c r="E70" s="3" t="s">
        <v>254</v>
      </c>
      <c r="F70" s="2" t="s">
        <v>20</v>
      </c>
      <c r="G70" s="2" t="n">
        <v>4500000</v>
      </c>
      <c r="H70" s="2" t="n">
        <v>300000</v>
      </c>
      <c r="I70" s="2" t="n">
        <v>330000</v>
      </c>
      <c r="J70" s="2" t="n">
        <v>19</v>
      </c>
      <c r="K70" s="2" t="n">
        <v>2</v>
      </c>
      <c r="L70" s="2" t="n">
        <v>0</v>
      </c>
      <c r="M70" s="2" t="n">
        <v>3</v>
      </c>
      <c r="N70" s="2" t="n">
        <v>45000</v>
      </c>
      <c r="O70" s="2" t="n">
        <v>90000</v>
      </c>
      <c r="P70" s="7"/>
      <c r="Q70" s="7"/>
      <c r="R70" s="7"/>
      <c r="S70" s="7"/>
      <c r="T70" s="7"/>
      <c r="U70" s="7"/>
      <c r="V70" s="7"/>
    </row>
    <row r="71" customFormat="false" ht="15" hidden="false" customHeight="false" outlineLevel="0" collapsed="false">
      <c r="A71" s="2" t="s">
        <v>255</v>
      </c>
      <c r="B71" s="2" t="s">
        <v>256</v>
      </c>
      <c r="C71" s="2" t="s">
        <v>57</v>
      </c>
      <c r="D71" s="2" t="s">
        <v>58</v>
      </c>
      <c r="E71" s="3" t="s">
        <v>257</v>
      </c>
      <c r="F71" s="2" t="s">
        <v>20</v>
      </c>
      <c r="G71" s="2" t="n">
        <v>7200000</v>
      </c>
      <c r="H71" s="2" t="n">
        <v>350000</v>
      </c>
      <c r="I71" s="2" t="n">
        <v>330000</v>
      </c>
      <c r="J71" s="2" t="n">
        <v>22</v>
      </c>
      <c r="K71" s="2" t="n">
        <v>3</v>
      </c>
      <c r="L71" s="2" t="n">
        <v>2</v>
      </c>
      <c r="M71" s="2" t="n">
        <v>0</v>
      </c>
      <c r="N71" s="2" t="n">
        <v>72000</v>
      </c>
      <c r="O71" s="2" t="n">
        <v>144000</v>
      </c>
      <c r="P71" s="7"/>
      <c r="Q71" s="7"/>
      <c r="R71" s="7"/>
      <c r="S71" s="7"/>
      <c r="T71" s="7"/>
      <c r="U71" s="7"/>
      <c r="V71" s="7"/>
    </row>
    <row r="72" customFormat="false" ht="15" hidden="false" customHeight="false" outlineLevel="0" collapsed="false">
      <c r="A72" s="2" t="s">
        <v>258</v>
      </c>
      <c r="B72" s="2" t="s">
        <v>259</v>
      </c>
      <c r="C72" s="2" t="s">
        <v>17</v>
      </c>
      <c r="D72" s="2" t="s">
        <v>36</v>
      </c>
      <c r="E72" s="3" t="s">
        <v>260</v>
      </c>
      <c r="F72" s="2" t="s">
        <v>26</v>
      </c>
      <c r="G72" s="2" t="n">
        <v>8500000</v>
      </c>
      <c r="H72" s="2" t="n">
        <v>300000</v>
      </c>
      <c r="I72" s="2" t="n">
        <v>330000</v>
      </c>
      <c r="J72" s="2" t="n">
        <v>19</v>
      </c>
      <c r="K72" s="2" t="n">
        <v>2</v>
      </c>
      <c r="L72" s="2" t="n">
        <v>1</v>
      </c>
      <c r="M72" s="2" t="n">
        <v>2</v>
      </c>
      <c r="N72" s="2" t="n">
        <v>85000</v>
      </c>
      <c r="O72" s="2" t="n">
        <v>170000</v>
      </c>
      <c r="P72" s="7"/>
      <c r="Q72" s="7"/>
      <c r="R72" s="7"/>
      <c r="S72" s="7"/>
      <c r="T72" s="7"/>
      <c r="U72" s="7"/>
      <c r="V72" s="7"/>
    </row>
    <row r="73" customFormat="false" ht="15" hidden="false" customHeight="false" outlineLevel="0" collapsed="false">
      <c r="A73" s="2" t="s">
        <v>261</v>
      </c>
      <c r="B73" s="2" t="s">
        <v>262</v>
      </c>
      <c r="C73" s="2" t="s">
        <v>86</v>
      </c>
      <c r="D73" s="2" t="s">
        <v>87</v>
      </c>
      <c r="E73" s="3" t="s">
        <v>263</v>
      </c>
      <c r="F73" s="2" t="s">
        <v>65</v>
      </c>
      <c r="G73" s="2" t="n">
        <v>4800000</v>
      </c>
      <c r="H73" s="2" t="n">
        <v>300000</v>
      </c>
      <c r="I73" s="2" t="n">
        <v>250000</v>
      </c>
      <c r="J73" s="2" t="n">
        <v>19</v>
      </c>
      <c r="K73" s="2" t="n">
        <v>2</v>
      </c>
      <c r="L73" s="2" t="n">
        <v>2</v>
      </c>
      <c r="M73" s="2" t="n">
        <v>1</v>
      </c>
      <c r="N73" s="2" t="n">
        <v>48000</v>
      </c>
      <c r="O73" s="2" t="n">
        <v>96000</v>
      </c>
      <c r="P73" s="7"/>
      <c r="Q73" s="7"/>
      <c r="R73" s="7"/>
      <c r="S73" s="7"/>
      <c r="T73" s="7"/>
      <c r="U73" s="7"/>
      <c r="V73" s="7"/>
    </row>
    <row r="74" customFormat="false" ht="15" hidden="false" customHeight="false" outlineLevel="0" collapsed="false">
      <c r="A74" s="2" t="s">
        <v>264</v>
      </c>
      <c r="B74" s="2" t="s">
        <v>265</v>
      </c>
      <c r="C74" s="2" t="s">
        <v>52</v>
      </c>
      <c r="D74" s="2" t="s">
        <v>124</v>
      </c>
      <c r="E74" s="3" t="s">
        <v>160</v>
      </c>
      <c r="F74" s="2" t="s">
        <v>65</v>
      </c>
      <c r="G74" s="2" t="n">
        <v>9500000</v>
      </c>
      <c r="H74" s="2" t="n">
        <v>400000</v>
      </c>
      <c r="I74" s="2" t="n">
        <v>300000</v>
      </c>
      <c r="J74" s="2" t="n">
        <v>21</v>
      </c>
      <c r="K74" s="2" t="n">
        <v>0</v>
      </c>
      <c r="L74" s="2" t="n">
        <v>0</v>
      </c>
      <c r="M74" s="2" t="n">
        <v>3</v>
      </c>
      <c r="N74" s="2" t="n">
        <v>95000</v>
      </c>
      <c r="O74" s="2" t="n">
        <v>190000</v>
      </c>
      <c r="P74" s="7"/>
      <c r="Q74" s="7"/>
      <c r="R74" s="7"/>
      <c r="S74" s="7"/>
      <c r="T74" s="7"/>
      <c r="U74" s="7"/>
      <c r="V74" s="7"/>
    </row>
    <row r="75" customFormat="false" ht="15" hidden="false" customHeight="false" outlineLevel="0" collapsed="false">
      <c r="A75" s="2" t="s">
        <v>266</v>
      </c>
      <c r="B75" s="2" t="s">
        <v>267</v>
      </c>
      <c r="C75" s="2" t="s">
        <v>17</v>
      </c>
      <c r="D75" s="2" t="s">
        <v>18</v>
      </c>
      <c r="E75" s="3" t="s">
        <v>268</v>
      </c>
      <c r="F75" s="2" t="s">
        <v>20</v>
      </c>
      <c r="G75" s="2" t="n">
        <v>4200000</v>
      </c>
      <c r="H75" s="2" t="n">
        <v>400000</v>
      </c>
      <c r="I75" s="2" t="n">
        <v>300000</v>
      </c>
      <c r="J75" s="2" t="n">
        <v>22</v>
      </c>
      <c r="K75" s="2" t="n">
        <v>0</v>
      </c>
      <c r="L75" s="2" t="n">
        <v>1</v>
      </c>
      <c r="M75" s="2" t="n">
        <v>1</v>
      </c>
      <c r="N75" s="2" t="n">
        <v>42000</v>
      </c>
      <c r="O75" s="2" t="n">
        <v>84000</v>
      </c>
      <c r="P75" s="7"/>
      <c r="Q75" s="7"/>
      <c r="R75" s="7"/>
      <c r="S75" s="7"/>
      <c r="T75" s="7"/>
      <c r="U75" s="7"/>
      <c r="V75" s="7"/>
    </row>
    <row r="76" customFormat="false" ht="15" hidden="false" customHeight="false" outlineLevel="0" collapsed="false">
      <c r="A76" s="2" t="s">
        <v>269</v>
      </c>
      <c r="B76" s="2" t="s">
        <v>270</v>
      </c>
      <c r="C76" s="2" t="s">
        <v>52</v>
      </c>
      <c r="D76" s="2" t="s">
        <v>124</v>
      </c>
      <c r="E76" s="3" t="s">
        <v>271</v>
      </c>
      <c r="F76" s="2" t="s">
        <v>65</v>
      </c>
      <c r="G76" s="2" t="n">
        <v>7200000</v>
      </c>
      <c r="H76" s="2" t="n">
        <v>400000</v>
      </c>
      <c r="I76" s="2" t="n">
        <v>300000</v>
      </c>
      <c r="J76" s="2" t="n">
        <v>18</v>
      </c>
      <c r="K76" s="2" t="n">
        <v>3</v>
      </c>
      <c r="L76" s="2" t="n">
        <v>2</v>
      </c>
      <c r="M76" s="2" t="n">
        <v>1</v>
      </c>
      <c r="N76" s="2" t="n">
        <v>72000</v>
      </c>
      <c r="O76" s="2" t="n">
        <v>144000</v>
      </c>
      <c r="P76" s="7"/>
      <c r="Q76" s="7"/>
      <c r="R76" s="7"/>
      <c r="S76" s="7"/>
      <c r="T76" s="7"/>
      <c r="U76" s="7"/>
      <c r="V76" s="7"/>
    </row>
    <row r="77" customFormat="false" ht="15" hidden="false" customHeight="false" outlineLevel="0" collapsed="false">
      <c r="A77" s="2" t="s">
        <v>272</v>
      </c>
      <c r="B77" s="2" t="s">
        <v>273</v>
      </c>
      <c r="C77" s="2" t="s">
        <v>68</v>
      </c>
      <c r="D77" s="2" t="s">
        <v>217</v>
      </c>
      <c r="E77" s="3" t="s">
        <v>274</v>
      </c>
      <c r="F77" s="2" t="s">
        <v>26</v>
      </c>
      <c r="G77" s="2" t="n">
        <v>6500000</v>
      </c>
      <c r="H77" s="2" t="n">
        <v>350000</v>
      </c>
      <c r="I77" s="2" t="n">
        <v>330000</v>
      </c>
      <c r="J77" s="2" t="n">
        <v>21</v>
      </c>
      <c r="K77" s="2" t="n">
        <v>2</v>
      </c>
      <c r="L77" s="2" t="n">
        <v>3</v>
      </c>
      <c r="M77" s="2" t="n">
        <v>0</v>
      </c>
      <c r="N77" s="2" t="n">
        <v>65000</v>
      </c>
      <c r="O77" s="2" t="n">
        <v>130000</v>
      </c>
      <c r="P77" s="7"/>
      <c r="Q77" s="7"/>
      <c r="R77" s="7"/>
      <c r="S77" s="7"/>
      <c r="T77" s="7"/>
      <c r="U77" s="7"/>
      <c r="V77" s="7"/>
    </row>
    <row r="78" customFormat="false" ht="15" hidden="false" customHeight="false" outlineLevel="0" collapsed="false">
      <c r="A78" s="2" t="s">
        <v>275</v>
      </c>
      <c r="B78" s="2" t="s">
        <v>276</v>
      </c>
      <c r="C78" s="2" t="s">
        <v>52</v>
      </c>
      <c r="D78" s="2" t="s">
        <v>53</v>
      </c>
      <c r="E78" s="3" t="s">
        <v>277</v>
      </c>
      <c r="F78" s="2" t="s">
        <v>20</v>
      </c>
      <c r="G78" s="2" t="n">
        <v>4500000</v>
      </c>
      <c r="H78" s="2" t="n">
        <v>350000</v>
      </c>
      <c r="I78" s="2" t="n">
        <v>330000</v>
      </c>
      <c r="J78" s="2" t="n">
        <v>24</v>
      </c>
      <c r="K78" s="2" t="n">
        <v>0</v>
      </c>
      <c r="L78" s="2" t="n">
        <v>3</v>
      </c>
      <c r="M78" s="2" t="n">
        <v>0</v>
      </c>
      <c r="N78" s="2" t="n">
        <v>45000</v>
      </c>
      <c r="O78" s="2" t="n">
        <v>90000</v>
      </c>
      <c r="P78" s="7"/>
      <c r="Q78" s="7"/>
      <c r="R78" s="7"/>
      <c r="S78" s="7"/>
      <c r="T78" s="7"/>
      <c r="U78" s="7"/>
      <c r="V78" s="7"/>
    </row>
    <row r="79" customFormat="false" ht="15" hidden="false" customHeight="false" outlineLevel="0" collapsed="false">
      <c r="A79" s="2" t="s">
        <v>278</v>
      </c>
      <c r="B79" s="2" t="s">
        <v>279</v>
      </c>
      <c r="C79" s="2" t="s">
        <v>47</v>
      </c>
      <c r="D79" s="2" t="s">
        <v>113</v>
      </c>
      <c r="E79" s="3" t="s">
        <v>280</v>
      </c>
      <c r="F79" s="2" t="s">
        <v>26</v>
      </c>
      <c r="G79" s="2" t="n">
        <v>8500000</v>
      </c>
      <c r="H79" s="2" t="n">
        <v>400000</v>
      </c>
      <c r="I79" s="2" t="n">
        <v>300000</v>
      </c>
      <c r="J79" s="2" t="n">
        <v>24</v>
      </c>
      <c r="K79" s="2" t="n">
        <v>0</v>
      </c>
      <c r="L79" s="2" t="n">
        <v>1</v>
      </c>
      <c r="M79" s="2" t="n">
        <v>0</v>
      </c>
      <c r="N79" s="2" t="n">
        <v>85000</v>
      </c>
      <c r="O79" s="2" t="n">
        <v>170000</v>
      </c>
      <c r="P79" s="7"/>
      <c r="Q79" s="7"/>
      <c r="R79" s="7"/>
      <c r="S79" s="7"/>
      <c r="T79" s="7"/>
      <c r="U79" s="7"/>
      <c r="V79" s="7"/>
    </row>
    <row r="80" customFormat="false" ht="15" hidden="false" customHeight="false" outlineLevel="0" collapsed="false">
      <c r="A80" s="2" t="s">
        <v>281</v>
      </c>
      <c r="B80" s="2" t="s">
        <v>282</v>
      </c>
      <c r="C80" s="2" t="s">
        <v>57</v>
      </c>
      <c r="D80" s="2" t="s">
        <v>137</v>
      </c>
      <c r="E80" s="3" t="s">
        <v>283</v>
      </c>
      <c r="F80" s="2" t="s">
        <v>26</v>
      </c>
      <c r="G80" s="2" t="n">
        <v>8500000</v>
      </c>
      <c r="H80" s="2" t="n">
        <v>300000</v>
      </c>
      <c r="I80" s="2" t="n">
        <v>250000</v>
      </c>
      <c r="J80" s="2" t="n">
        <v>23</v>
      </c>
      <c r="K80" s="2" t="n">
        <v>1</v>
      </c>
      <c r="L80" s="2" t="n">
        <v>1</v>
      </c>
      <c r="M80" s="2" t="n">
        <v>0</v>
      </c>
      <c r="N80" s="2" t="n">
        <v>85000</v>
      </c>
      <c r="O80" s="2" t="n">
        <v>170000</v>
      </c>
      <c r="P80" s="7"/>
      <c r="Q80" s="7"/>
      <c r="R80" s="7"/>
      <c r="S80" s="7"/>
      <c r="T80" s="7"/>
      <c r="U80" s="7"/>
      <c r="V80" s="7"/>
    </row>
    <row r="81" customFormat="false" ht="15" hidden="false" customHeight="false" outlineLevel="0" collapsed="false">
      <c r="A81" s="2" t="s">
        <v>284</v>
      </c>
      <c r="B81" s="2" t="s">
        <v>285</v>
      </c>
      <c r="C81" s="2" t="s">
        <v>196</v>
      </c>
      <c r="D81" s="2" t="s">
        <v>204</v>
      </c>
      <c r="E81" s="3" t="s">
        <v>286</v>
      </c>
      <c r="F81" s="2" t="s">
        <v>20</v>
      </c>
      <c r="G81" s="2" t="n">
        <v>4500000</v>
      </c>
      <c r="H81" s="2" t="n">
        <v>350000</v>
      </c>
      <c r="I81" s="2" t="n">
        <v>250000</v>
      </c>
      <c r="J81" s="2" t="n">
        <v>23</v>
      </c>
      <c r="K81" s="2" t="n">
        <v>1</v>
      </c>
      <c r="L81" s="2" t="n">
        <v>3</v>
      </c>
      <c r="M81" s="2" t="n">
        <v>0</v>
      </c>
      <c r="N81" s="2" t="n">
        <v>45000</v>
      </c>
      <c r="O81" s="2" t="n">
        <v>90000</v>
      </c>
      <c r="P81" s="7"/>
      <c r="Q81" s="7"/>
      <c r="R81" s="7"/>
      <c r="S81" s="7"/>
      <c r="T81" s="7"/>
      <c r="U81" s="7"/>
      <c r="V81" s="7"/>
    </row>
    <row r="82" customFormat="false" ht="15" hidden="false" customHeight="false" outlineLevel="0" collapsed="false">
      <c r="A82" s="2" t="s">
        <v>287</v>
      </c>
      <c r="B82" s="2" t="s">
        <v>288</v>
      </c>
      <c r="C82" s="2" t="s">
        <v>17</v>
      </c>
      <c r="D82" s="2" t="s">
        <v>82</v>
      </c>
      <c r="E82" s="3" t="s">
        <v>289</v>
      </c>
      <c r="F82" s="2" t="s">
        <v>65</v>
      </c>
      <c r="G82" s="2" t="n">
        <v>5200000</v>
      </c>
      <c r="H82" s="2" t="n">
        <v>350000</v>
      </c>
      <c r="I82" s="2" t="n">
        <v>330000</v>
      </c>
      <c r="J82" s="2" t="n">
        <v>19</v>
      </c>
      <c r="K82" s="2" t="n">
        <v>3</v>
      </c>
      <c r="L82" s="2" t="n">
        <v>1</v>
      </c>
      <c r="M82" s="2" t="n">
        <v>1</v>
      </c>
      <c r="N82" s="2" t="n">
        <v>52000</v>
      </c>
      <c r="O82" s="2" t="n">
        <v>104000</v>
      </c>
      <c r="P82" s="7"/>
      <c r="Q82" s="7"/>
      <c r="R82" s="7"/>
      <c r="S82" s="7"/>
      <c r="T82" s="7"/>
      <c r="U82" s="7"/>
      <c r="V82" s="7"/>
    </row>
    <row r="83" customFormat="false" ht="15" hidden="false" customHeight="false" outlineLevel="0" collapsed="false">
      <c r="A83" s="2" t="s">
        <v>290</v>
      </c>
      <c r="B83" s="2" t="s">
        <v>291</v>
      </c>
      <c r="C83" s="2" t="s">
        <v>57</v>
      </c>
      <c r="D83" s="2" t="s">
        <v>238</v>
      </c>
      <c r="E83" s="3" t="s">
        <v>292</v>
      </c>
      <c r="F83" s="2" t="s">
        <v>26</v>
      </c>
      <c r="G83" s="2" t="n">
        <v>7200000</v>
      </c>
      <c r="H83" s="2" t="n">
        <v>350000</v>
      </c>
      <c r="I83" s="2" t="n">
        <v>330000</v>
      </c>
      <c r="J83" s="2" t="n">
        <v>20</v>
      </c>
      <c r="K83" s="2" t="n">
        <v>0</v>
      </c>
      <c r="L83" s="2" t="n">
        <v>2</v>
      </c>
      <c r="M83" s="2" t="n">
        <v>2</v>
      </c>
      <c r="N83" s="2" t="n">
        <v>72000</v>
      </c>
      <c r="O83" s="2" t="n">
        <v>144000</v>
      </c>
      <c r="P83" s="7"/>
      <c r="Q83" s="7"/>
      <c r="R83" s="7"/>
      <c r="S83" s="7"/>
      <c r="T83" s="7"/>
      <c r="U83" s="7"/>
      <c r="V83" s="7"/>
    </row>
    <row r="84" customFormat="false" ht="15" hidden="false" customHeight="false" outlineLevel="0" collapsed="false">
      <c r="A84" s="2" t="s">
        <v>293</v>
      </c>
      <c r="B84" s="2" t="s">
        <v>294</v>
      </c>
      <c r="C84" s="2" t="s">
        <v>52</v>
      </c>
      <c r="D84" s="2" t="s">
        <v>53</v>
      </c>
      <c r="E84" s="3" t="s">
        <v>295</v>
      </c>
      <c r="F84" s="2" t="s">
        <v>26</v>
      </c>
      <c r="G84" s="2" t="n">
        <v>6500000</v>
      </c>
      <c r="H84" s="2" t="n">
        <v>350000</v>
      </c>
      <c r="I84" s="2" t="n">
        <v>330000</v>
      </c>
      <c r="J84" s="2" t="n">
        <v>24</v>
      </c>
      <c r="K84" s="2" t="n">
        <v>3</v>
      </c>
      <c r="L84" s="2" t="n">
        <v>3</v>
      </c>
      <c r="M84" s="2" t="n">
        <v>0</v>
      </c>
      <c r="N84" s="2" t="n">
        <v>65000</v>
      </c>
      <c r="O84" s="2" t="n">
        <v>130000</v>
      </c>
      <c r="P84" s="7"/>
      <c r="Q84" s="7"/>
      <c r="R84" s="7"/>
      <c r="S84" s="7"/>
      <c r="T84" s="7"/>
      <c r="U84" s="7"/>
      <c r="V84" s="7"/>
    </row>
    <row r="85" customFormat="false" ht="15" hidden="false" customHeight="false" outlineLevel="0" collapsed="false">
      <c r="A85" s="2" t="s">
        <v>296</v>
      </c>
      <c r="B85" s="2" t="s">
        <v>297</v>
      </c>
      <c r="C85" s="2" t="s">
        <v>47</v>
      </c>
      <c r="D85" s="2" t="s">
        <v>113</v>
      </c>
      <c r="E85" s="3" t="s">
        <v>298</v>
      </c>
      <c r="F85" s="2" t="s">
        <v>20</v>
      </c>
      <c r="G85" s="2" t="n">
        <v>7200000</v>
      </c>
      <c r="H85" s="2" t="n">
        <v>300000</v>
      </c>
      <c r="I85" s="2" t="n">
        <v>300000</v>
      </c>
      <c r="J85" s="2" t="n">
        <v>23</v>
      </c>
      <c r="K85" s="2" t="n">
        <v>3</v>
      </c>
      <c r="L85" s="2" t="n">
        <v>3</v>
      </c>
      <c r="M85" s="2" t="n">
        <v>0</v>
      </c>
      <c r="N85" s="2" t="n">
        <v>72000</v>
      </c>
      <c r="O85" s="2" t="n">
        <v>144000</v>
      </c>
      <c r="P85" s="7"/>
      <c r="Q85" s="7"/>
      <c r="R85" s="7"/>
      <c r="S85" s="7"/>
      <c r="T85" s="7"/>
      <c r="U85" s="7"/>
      <c r="V85" s="7"/>
    </row>
    <row r="86" customFormat="false" ht="15" hidden="false" customHeight="false" outlineLevel="0" collapsed="false">
      <c r="A86" s="2" t="s">
        <v>299</v>
      </c>
      <c r="B86" s="2" t="s">
        <v>300</v>
      </c>
      <c r="C86" s="2" t="s">
        <v>52</v>
      </c>
      <c r="D86" s="2" t="s">
        <v>53</v>
      </c>
      <c r="E86" s="3" t="s">
        <v>301</v>
      </c>
      <c r="F86" s="2" t="s">
        <v>26</v>
      </c>
      <c r="G86" s="2" t="n">
        <v>6500000</v>
      </c>
      <c r="H86" s="2" t="n">
        <v>300000</v>
      </c>
      <c r="I86" s="2" t="n">
        <v>300000</v>
      </c>
      <c r="J86" s="2" t="n">
        <v>18</v>
      </c>
      <c r="K86" s="2" t="n">
        <v>3</v>
      </c>
      <c r="L86" s="2" t="n">
        <v>0</v>
      </c>
      <c r="M86" s="2" t="n">
        <v>3</v>
      </c>
      <c r="N86" s="2" t="n">
        <v>65000</v>
      </c>
      <c r="O86" s="2" t="n">
        <v>130000</v>
      </c>
      <c r="P86" s="7"/>
      <c r="Q86" s="7"/>
      <c r="R86" s="7"/>
      <c r="S86" s="7"/>
      <c r="T86" s="7"/>
      <c r="U86" s="7"/>
      <c r="V86" s="7"/>
    </row>
    <row r="87" customFormat="false" ht="15" hidden="false" customHeight="false" outlineLevel="0" collapsed="false">
      <c r="A87" s="2" t="s">
        <v>302</v>
      </c>
      <c r="B87" s="2" t="s">
        <v>303</v>
      </c>
      <c r="C87" s="2" t="s">
        <v>57</v>
      </c>
      <c r="D87" s="2" t="s">
        <v>238</v>
      </c>
      <c r="E87" s="3" t="s">
        <v>304</v>
      </c>
      <c r="F87" s="2" t="s">
        <v>26</v>
      </c>
      <c r="G87" s="2" t="n">
        <v>5800000</v>
      </c>
      <c r="H87" s="2" t="n">
        <v>350000</v>
      </c>
      <c r="I87" s="2" t="n">
        <v>330000</v>
      </c>
      <c r="J87" s="2" t="n">
        <v>23</v>
      </c>
      <c r="K87" s="2" t="n">
        <v>3</v>
      </c>
      <c r="L87" s="2" t="n">
        <v>0</v>
      </c>
      <c r="M87" s="2" t="n">
        <v>0</v>
      </c>
      <c r="N87" s="2" t="n">
        <v>58000</v>
      </c>
      <c r="O87" s="2" t="n">
        <v>116000</v>
      </c>
      <c r="P87" s="7"/>
      <c r="Q87" s="7"/>
      <c r="R87" s="7"/>
      <c r="S87" s="7"/>
      <c r="T87" s="7"/>
      <c r="U87" s="7"/>
      <c r="V87" s="7"/>
    </row>
    <row r="88" customFormat="false" ht="15" hidden="false" customHeight="false" outlineLevel="0" collapsed="false">
      <c r="A88" s="2" t="s">
        <v>305</v>
      </c>
      <c r="B88" s="2" t="s">
        <v>306</v>
      </c>
      <c r="C88" s="2" t="s">
        <v>62</v>
      </c>
      <c r="D88" s="2" t="s">
        <v>63</v>
      </c>
      <c r="E88" s="3" t="s">
        <v>307</v>
      </c>
      <c r="F88" s="2" t="s">
        <v>26</v>
      </c>
      <c r="G88" s="2" t="n">
        <v>4200000</v>
      </c>
      <c r="H88" s="2" t="n">
        <v>400000</v>
      </c>
      <c r="I88" s="2" t="n">
        <v>250000</v>
      </c>
      <c r="J88" s="2" t="n">
        <v>19</v>
      </c>
      <c r="K88" s="2" t="n">
        <v>2</v>
      </c>
      <c r="L88" s="2" t="n">
        <v>1</v>
      </c>
      <c r="M88" s="2" t="n">
        <v>2</v>
      </c>
      <c r="N88" s="2" t="n">
        <v>42000</v>
      </c>
      <c r="O88" s="2" t="n">
        <v>84000</v>
      </c>
      <c r="P88" s="7"/>
      <c r="Q88" s="7"/>
      <c r="R88" s="7"/>
      <c r="S88" s="7"/>
      <c r="T88" s="7"/>
      <c r="U88" s="7"/>
      <c r="V88" s="7"/>
    </row>
    <row r="89" customFormat="false" ht="15" hidden="false" customHeight="false" outlineLevel="0" collapsed="false">
      <c r="A89" s="2" t="s">
        <v>308</v>
      </c>
      <c r="B89" s="2" t="s">
        <v>309</v>
      </c>
      <c r="C89" s="2" t="s">
        <v>23</v>
      </c>
      <c r="D89" s="2" t="s">
        <v>43</v>
      </c>
      <c r="E89" s="3" t="s">
        <v>310</v>
      </c>
      <c r="F89" s="2" t="s">
        <v>26</v>
      </c>
      <c r="G89" s="2" t="n">
        <v>5800000</v>
      </c>
      <c r="H89" s="2" t="n">
        <v>300000</v>
      </c>
      <c r="I89" s="2" t="n">
        <v>250000</v>
      </c>
      <c r="J89" s="2" t="n">
        <v>20</v>
      </c>
      <c r="K89" s="2" t="n">
        <v>0</v>
      </c>
      <c r="L89" s="2" t="n">
        <v>2</v>
      </c>
      <c r="M89" s="2" t="n">
        <v>2</v>
      </c>
      <c r="N89" s="2" t="n">
        <v>58000</v>
      </c>
      <c r="O89" s="2" t="n">
        <v>116000</v>
      </c>
      <c r="P89" s="7"/>
      <c r="Q89" s="7"/>
      <c r="R89" s="7"/>
      <c r="S89" s="7"/>
      <c r="T89" s="7"/>
      <c r="U89" s="7"/>
      <c r="V89" s="7"/>
    </row>
    <row r="90" customFormat="false" ht="15" hidden="false" customHeight="false" outlineLevel="0" collapsed="false">
      <c r="A90" s="2" t="s">
        <v>311</v>
      </c>
      <c r="B90" s="2" t="s">
        <v>312</v>
      </c>
      <c r="C90" s="2" t="s">
        <v>62</v>
      </c>
      <c r="D90" s="2" t="s">
        <v>141</v>
      </c>
      <c r="E90" s="3" t="s">
        <v>313</v>
      </c>
      <c r="F90" s="2" t="s">
        <v>26</v>
      </c>
      <c r="G90" s="2" t="n">
        <v>4800000</v>
      </c>
      <c r="H90" s="2" t="n">
        <v>300000</v>
      </c>
      <c r="I90" s="2" t="n">
        <v>250000</v>
      </c>
      <c r="J90" s="2" t="n">
        <v>18</v>
      </c>
      <c r="K90" s="2" t="n">
        <v>3</v>
      </c>
      <c r="L90" s="2" t="n">
        <v>1</v>
      </c>
      <c r="M90" s="2" t="n">
        <v>2</v>
      </c>
      <c r="N90" s="2" t="n">
        <v>48000</v>
      </c>
      <c r="O90" s="2" t="n">
        <v>96000</v>
      </c>
      <c r="P90" s="7"/>
      <c r="Q90" s="7"/>
      <c r="R90" s="7"/>
      <c r="S90" s="7"/>
      <c r="T90" s="7"/>
      <c r="U90" s="7"/>
      <c r="V90" s="7"/>
    </row>
    <row r="91" customFormat="false" ht="15" hidden="false" customHeight="false" outlineLevel="0" collapsed="false">
      <c r="A91" s="2" t="s">
        <v>314</v>
      </c>
      <c r="B91" s="2" t="s">
        <v>315</v>
      </c>
      <c r="C91" s="2" t="s">
        <v>57</v>
      </c>
      <c r="D91" s="2" t="s">
        <v>238</v>
      </c>
      <c r="E91" s="3" t="s">
        <v>316</v>
      </c>
      <c r="F91" s="2" t="s">
        <v>26</v>
      </c>
      <c r="G91" s="2" t="n">
        <v>8500000</v>
      </c>
      <c r="H91" s="2" t="n">
        <v>350000</v>
      </c>
      <c r="I91" s="2" t="n">
        <v>330000</v>
      </c>
      <c r="J91" s="2" t="n">
        <v>18</v>
      </c>
      <c r="K91" s="2" t="n">
        <v>3</v>
      </c>
      <c r="L91" s="2" t="n">
        <v>2</v>
      </c>
      <c r="M91" s="2" t="n">
        <v>1</v>
      </c>
      <c r="N91" s="2" t="n">
        <v>85000</v>
      </c>
      <c r="O91" s="2" t="n">
        <v>170000</v>
      </c>
      <c r="P91" s="7"/>
      <c r="Q91" s="7"/>
      <c r="R91" s="7"/>
      <c r="S91" s="7"/>
      <c r="T91" s="7"/>
      <c r="U91" s="7"/>
      <c r="V91" s="7"/>
    </row>
    <row r="92" customFormat="false" ht="15" hidden="false" customHeight="false" outlineLevel="0" collapsed="false">
      <c r="A92" s="2" t="s">
        <v>317</v>
      </c>
      <c r="B92" s="2" t="s">
        <v>318</v>
      </c>
      <c r="C92" s="2" t="s">
        <v>23</v>
      </c>
      <c r="D92" s="2" t="s">
        <v>32</v>
      </c>
      <c r="E92" s="3" t="s">
        <v>319</v>
      </c>
      <c r="F92" s="2" t="s">
        <v>65</v>
      </c>
      <c r="G92" s="2" t="n">
        <v>5800000</v>
      </c>
      <c r="H92" s="2" t="n">
        <v>400000</v>
      </c>
      <c r="I92" s="2" t="n">
        <v>300000</v>
      </c>
      <c r="J92" s="2" t="n">
        <v>23</v>
      </c>
      <c r="K92" s="2" t="n">
        <v>2</v>
      </c>
      <c r="L92" s="2" t="n">
        <v>3</v>
      </c>
      <c r="M92" s="2" t="n">
        <v>0</v>
      </c>
      <c r="N92" s="2" t="n">
        <v>58000</v>
      </c>
      <c r="O92" s="2" t="n">
        <v>116000</v>
      </c>
      <c r="P92" s="7"/>
      <c r="Q92" s="7"/>
      <c r="R92" s="7"/>
      <c r="S92" s="7"/>
      <c r="T92" s="7"/>
      <c r="U92" s="7"/>
      <c r="V92" s="7"/>
    </row>
    <row r="93" customFormat="false" ht="15" hidden="false" customHeight="false" outlineLevel="0" collapsed="false">
      <c r="A93" s="2" t="s">
        <v>320</v>
      </c>
      <c r="B93" s="2" t="s">
        <v>321</v>
      </c>
      <c r="C93" s="2" t="s">
        <v>62</v>
      </c>
      <c r="D93" s="2" t="s">
        <v>63</v>
      </c>
      <c r="E93" s="3" t="s">
        <v>322</v>
      </c>
      <c r="F93" s="2" t="s">
        <v>20</v>
      </c>
      <c r="G93" s="2" t="n">
        <v>6500000</v>
      </c>
      <c r="H93" s="2" t="n">
        <v>400000</v>
      </c>
      <c r="I93" s="2" t="n">
        <v>300000</v>
      </c>
      <c r="J93" s="2" t="n">
        <v>23</v>
      </c>
      <c r="K93" s="2" t="n">
        <v>2</v>
      </c>
      <c r="L93" s="2" t="n">
        <v>0</v>
      </c>
      <c r="M93" s="2" t="n">
        <v>0</v>
      </c>
      <c r="N93" s="2" t="n">
        <v>65000</v>
      </c>
      <c r="O93" s="2" t="n">
        <v>130000</v>
      </c>
      <c r="P93" s="7"/>
      <c r="Q93" s="7"/>
      <c r="R93" s="7"/>
      <c r="S93" s="7"/>
      <c r="T93" s="7"/>
      <c r="U93" s="7"/>
      <c r="V93" s="7"/>
    </row>
    <row r="94" customFormat="false" ht="15" hidden="false" customHeight="false" outlineLevel="0" collapsed="false">
      <c r="A94" s="2" t="s">
        <v>323</v>
      </c>
      <c r="B94" s="2" t="s">
        <v>324</v>
      </c>
      <c r="C94" s="2" t="s">
        <v>196</v>
      </c>
      <c r="D94" s="2" t="s">
        <v>204</v>
      </c>
      <c r="E94" s="3" t="s">
        <v>325</v>
      </c>
      <c r="F94" s="2" t="s">
        <v>65</v>
      </c>
      <c r="G94" s="2" t="n">
        <v>8500000</v>
      </c>
      <c r="H94" s="2" t="n">
        <v>350000</v>
      </c>
      <c r="I94" s="2" t="n">
        <v>250000</v>
      </c>
      <c r="J94" s="2" t="n">
        <v>22</v>
      </c>
      <c r="K94" s="2" t="n">
        <v>2</v>
      </c>
      <c r="L94" s="2" t="n">
        <v>1</v>
      </c>
      <c r="M94" s="2" t="n">
        <v>0</v>
      </c>
      <c r="N94" s="2" t="n">
        <v>85000</v>
      </c>
      <c r="O94" s="2" t="n">
        <v>170000</v>
      </c>
      <c r="P94" s="7"/>
      <c r="Q94" s="7"/>
      <c r="R94" s="7"/>
      <c r="S94" s="7"/>
      <c r="T94" s="7"/>
      <c r="U94" s="7"/>
      <c r="V94" s="7"/>
    </row>
    <row r="95" customFormat="false" ht="15" hidden="false" customHeight="false" outlineLevel="0" collapsed="false">
      <c r="A95" s="2" t="s">
        <v>326</v>
      </c>
      <c r="B95" s="2" t="s">
        <v>327</v>
      </c>
      <c r="C95" s="2" t="s">
        <v>17</v>
      </c>
      <c r="D95" s="2" t="s">
        <v>36</v>
      </c>
      <c r="E95" s="3" t="s">
        <v>328</v>
      </c>
      <c r="F95" s="2" t="s">
        <v>26</v>
      </c>
      <c r="G95" s="2" t="n">
        <v>4200000</v>
      </c>
      <c r="H95" s="2" t="n">
        <v>350000</v>
      </c>
      <c r="I95" s="2" t="n">
        <v>300000</v>
      </c>
      <c r="J95" s="2" t="n">
        <v>18</v>
      </c>
      <c r="K95" s="2" t="n">
        <v>2</v>
      </c>
      <c r="L95" s="2" t="n">
        <v>1</v>
      </c>
      <c r="M95" s="2" t="n">
        <v>3</v>
      </c>
      <c r="N95" s="2" t="n">
        <v>42000</v>
      </c>
      <c r="O95" s="2" t="n">
        <v>84000</v>
      </c>
      <c r="P95" s="7"/>
      <c r="Q95" s="7"/>
      <c r="R95" s="7"/>
      <c r="S95" s="7"/>
      <c r="T95" s="7"/>
      <c r="U95" s="7"/>
      <c r="V95" s="7"/>
    </row>
    <row r="96" customFormat="false" ht="15" hidden="false" customHeight="false" outlineLevel="0" collapsed="false">
      <c r="A96" s="2" t="s">
        <v>329</v>
      </c>
      <c r="B96" s="2" t="s">
        <v>330</v>
      </c>
      <c r="C96" s="2" t="s">
        <v>68</v>
      </c>
      <c r="D96" s="2" t="s">
        <v>217</v>
      </c>
      <c r="E96" s="3" t="s">
        <v>331</v>
      </c>
      <c r="F96" s="2" t="s">
        <v>20</v>
      </c>
      <c r="G96" s="2" t="n">
        <v>4800000</v>
      </c>
      <c r="H96" s="2" t="n">
        <v>400000</v>
      </c>
      <c r="I96" s="2" t="n">
        <v>300000</v>
      </c>
      <c r="J96" s="2" t="n">
        <v>22</v>
      </c>
      <c r="K96" s="2" t="n">
        <v>2</v>
      </c>
      <c r="L96" s="2" t="n">
        <v>1</v>
      </c>
      <c r="M96" s="2" t="n">
        <v>0</v>
      </c>
      <c r="N96" s="2" t="n">
        <v>48000</v>
      </c>
      <c r="O96" s="2" t="n">
        <v>96000</v>
      </c>
      <c r="P96" s="7"/>
      <c r="Q96" s="7"/>
      <c r="R96" s="7"/>
      <c r="S96" s="7"/>
      <c r="T96" s="7"/>
      <c r="U96" s="7"/>
      <c r="V96" s="7"/>
    </row>
    <row r="97" customFormat="false" ht="15" hidden="false" customHeight="false" outlineLevel="0" collapsed="false">
      <c r="A97" s="2" t="s">
        <v>332</v>
      </c>
      <c r="B97" s="2" t="s">
        <v>333</v>
      </c>
      <c r="C97" s="2" t="s">
        <v>17</v>
      </c>
      <c r="D97" s="2" t="s">
        <v>36</v>
      </c>
      <c r="E97" s="3" t="s">
        <v>334</v>
      </c>
      <c r="F97" s="2" t="s">
        <v>26</v>
      </c>
      <c r="G97" s="2" t="n">
        <v>8500000</v>
      </c>
      <c r="H97" s="2" t="n">
        <v>300000</v>
      </c>
      <c r="I97" s="2" t="n">
        <v>250000</v>
      </c>
      <c r="J97" s="2" t="n">
        <v>24</v>
      </c>
      <c r="K97" s="2" t="n">
        <v>1</v>
      </c>
      <c r="L97" s="2" t="n">
        <v>3</v>
      </c>
      <c r="M97" s="2" t="n">
        <v>0</v>
      </c>
      <c r="N97" s="2" t="n">
        <v>85000</v>
      </c>
      <c r="O97" s="2" t="n">
        <v>170000</v>
      </c>
      <c r="P97" s="7"/>
      <c r="Q97" s="7"/>
      <c r="R97" s="7"/>
      <c r="S97" s="7"/>
      <c r="T97" s="7"/>
      <c r="U97" s="7"/>
      <c r="V97" s="7"/>
    </row>
    <row r="98" customFormat="false" ht="15" hidden="false" customHeight="false" outlineLevel="0" collapsed="false">
      <c r="A98" s="2" t="s">
        <v>335</v>
      </c>
      <c r="B98" s="2" t="s">
        <v>336</v>
      </c>
      <c r="C98" s="2" t="s">
        <v>23</v>
      </c>
      <c r="D98" s="2" t="s">
        <v>32</v>
      </c>
      <c r="E98" s="3" t="s">
        <v>337</v>
      </c>
      <c r="F98" s="2" t="s">
        <v>20</v>
      </c>
      <c r="G98" s="2" t="n">
        <v>4500000</v>
      </c>
      <c r="H98" s="2" t="n">
        <v>350000</v>
      </c>
      <c r="I98" s="2" t="n">
        <v>300000</v>
      </c>
      <c r="J98" s="2" t="n">
        <v>23</v>
      </c>
      <c r="K98" s="2" t="n">
        <v>2</v>
      </c>
      <c r="L98" s="2" t="n">
        <v>3</v>
      </c>
      <c r="M98" s="2" t="n">
        <v>0</v>
      </c>
      <c r="N98" s="2" t="n">
        <v>45000</v>
      </c>
      <c r="O98" s="2" t="n">
        <v>90000</v>
      </c>
      <c r="P98" s="7"/>
      <c r="Q98" s="7"/>
      <c r="R98" s="7"/>
      <c r="S98" s="7"/>
      <c r="T98" s="7"/>
      <c r="U98" s="7"/>
      <c r="V98" s="7"/>
    </row>
    <row r="99" customFormat="false" ht="15" hidden="false" customHeight="false" outlineLevel="0" collapsed="false">
      <c r="A99" s="2" t="s">
        <v>338</v>
      </c>
      <c r="B99" s="2" t="s">
        <v>339</v>
      </c>
      <c r="C99" s="2" t="s">
        <v>47</v>
      </c>
      <c r="D99" s="2" t="s">
        <v>117</v>
      </c>
      <c r="E99" s="3" t="s">
        <v>340</v>
      </c>
      <c r="F99" s="2" t="s">
        <v>26</v>
      </c>
      <c r="G99" s="2" t="n">
        <v>9500000</v>
      </c>
      <c r="H99" s="2" t="n">
        <v>350000</v>
      </c>
      <c r="I99" s="2" t="n">
        <v>330000</v>
      </c>
      <c r="J99" s="2" t="n">
        <v>19</v>
      </c>
      <c r="K99" s="2" t="n">
        <v>0</v>
      </c>
      <c r="L99" s="2" t="n">
        <v>3</v>
      </c>
      <c r="M99" s="2" t="n">
        <v>2</v>
      </c>
      <c r="N99" s="2" t="n">
        <v>95000</v>
      </c>
      <c r="O99" s="2" t="n">
        <v>190000</v>
      </c>
      <c r="P99" s="7"/>
      <c r="Q99" s="7"/>
      <c r="R99" s="7"/>
      <c r="S99" s="7"/>
      <c r="T99" s="7"/>
      <c r="U99" s="7"/>
      <c r="V99" s="7"/>
    </row>
    <row r="100" customFormat="false" ht="15" hidden="false" customHeight="false" outlineLevel="0" collapsed="false">
      <c r="A100" s="2" t="s">
        <v>341</v>
      </c>
      <c r="B100" s="2" t="s">
        <v>342</v>
      </c>
      <c r="C100" s="2" t="s">
        <v>23</v>
      </c>
      <c r="D100" s="2" t="s">
        <v>24</v>
      </c>
      <c r="E100" s="3" t="s">
        <v>343</v>
      </c>
      <c r="F100" s="2" t="s">
        <v>65</v>
      </c>
      <c r="G100" s="2" t="n">
        <v>5800000</v>
      </c>
      <c r="H100" s="2" t="n">
        <v>350000</v>
      </c>
      <c r="I100" s="2" t="n">
        <v>250000</v>
      </c>
      <c r="J100" s="2" t="n">
        <v>18</v>
      </c>
      <c r="K100" s="2" t="n">
        <v>1</v>
      </c>
      <c r="L100" s="2" t="n">
        <v>1</v>
      </c>
      <c r="M100" s="2" t="n">
        <v>4</v>
      </c>
      <c r="N100" s="2" t="n">
        <v>58000</v>
      </c>
      <c r="O100" s="2" t="n">
        <v>116000</v>
      </c>
      <c r="P100" s="7"/>
      <c r="Q100" s="7"/>
      <c r="R100" s="7"/>
      <c r="S100" s="7"/>
      <c r="T100" s="7"/>
      <c r="U100" s="7"/>
      <c r="V100" s="7"/>
    </row>
    <row r="101" customFormat="false" ht="15" hidden="false" customHeight="false" outlineLevel="0" collapsed="false">
      <c r="A101" s="2" t="s">
        <v>344</v>
      </c>
      <c r="B101" s="2" t="s">
        <v>345</v>
      </c>
      <c r="C101" s="2" t="s">
        <v>68</v>
      </c>
      <c r="D101" s="2" t="s">
        <v>217</v>
      </c>
      <c r="E101" s="3" t="s">
        <v>346</v>
      </c>
      <c r="F101" s="2" t="s">
        <v>26</v>
      </c>
      <c r="G101" s="2" t="n">
        <v>4800000</v>
      </c>
      <c r="H101" s="2" t="n">
        <v>350000</v>
      </c>
      <c r="I101" s="2" t="n">
        <v>330000</v>
      </c>
      <c r="J101" s="2" t="n">
        <v>18</v>
      </c>
      <c r="K101" s="2" t="n">
        <v>3</v>
      </c>
      <c r="L101" s="2" t="n">
        <v>3</v>
      </c>
      <c r="M101" s="2" t="n">
        <v>0</v>
      </c>
      <c r="N101" s="2" t="n">
        <v>48000</v>
      </c>
      <c r="O101" s="2" t="n">
        <v>96000</v>
      </c>
      <c r="P101" s="7"/>
      <c r="Q101" s="7"/>
      <c r="R101" s="7"/>
      <c r="S101" s="7"/>
      <c r="T101" s="7"/>
      <c r="U101" s="7"/>
      <c r="V101" s="7"/>
    </row>
    <row r="102" customFormat="false" ht="15" hidden="false" customHeight="false" outlineLevel="0" collapsed="false">
      <c r="A102" s="2" t="s">
        <v>347</v>
      </c>
      <c r="B102" s="2" t="s">
        <v>348</v>
      </c>
      <c r="C102" s="2" t="s">
        <v>68</v>
      </c>
      <c r="D102" s="2" t="s">
        <v>69</v>
      </c>
      <c r="E102" s="3" t="s">
        <v>349</v>
      </c>
      <c r="F102" s="2" t="s">
        <v>26</v>
      </c>
      <c r="G102" s="2" t="n">
        <v>5200000</v>
      </c>
      <c r="H102" s="2" t="n">
        <v>350000</v>
      </c>
      <c r="I102" s="2" t="n">
        <v>250000</v>
      </c>
      <c r="J102" s="2" t="n">
        <v>23</v>
      </c>
      <c r="K102" s="2" t="n">
        <v>2</v>
      </c>
      <c r="L102" s="2" t="n">
        <v>2</v>
      </c>
      <c r="M102" s="2" t="n">
        <v>0</v>
      </c>
      <c r="N102" s="2" t="n">
        <v>52000</v>
      </c>
      <c r="O102" s="2" t="n">
        <v>104000</v>
      </c>
      <c r="P102" s="7"/>
      <c r="Q102" s="7"/>
      <c r="R102" s="7"/>
      <c r="S102" s="7"/>
      <c r="T102" s="7"/>
      <c r="U102" s="7"/>
      <c r="V102" s="7"/>
    </row>
    <row r="103" customFormat="false" ht="15" hidden="false" customHeight="false" outlineLevel="0" collapsed="false">
      <c r="A103" s="2" t="s">
        <v>350</v>
      </c>
      <c r="B103" s="2" t="s">
        <v>96</v>
      </c>
      <c r="C103" s="2" t="s">
        <v>17</v>
      </c>
      <c r="D103" s="2" t="s">
        <v>18</v>
      </c>
      <c r="E103" s="3" t="s">
        <v>351</v>
      </c>
      <c r="F103" s="2" t="s">
        <v>65</v>
      </c>
      <c r="G103" s="2" t="n">
        <v>8500000</v>
      </c>
      <c r="H103" s="2" t="n">
        <v>300000</v>
      </c>
      <c r="I103" s="2" t="n">
        <v>330000</v>
      </c>
      <c r="J103" s="2" t="n">
        <v>19</v>
      </c>
      <c r="K103" s="2" t="n">
        <v>0</v>
      </c>
      <c r="L103" s="2" t="n">
        <v>0</v>
      </c>
      <c r="M103" s="2" t="n">
        <v>5</v>
      </c>
      <c r="N103" s="2" t="n">
        <v>85000</v>
      </c>
      <c r="O103" s="2" t="n">
        <v>170000</v>
      </c>
      <c r="P103" s="7"/>
      <c r="Q103" s="7"/>
      <c r="R103" s="7"/>
      <c r="S103" s="7"/>
      <c r="T103" s="7"/>
      <c r="U103" s="7"/>
      <c r="V103" s="7"/>
    </row>
    <row r="104" customFormat="false" ht="15" hidden="false" customHeight="false" outlineLevel="0" collapsed="false">
      <c r="A104" s="2" t="s">
        <v>352</v>
      </c>
      <c r="B104" s="2" t="s">
        <v>353</v>
      </c>
      <c r="C104" s="2" t="s">
        <v>57</v>
      </c>
      <c r="D104" s="2" t="s">
        <v>58</v>
      </c>
      <c r="E104" s="3" t="s">
        <v>354</v>
      </c>
      <c r="F104" s="2" t="s">
        <v>20</v>
      </c>
      <c r="G104" s="2" t="n">
        <v>9500000</v>
      </c>
      <c r="H104" s="2" t="n">
        <v>300000</v>
      </c>
      <c r="I104" s="2" t="n">
        <v>330000</v>
      </c>
      <c r="J104" s="2" t="n">
        <v>19</v>
      </c>
      <c r="K104" s="2" t="n">
        <v>1</v>
      </c>
      <c r="L104" s="2" t="n">
        <v>2</v>
      </c>
      <c r="M104" s="2" t="n">
        <v>2</v>
      </c>
      <c r="N104" s="2" t="n">
        <v>95000</v>
      </c>
      <c r="O104" s="2" t="n">
        <v>190000</v>
      </c>
      <c r="P104" s="7"/>
      <c r="Q104" s="7"/>
      <c r="R104" s="7"/>
      <c r="S104" s="7"/>
      <c r="T104" s="7"/>
      <c r="U104" s="7"/>
      <c r="V104" s="7"/>
    </row>
    <row r="105" customFormat="false" ht="15" hidden="false" customHeight="false" outlineLevel="0" collapsed="false">
      <c r="A105" s="2" t="s">
        <v>355</v>
      </c>
      <c r="B105" s="2" t="s">
        <v>356</v>
      </c>
      <c r="C105" s="2" t="s">
        <v>196</v>
      </c>
      <c r="D105" s="2" t="s">
        <v>197</v>
      </c>
      <c r="E105" s="3" t="s">
        <v>357</v>
      </c>
      <c r="F105" s="2" t="s">
        <v>65</v>
      </c>
      <c r="G105" s="2" t="n">
        <v>9500000</v>
      </c>
      <c r="H105" s="2" t="n">
        <v>350000</v>
      </c>
      <c r="I105" s="2" t="n">
        <v>250000</v>
      </c>
      <c r="J105" s="2" t="n">
        <v>18</v>
      </c>
      <c r="K105" s="2" t="n">
        <v>0</v>
      </c>
      <c r="L105" s="2" t="n">
        <v>1</v>
      </c>
      <c r="M105" s="2" t="n">
        <v>5</v>
      </c>
      <c r="N105" s="2" t="n">
        <v>95000</v>
      </c>
      <c r="O105" s="2" t="n">
        <v>190000</v>
      </c>
      <c r="P105" s="7"/>
      <c r="Q105" s="7"/>
      <c r="R105" s="7"/>
      <c r="S105" s="7"/>
      <c r="T105" s="7"/>
      <c r="U105" s="7"/>
      <c r="V105" s="7"/>
    </row>
    <row r="106" customFormat="false" ht="15" hidden="false" customHeight="false" outlineLevel="0" collapsed="false">
      <c r="A106" s="2" t="s">
        <v>358</v>
      </c>
      <c r="B106" s="2" t="s">
        <v>359</v>
      </c>
      <c r="C106" s="2" t="s">
        <v>47</v>
      </c>
      <c r="D106" s="2" t="s">
        <v>113</v>
      </c>
      <c r="E106" s="3" t="s">
        <v>360</v>
      </c>
      <c r="F106" s="2" t="s">
        <v>20</v>
      </c>
      <c r="G106" s="2" t="n">
        <v>5800000</v>
      </c>
      <c r="H106" s="2" t="n">
        <v>300000</v>
      </c>
      <c r="I106" s="2" t="n">
        <v>250000</v>
      </c>
      <c r="J106" s="2" t="n">
        <v>23</v>
      </c>
      <c r="K106" s="2" t="n">
        <v>3</v>
      </c>
      <c r="L106" s="2" t="n">
        <v>0</v>
      </c>
      <c r="M106" s="2" t="n">
        <v>0</v>
      </c>
      <c r="N106" s="2" t="n">
        <v>58000</v>
      </c>
      <c r="O106" s="2" t="n">
        <v>116000</v>
      </c>
      <c r="P106" s="7"/>
      <c r="Q106" s="7"/>
      <c r="R106" s="7"/>
      <c r="S106" s="7"/>
      <c r="T106" s="7"/>
      <c r="U106" s="7"/>
      <c r="V106" s="7"/>
    </row>
    <row r="107" customFormat="false" ht="15" hidden="false" customHeight="false" outlineLevel="0" collapsed="false">
      <c r="A107" s="2" t="s">
        <v>361</v>
      </c>
      <c r="B107" s="2" t="s">
        <v>362</v>
      </c>
      <c r="C107" s="2" t="s">
        <v>52</v>
      </c>
      <c r="D107" s="2" t="s">
        <v>124</v>
      </c>
      <c r="E107" s="3" t="s">
        <v>363</v>
      </c>
      <c r="F107" s="2" t="s">
        <v>26</v>
      </c>
      <c r="G107" s="2" t="n">
        <v>8500000</v>
      </c>
      <c r="H107" s="2" t="n">
        <v>400000</v>
      </c>
      <c r="I107" s="2" t="n">
        <v>250000</v>
      </c>
      <c r="J107" s="2" t="n">
        <v>22</v>
      </c>
      <c r="K107" s="2" t="n">
        <v>0</v>
      </c>
      <c r="L107" s="2" t="n">
        <v>2</v>
      </c>
      <c r="M107" s="2" t="n">
        <v>0</v>
      </c>
      <c r="N107" s="2" t="n">
        <v>85000</v>
      </c>
      <c r="O107" s="2" t="n">
        <v>170000</v>
      </c>
      <c r="P107" s="7"/>
      <c r="Q107" s="7"/>
      <c r="R107" s="7"/>
      <c r="S107" s="7"/>
      <c r="T107" s="7"/>
      <c r="U107" s="7"/>
      <c r="V107" s="7"/>
    </row>
    <row r="108" customFormat="false" ht="15" hidden="false" customHeight="false" outlineLevel="0" collapsed="false">
      <c r="A108" s="2" t="s">
        <v>364</v>
      </c>
      <c r="B108" s="2" t="s">
        <v>365</v>
      </c>
      <c r="C108" s="2" t="s">
        <v>196</v>
      </c>
      <c r="D108" s="2" t="s">
        <v>197</v>
      </c>
      <c r="E108" s="3" t="s">
        <v>366</v>
      </c>
      <c r="F108" s="2" t="s">
        <v>26</v>
      </c>
      <c r="G108" s="2" t="n">
        <v>4500000</v>
      </c>
      <c r="H108" s="2" t="n">
        <v>350000</v>
      </c>
      <c r="I108" s="2" t="n">
        <v>330000</v>
      </c>
      <c r="J108" s="2" t="n">
        <v>21</v>
      </c>
      <c r="K108" s="2" t="n">
        <v>0</v>
      </c>
      <c r="L108" s="2" t="n">
        <v>0</v>
      </c>
      <c r="M108" s="2" t="n">
        <v>3</v>
      </c>
      <c r="N108" s="2" t="n">
        <v>45000</v>
      </c>
      <c r="O108" s="2" t="n">
        <v>90000</v>
      </c>
      <c r="P108" s="7"/>
      <c r="Q108" s="7"/>
      <c r="R108" s="7"/>
      <c r="S108" s="7"/>
      <c r="T108" s="7"/>
      <c r="U108" s="7"/>
      <c r="V108" s="7"/>
    </row>
    <row r="109" customFormat="false" ht="15" hidden="false" customHeight="false" outlineLevel="0" collapsed="false">
      <c r="A109" s="2" t="s">
        <v>367</v>
      </c>
      <c r="B109" s="2" t="s">
        <v>368</v>
      </c>
      <c r="C109" s="2" t="s">
        <v>57</v>
      </c>
      <c r="D109" s="2" t="s">
        <v>238</v>
      </c>
      <c r="E109" s="3" t="s">
        <v>369</v>
      </c>
      <c r="F109" s="2" t="s">
        <v>20</v>
      </c>
      <c r="G109" s="2" t="n">
        <v>9500000</v>
      </c>
      <c r="H109" s="2" t="n">
        <v>400000</v>
      </c>
      <c r="I109" s="2" t="n">
        <v>300000</v>
      </c>
      <c r="J109" s="2" t="n">
        <v>21</v>
      </c>
      <c r="K109" s="2" t="n">
        <v>2</v>
      </c>
      <c r="L109" s="2" t="n">
        <v>3</v>
      </c>
      <c r="M109" s="2" t="n">
        <v>0</v>
      </c>
      <c r="N109" s="2" t="n">
        <v>95000</v>
      </c>
      <c r="O109" s="2" t="n">
        <v>190000</v>
      </c>
      <c r="P109" s="7"/>
      <c r="Q109" s="7"/>
      <c r="R109" s="7"/>
      <c r="S109" s="7"/>
      <c r="T109" s="7"/>
      <c r="U109" s="7"/>
      <c r="V109" s="7"/>
    </row>
    <row r="110" customFormat="false" ht="15" hidden="false" customHeight="false" outlineLevel="0" collapsed="false">
      <c r="A110" s="2" t="s">
        <v>370</v>
      </c>
      <c r="B110" s="2" t="s">
        <v>371</v>
      </c>
      <c r="C110" s="2" t="s">
        <v>62</v>
      </c>
      <c r="D110" s="2" t="s">
        <v>141</v>
      </c>
      <c r="E110" s="3" t="s">
        <v>372</v>
      </c>
      <c r="F110" s="2" t="s">
        <v>26</v>
      </c>
      <c r="G110" s="2" t="n">
        <v>9500000</v>
      </c>
      <c r="H110" s="2" t="n">
        <v>400000</v>
      </c>
      <c r="I110" s="2" t="n">
        <v>250000</v>
      </c>
      <c r="J110" s="2" t="n">
        <v>21</v>
      </c>
      <c r="K110" s="2" t="n">
        <v>3</v>
      </c>
      <c r="L110" s="2" t="n">
        <v>1</v>
      </c>
      <c r="M110" s="2" t="n">
        <v>0</v>
      </c>
      <c r="N110" s="2" t="n">
        <v>95000</v>
      </c>
      <c r="O110" s="2" t="n">
        <v>190000</v>
      </c>
      <c r="P110" s="7"/>
      <c r="Q110" s="7"/>
      <c r="R110" s="7"/>
      <c r="S110" s="7"/>
      <c r="T110" s="7"/>
      <c r="U110" s="7"/>
      <c r="V110" s="7"/>
    </row>
    <row r="111" customFormat="false" ht="15" hidden="false" customHeight="false" outlineLevel="0" collapsed="false">
      <c r="A111" s="2" t="s">
        <v>373</v>
      </c>
      <c r="B111" s="2" t="s">
        <v>273</v>
      </c>
      <c r="C111" s="2" t="s">
        <v>52</v>
      </c>
      <c r="D111" s="2" t="s">
        <v>124</v>
      </c>
      <c r="E111" s="3" t="s">
        <v>374</v>
      </c>
      <c r="F111" s="2" t="s">
        <v>26</v>
      </c>
      <c r="G111" s="2" t="n">
        <v>6500000</v>
      </c>
      <c r="H111" s="2" t="n">
        <v>350000</v>
      </c>
      <c r="I111" s="2" t="n">
        <v>300000</v>
      </c>
      <c r="J111" s="2" t="n">
        <v>23</v>
      </c>
      <c r="K111" s="2" t="n">
        <v>2</v>
      </c>
      <c r="L111" s="2" t="n">
        <v>2</v>
      </c>
      <c r="M111" s="2" t="n">
        <v>0</v>
      </c>
      <c r="N111" s="2" t="n">
        <v>65000</v>
      </c>
      <c r="O111" s="2" t="n">
        <v>130000</v>
      </c>
      <c r="P111" s="7"/>
      <c r="Q111" s="7"/>
      <c r="R111" s="7"/>
      <c r="S111" s="7"/>
      <c r="T111" s="7"/>
      <c r="U111" s="7"/>
      <c r="V111" s="7"/>
    </row>
    <row r="112" customFormat="false" ht="15" hidden="false" customHeight="false" outlineLevel="0" collapsed="false">
      <c r="A112" s="2" t="s">
        <v>375</v>
      </c>
      <c r="B112" s="2" t="s">
        <v>376</v>
      </c>
      <c r="C112" s="2" t="s">
        <v>23</v>
      </c>
      <c r="D112" s="2" t="s">
        <v>24</v>
      </c>
      <c r="E112" s="3" t="s">
        <v>377</v>
      </c>
      <c r="F112" s="2" t="s">
        <v>20</v>
      </c>
      <c r="G112" s="2" t="n">
        <v>4500000</v>
      </c>
      <c r="H112" s="2" t="n">
        <v>400000</v>
      </c>
      <c r="I112" s="2" t="n">
        <v>330000</v>
      </c>
      <c r="J112" s="2" t="n">
        <v>20</v>
      </c>
      <c r="K112" s="2" t="n">
        <v>1</v>
      </c>
      <c r="L112" s="2" t="n">
        <v>0</v>
      </c>
      <c r="M112" s="2" t="n">
        <v>3</v>
      </c>
      <c r="N112" s="2" t="n">
        <v>45000</v>
      </c>
      <c r="O112" s="2" t="n">
        <v>90000</v>
      </c>
      <c r="P112" s="7"/>
      <c r="Q112" s="7"/>
      <c r="R112" s="7"/>
      <c r="S112" s="7"/>
      <c r="T112" s="7"/>
      <c r="U112" s="7"/>
      <c r="V112" s="7"/>
    </row>
    <row r="113" customFormat="false" ht="15" hidden="false" customHeight="false" outlineLevel="0" collapsed="false">
      <c r="A113" s="2" t="s">
        <v>378</v>
      </c>
      <c r="B113" s="2" t="s">
        <v>136</v>
      </c>
      <c r="C113" s="2" t="s">
        <v>86</v>
      </c>
      <c r="D113" s="2" t="s">
        <v>106</v>
      </c>
      <c r="E113" s="3" t="s">
        <v>351</v>
      </c>
      <c r="F113" s="2" t="s">
        <v>26</v>
      </c>
      <c r="G113" s="2" t="n">
        <v>7200000</v>
      </c>
      <c r="H113" s="2" t="n">
        <v>400000</v>
      </c>
      <c r="I113" s="2" t="n">
        <v>250000</v>
      </c>
      <c r="J113" s="2" t="n">
        <v>20</v>
      </c>
      <c r="K113" s="2" t="n">
        <v>2</v>
      </c>
      <c r="L113" s="2" t="n">
        <v>2</v>
      </c>
      <c r="M113" s="2" t="n">
        <v>0</v>
      </c>
      <c r="N113" s="2" t="n">
        <v>72000</v>
      </c>
      <c r="O113" s="2" t="n">
        <v>144000</v>
      </c>
      <c r="P113" s="7"/>
      <c r="Q113" s="7"/>
      <c r="R113" s="7"/>
      <c r="S113" s="7"/>
      <c r="T113" s="7"/>
      <c r="U113" s="7"/>
      <c r="V113" s="7"/>
    </row>
    <row r="114" customFormat="false" ht="15" hidden="false" customHeight="false" outlineLevel="0" collapsed="false">
      <c r="A114" s="2" t="s">
        <v>379</v>
      </c>
      <c r="B114" s="2" t="s">
        <v>380</v>
      </c>
      <c r="C114" s="2" t="s">
        <v>86</v>
      </c>
      <c r="D114" s="2" t="s">
        <v>87</v>
      </c>
      <c r="E114" s="3" t="s">
        <v>381</v>
      </c>
      <c r="F114" s="2" t="s">
        <v>26</v>
      </c>
      <c r="G114" s="2" t="n">
        <v>5200000</v>
      </c>
      <c r="H114" s="2" t="n">
        <v>300000</v>
      </c>
      <c r="I114" s="2" t="n">
        <v>300000</v>
      </c>
      <c r="J114" s="2" t="n">
        <v>24</v>
      </c>
      <c r="K114" s="2" t="n">
        <v>2</v>
      </c>
      <c r="L114" s="2" t="n">
        <v>0</v>
      </c>
      <c r="M114" s="2" t="n">
        <v>0</v>
      </c>
      <c r="N114" s="2" t="n">
        <v>52000</v>
      </c>
      <c r="O114" s="2" t="n">
        <v>104000</v>
      </c>
      <c r="P114" s="7"/>
      <c r="Q114" s="7"/>
      <c r="R114" s="7"/>
      <c r="S114" s="7"/>
      <c r="T114" s="7"/>
      <c r="U114" s="7"/>
      <c r="V114" s="7"/>
    </row>
    <row r="115" customFormat="false" ht="15" hidden="false" customHeight="false" outlineLevel="0" collapsed="false">
      <c r="A115" s="2" t="s">
        <v>382</v>
      </c>
      <c r="B115" s="2" t="s">
        <v>383</v>
      </c>
      <c r="C115" s="2" t="s">
        <v>47</v>
      </c>
      <c r="D115" s="2" t="s">
        <v>117</v>
      </c>
      <c r="E115" s="3" t="s">
        <v>134</v>
      </c>
      <c r="F115" s="2" t="s">
        <v>65</v>
      </c>
      <c r="G115" s="2" t="n">
        <v>9500000</v>
      </c>
      <c r="H115" s="2" t="n">
        <v>300000</v>
      </c>
      <c r="I115" s="2" t="n">
        <v>330000</v>
      </c>
      <c r="J115" s="2" t="n">
        <v>23</v>
      </c>
      <c r="K115" s="2" t="n">
        <v>2</v>
      </c>
      <c r="L115" s="2" t="n">
        <v>0</v>
      </c>
      <c r="M115" s="2" t="n">
        <v>0</v>
      </c>
      <c r="N115" s="2" t="n">
        <v>95000</v>
      </c>
      <c r="O115" s="2" t="n">
        <v>190000</v>
      </c>
      <c r="P115" s="7"/>
      <c r="Q115" s="7"/>
      <c r="R115" s="7"/>
      <c r="S115" s="7"/>
      <c r="T115" s="7"/>
      <c r="U115" s="7"/>
      <c r="V115" s="7"/>
    </row>
    <row r="116" customFormat="false" ht="15" hidden="false" customHeight="false" outlineLevel="0" collapsed="false">
      <c r="A116" s="2" t="s">
        <v>384</v>
      </c>
      <c r="B116" s="2" t="s">
        <v>385</v>
      </c>
      <c r="C116" s="2" t="s">
        <v>17</v>
      </c>
      <c r="D116" s="2" t="s">
        <v>82</v>
      </c>
      <c r="E116" s="3" t="s">
        <v>386</v>
      </c>
      <c r="F116" s="2" t="s">
        <v>20</v>
      </c>
      <c r="G116" s="2" t="n">
        <v>4800000</v>
      </c>
      <c r="H116" s="2" t="n">
        <v>400000</v>
      </c>
      <c r="I116" s="2" t="n">
        <v>330000</v>
      </c>
      <c r="J116" s="2" t="n">
        <v>21</v>
      </c>
      <c r="K116" s="2" t="n">
        <v>0</v>
      </c>
      <c r="L116" s="2" t="n">
        <v>1</v>
      </c>
      <c r="M116" s="2" t="n">
        <v>2</v>
      </c>
      <c r="N116" s="2" t="n">
        <v>48000</v>
      </c>
      <c r="O116" s="2" t="n">
        <v>96000</v>
      </c>
      <c r="P116" s="7"/>
      <c r="Q116" s="7"/>
      <c r="R116" s="7"/>
      <c r="S116" s="7"/>
      <c r="T116" s="7"/>
      <c r="U116" s="7"/>
      <c r="V116" s="7"/>
    </row>
    <row r="117" customFormat="false" ht="15" hidden="false" customHeight="false" outlineLevel="0" collapsed="false">
      <c r="A117" s="2" t="s">
        <v>387</v>
      </c>
      <c r="B117" s="2" t="s">
        <v>231</v>
      </c>
      <c r="C117" s="2" t="s">
        <v>86</v>
      </c>
      <c r="D117" s="2" t="s">
        <v>87</v>
      </c>
      <c r="E117" s="3" t="s">
        <v>388</v>
      </c>
      <c r="F117" s="2" t="s">
        <v>26</v>
      </c>
      <c r="G117" s="2" t="n">
        <v>6500000</v>
      </c>
      <c r="H117" s="2" t="n">
        <v>300000</v>
      </c>
      <c r="I117" s="2" t="n">
        <v>300000</v>
      </c>
      <c r="J117" s="2" t="n">
        <v>20</v>
      </c>
      <c r="K117" s="2" t="n">
        <v>2</v>
      </c>
      <c r="L117" s="2" t="n">
        <v>0</v>
      </c>
      <c r="M117" s="2" t="n">
        <v>2</v>
      </c>
      <c r="N117" s="2" t="n">
        <v>65000</v>
      </c>
      <c r="O117" s="2" t="n">
        <v>130000</v>
      </c>
      <c r="P117" s="7"/>
      <c r="Q117" s="7"/>
      <c r="R117" s="7"/>
      <c r="S117" s="7"/>
      <c r="T117" s="7"/>
      <c r="U117" s="7"/>
      <c r="V117" s="7"/>
    </row>
    <row r="118" customFormat="false" ht="15" hidden="false" customHeight="false" outlineLevel="0" collapsed="false">
      <c r="A118" s="2" t="s">
        <v>389</v>
      </c>
      <c r="B118" s="2" t="s">
        <v>390</v>
      </c>
      <c r="C118" s="2" t="s">
        <v>57</v>
      </c>
      <c r="D118" s="2" t="s">
        <v>58</v>
      </c>
      <c r="E118" s="3" t="s">
        <v>391</v>
      </c>
      <c r="F118" s="2" t="s">
        <v>26</v>
      </c>
      <c r="G118" s="2" t="n">
        <v>5800000</v>
      </c>
      <c r="H118" s="2" t="n">
        <v>350000</v>
      </c>
      <c r="I118" s="2" t="n">
        <v>330000</v>
      </c>
      <c r="J118" s="2" t="n">
        <v>21</v>
      </c>
      <c r="K118" s="2" t="n">
        <v>3</v>
      </c>
      <c r="L118" s="2" t="n">
        <v>3</v>
      </c>
      <c r="M118" s="2" t="n">
        <v>0</v>
      </c>
      <c r="N118" s="2" t="n">
        <v>58000</v>
      </c>
      <c r="O118" s="2" t="n">
        <v>116000</v>
      </c>
      <c r="P118" s="7"/>
      <c r="Q118" s="7"/>
      <c r="R118" s="7"/>
      <c r="S118" s="7"/>
      <c r="T118" s="7"/>
      <c r="U118" s="7"/>
      <c r="V118" s="7"/>
    </row>
    <row r="119" customFormat="false" ht="15" hidden="false" customHeight="false" outlineLevel="0" collapsed="false">
      <c r="A119" s="2" t="s">
        <v>392</v>
      </c>
      <c r="B119" s="2" t="s">
        <v>393</v>
      </c>
      <c r="C119" s="2" t="s">
        <v>47</v>
      </c>
      <c r="D119" s="2" t="s">
        <v>113</v>
      </c>
      <c r="E119" s="3" t="s">
        <v>394</v>
      </c>
      <c r="F119" s="2" t="s">
        <v>20</v>
      </c>
      <c r="G119" s="2" t="n">
        <v>4500000</v>
      </c>
      <c r="H119" s="2" t="n">
        <v>350000</v>
      </c>
      <c r="I119" s="2" t="n">
        <v>330000</v>
      </c>
      <c r="J119" s="2" t="n">
        <v>23</v>
      </c>
      <c r="K119" s="2" t="n">
        <v>3</v>
      </c>
      <c r="L119" s="2" t="n">
        <v>2</v>
      </c>
      <c r="M119" s="2" t="n">
        <v>0</v>
      </c>
      <c r="N119" s="2" t="n">
        <v>45000</v>
      </c>
      <c r="O119" s="2" t="n">
        <v>90000</v>
      </c>
      <c r="P119" s="7"/>
      <c r="Q119" s="7"/>
      <c r="R119" s="7"/>
      <c r="S119" s="7"/>
      <c r="T119" s="7"/>
      <c r="U119" s="7"/>
      <c r="V119" s="7"/>
    </row>
    <row r="120" customFormat="false" ht="15" hidden="false" customHeight="false" outlineLevel="0" collapsed="false">
      <c r="A120" s="2" t="s">
        <v>395</v>
      </c>
      <c r="B120" s="2" t="s">
        <v>259</v>
      </c>
      <c r="C120" s="2" t="s">
        <v>62</v>
      </c>
      <c r="D120" s="2" t="s">
        <v>141</v>
      </c>
      <c r="E120" s="3" t="s">
        <v>396</v>
      </c>
      <c r="F120" s="2" t="s">
        <v>20</v>
      </c>
      <c r="G120" s="2" t="n">
        <v>5200000</v>
      </c>
      <c r="H120" s="2" t="n">
        <v>300000</v>
      </c>
      <c r="I120" s="2" t="n">
        <v>300000</v>
      </c>
      <c r="J120" s="2" t="n">
        <v>20</v>
      </c>
      <c r="K120" s="2" t="n">
        <v>2</v>
      </c>
      <c r="L120" s="2" t="n">
        <v>0</v>
      </c>
      <c r="M120" s="2" t="n">
        <v>2</v>
      </c>
      <c r="N120" s="2" t="n">
        <v>52000</v>
      </c>
      <c r="O120" s="2" t="n">
        <v>104000</v>
      </c>
      <c r="P120" s="7"/>
      <c r="Q120" s="7"/>
      <c r="R120" s="7"/>
      <c r="S120" s="7"/>
      <c r="T120" s="7"/>
      <c r="U120" s="7"/>
      <c r="V120" s="7"/>
    </row>
    <row r="121" customFormat="false" ht="15" hidden="false" customHeight="false" outlineLevel="0" collapsed="false">
      <c r="A121" s="2" t="s">
        <v>397</v>
      </c>
      <c r="B121" s="2" t="s">
        <v>398</v>
      </c>
      <c r="C121" s="2" t="s">
        <v>62</v>
      </c>
      <c r="D121" s="2" t="s">
        <v>141</v>
      </c>
      <c r="E121" s="3" t="s">
        <v>399</v>
      </c>
      <c r="F121" s="2" t="s">
        <v>26</v>
      </c>
      <c r="G121" s="2" t="n">
        <v>5200000</v>
      </c>
      <c r="H121" s="2" t="n">
        <v>400000</v>
      </c>
      <c r="I121" s="2" t="n">
        <v>330000</v>
      </c>
      <c r="J121" s="2" t="n">
        <v>24</v>
      </c>
      <c r="K121" s="2" t="n">
        <v>2</v>
      </c>
      <c r="L121" s="2" t="n">
        <v>0</v>
      </c>
      <c r="M121" s="2" t="n">
        <v>0</v>
      </c>
      <c r="N121" s="2" t="n">
        <v>52000</v>
      </c>
      <c r="O121" s="2" t="n">
        <v>104000</v>
      </c>
      <c r="P121" s="7"/>
      <c r="Q121" s="7"/>
      <c r="R121" s="7"/>
      <c r="S121" s="7"/>
      <c r="T121" s="7"/>
      <c r="U121" s="7"/>
      <c r="V121" s="7"/>
    </row>
    <row r="122" customFormat="false" ht="15" hidden="false" customHeight="false" outlineLevel="0" collapsed="false">
      <c r="A122" s="2" t="s">
        <v>400</v>
      </c>
      <c r="B122" s="2" t="s">
        <v>401</v>
      </c>
      <c r="C122" s="2" t="s">
        <v>62</v>
      </c>
      <c r="D122" s="2" t="s">
        <v>141</v>
      </c>
      <c r="E122" s="3" t="s">
        <v>221</v>
      </c>
      <c r="F122" s="2" t="s">
        <v>65</v>
      </c>
      <c r="G122" s="2" t="n">
        <v>6500000</v>
      </c>
      <c r="H122" s="2" t="n">
        <v>400000</v>
      </c>
      <c r="I122" s="2" t="n">
        <v>300000</v>
      </c>
      <c r="J122" s="2" t="n">
        <v>22</v>
      </c>
      <c r="K122" s="2" t="n">
        <v>3</v>
      </c>
      <c r="L122" s="2" t="n">
        <v>3</v>
      </c>
      <c r="M122" s="2" t="n">
        <v>0</v>
      </c>
      <c r="N122" s="2" t="n">
        <v>65000</v>
      </c>
      <c r="O122" s="2" t="n">
        <v>130000</v>
      </c>
      <c r="P122" s="7"/>
      <c r="Q122" s="7"/>
      <c r="R122" s="7"/>
      <c r="S122" s="7"/>
      <c r="T122" s="7"/>
      <c r="U122" s="7"/>
      <c r="V122" s="7"/>
    </row>
    <row r="123" customFormat="false" ht="15" hidden="false" customHeight="false" outlineLevel="0" collapsed="false">
      <c r="A123" s="2" t="s">
        <v>402</v>
      </c>
      <c r="B123" s="2" t="s">
        <v>403</v>
      </c>
      <c r="C123" s="2" t="s">
        <v>62</v>
      </c>
      <c r="D123" s="2" t="s">
        <v>141</v>
      </c>
      <c r="E123" s="3" t="s">
        <v>404</v>
      </c>
      <c r="F123" s="2" t="s">
        <v>20</v>
      </c>
      <c r="G123" s="2" t="n">
        <v>8500000</v>
      </c>
      <c r="H123" s="2" t="n">
        <v>400000</v>
      </c>
      <c r="I123" s="2" t="n">
        <v>300000</v>
      </c>
      <c r="J123" s="2" t="n">
        <v>18</v>
      </c>
      <c r="K123" s="2" t="n">
        <v>3</v>
      </c>
      <c r="L123" s="2" t="n">
        <v>0</v>
      </c>
      <c r="M123" s="2" t="n">
        <v>3</v>
      </c>
      <c r="N123" s="2" t="n">
        <v>85000</v>
      </c>
      <c r="O123" s="2" t="n">
        <v>170000</v>
      </c>
      <c r="P123" s="7"/>
      <c r="Q123" s="7"/>
      <c r="R123" s="7"/>
      <c r="S123" s="7"/>
      <c r="T123" s="7"/>
      <c r="U123" s="7"/>
      <c r="V123" s="7"/>
    </row>
    <row r="124" customFormat="false" ht="15" hidden="false" customHeight="false" outlineLevel="0" collapsed="false">
      <c r="A124" s="2" t="s">
        <v>405</v>
      </c>
      <c r="B124" s="2" t="s">
        <v>406</v>
      </c>
      <c r="C124" s="2" t="s">
        <v>62</v>
      </c>
      <c r="D124" s="2" t="s">
        <v>141</v>
      </c>
      <c r="E124" s="3" t="s">
        <v>118</v>
      </c>
      <c r="F124" s="2" t="s">
        <v>26</v>
      </c>
      <c r="G124" s="2" t="n">
        <v>6500000</v>
      </c>
      <c r="H124" s="2" t="n">
        <v>300000</v>
      </c>
      <c r="I124" s="2" t="n">
        <v>300000</v>
      </c>
      <c r="J124" s="2" t="n">
        <v>24</v>
      </c>
      <c r="K124" s="2" t="n">
        <v>1</v>
      </c>
      <c r="L124" s="2" t="n">
        <v>0</v>
      </c>
      <c r="M124" s="2" t="n">
        <v>0</v>
      </c>
      <c r="N124" s="2" t="n">
        <v>65000</v>
      </c>
      <c r="O124" s="2" t="n">
        <v>130000</v>
      </c>
      <c r="P124" s="7"/>
      <c r="Q124" s="7"/>
      <c r="R124" s="7"/>
      <c r="S124" s="7"/>
      <c r="T124" s="7"/>
      <c r="U124" s="7"/>
      <c r="V124" s="7"/>
    </row>
    <row r="125" customFormat="false" ht="15" hidden="false" customHeight="false" outlineLevel="0" collapsed="false">
      <c r="A125" s="2" t="s">
        <v>407</v>
      </c>
      <c r="B125" s="2" t="s">
        <v>72</v>
      </c>
      <c r="C125" s="2" t="s">
        <v>86</v>
      </c>
      <c r="D125" s="2" t="s">
        <v>87</v>
      </c>
      <c r="E125" s="3" t="s">
        <v>408</v>
      </c>
      <c r="F125" s="2" t="s">
        <v>26</v>
      </c>
      <c r="G125" s="2" t="n">
        <v>4800000</v>
      </c>
      <c r="H125" s="2" t="n">
        <v>300000</v>
      </c>
      <c r="I125" s="2" t="n">
        <v>250000</v>
      </c>
      <c r="J125" s="2" t="n">
        <v>19</v>
      </c>
      <c r="K125" s="2" t="n">
        <v>2</v>
      </c>
      <c r="L125" s="2" t="n">
        <v>1</v>
      </c>
      <c r="M125" s="2" t="n">
        <v>2</v>
      </c>
      <c r="N125" s="2" t="n">
        <v>48000</v>
      </c>
      <c r="O125" s="2" t="n">
        <v>96000</v>
      </c>
      <c r="P125" s="7"/>
      <c r="Q125" s="7"/>
      <c r="R125" s="7"/>
      <c r="S125" s="7"/>
      <c r="T125" s="7"/>
      <c r="U125" s="7"/>
      <c r="V125" s="7"/>
    </row>
    <row r="126" customFormat="false" ht="15" hidden="false" customHeight="false" outlineLevel="0" collapsed="false">
      <c r="A126" s="2" t="s">
        <v>409</v>
      </c>
      <c r="B126" s="2" t="s">
        <v>410</v>
      </c>
      <c r="C126" s="2" t="s">
        <v>57</v>
      </c>
      <c r="D126" s="2" t="s">
        <v>58</v>
      </c>
      <c r="E126" s="3" t="s">
        <v>411</v>
      </c>
      <c r="F126" s="2" t="s">
        <v>20</v>
      </c>
      <c r="G126" s="2" t="n">
        <v>8500000</v>
      </c>
      <c r="H126" s="2" t="n">
        <v>350000</v>
      </c>
      <c r="I126" s="2" t="n">
        <v>330000</v>
      </c>
      <c r="J126" s="2" t="n">
        <v>24</v>
      </c>
      <c r="K126" s="2" t="n">
        <v>3</v>
      </c>
      <c r="L126" s="2" t="n">
        <v>2</v>
      </c>
      <c r="M126" s="2" t="n">
        <v>0</v>
      </c>
      <c r="N126" s="2" t="n">
        <v>85000</v>
      </c>
      <c r="O126" s="2" t="n">
        <v>170000</v>
      </c>
      <c r="P126" s="7"/>
      <c r="Q126" s="7"/>
      <c r="R126" s="7"/>
      <c r="S126" s="7"/>
      <c r="T126" s="7"/>
      <c r="U126" s="7"/>
      <c r="V126" s="7"/>
    </row>
    <row r="127" customFormat="false" ht="15" hidden="false" customHeight="false" outlineLevel="0" collapsed="false">
      <c r="A127" s="2" t="s">
        <v>412</v>
      </c>
      <c r="B127" s="2" t="s">
        <v>413</v>
      </c>
      <c r="C127" s="2" t="s">
        <v>52</v>
      </c>
      <c r="D127" s="2" t="s">
        <v>53</v>
      </c>
      <c r="E127" s="3" t="s">
        <v>414</v>
      </c>
      <c r="F127" s="2" t="s">
        <v>26</v>
      </c>
      <c r="G127" s="2" t="n">
        <v>5800000</v>
      </c>
      <c r="H127" s="2" t="n">
        <v>350000</v>
      </c>
      <c r="I127" s="2" t="n">
        <v>330000</v>
      </c>
      <c r="J127" s="2" t="n">
        <v>18</v>
      </c>
      <c r="K127" s="2" t="n">
        <v>2</v>
      </c>
      <c r="L127" s="2" t="n">
        <v>0</v>
      </c>
      <c r="M127" s="2" t="n">
        <v>4</v>
      </c>
      <c r="N127" s="2" t="n">
        <v>58000</v>
      </c>
      <c r="O127" s="2" t="n">
        <v>116000</v>
      </c>
      <c r="P127" s="7"/>
      <c r="Q127" s="7"/>
      <c r="R127" s="7"/>
      <c r="S127" s="7"/>
      <c r="T127" s="7"/>
      <c r="U127" s="7"/>
      <c r="V127" s="7"/>
    </row>
    <row r="128" customFormat="false" ht="15" hidden="false" customHeight="false" outlineLevel="0" collapsed="false">
      <c r="A128" s="2" t="s">
        <v>415</v>
      </c>
      <c r="B128" s="2" t="s">
        <v>416</v>
      </c>
      <c r="C128" s="2" t="s">
        <v>52</v>
      </c>
      <c r="D128" s="2" t="s">
        <v>53</v>
      </c>
      <c r="E128" s="3" t="s">
        <v>417</v>
      </c>
      <c r="F128" s="2" t="s">
        <v>26</v>
      </c>
      <c r="G128" s="2" t="n">
        <v>5800000</v>
      </c>
      <c r="H128" s="2" t="n">
        <v>300000</v>
      </c>
      <c r="I128" s="2" t="n">
        <v>330000</v>
      </c>
      <c r="J128" s="2" t="n">
        <v>24</v>
      </c>
      <c r="K128" s="2" t="n">
        <v>0</v>
      </c>
      <c r="L128" s="2" t="n">
        <v>3</v>
      </c>
      <c r="M128" s="2" t="n">
        <v>0</v>
      </c>
      <c r="N128" s="2" t="n">
        <v>58000</v>
      </c>
      <c r="O128" s="2" t="n">
        <v>116000</v>
      </c>
      <c r="P128" s="7"/>
      <c r="Q128" s="7"/>
      <c r="R128" s="7"/>
      <c r="S128" s="7"/>
      <c r="T128" s="7"/>
      <c r="U128" s="7"/>
      <c r="V128" s="7"/>
    </row>
    <row r="129" customFormat="false" ht="15" hidden="false" customHeight="false" outlineLevel="0" collapsed="false">
      <c r="A129" s="2" t="s">
        <v>418</v>
      </c>
      <c r="B129" s="2" t="s">
        <v>419</v>
      </c>
      <c r="C129" s="2" t="s">
        <v>86</v>
      </c>
      <c r="D129" s="2" t="s">
        <v>87</v>
      </c>
      <c r="E129" s="3" t="s">
        <v>420</v>
      </c>
      <c r="F129" s="2" t="s">
        <v>65</v>
      </c>
      <c r="G129" s="2" t="n">
        <v>5200000</v>
      </c>
      <c r="H129" s="2" t="n">
        <v>350000</v>
      </c>
      <c r="I129" s="2" t="n">
        <v>330000</v>
      </c>
      <c r="J129" s="2" t="n">
        <v>21</v>
      </c>
      <c r="K129" s="2" t="n">
        <v>1</v>
      </c>
      <c r="L129" s="2" t="n">
        <v>0</v>
      </c>
      <c r="M129" s="2" t="n">
        <v>2</v>
      </c>
      <c r="N129" s="2" t="n">
        <v>52000</v>
      </c>
      <c r="O129" s="2" t="n">
        <v>104000</v>
      </c>
      <c r="P129" s="7"/>
      <c r="Q129" s="7"/>
      <c r="R129" s="7"/>
      <c r="S129" s="7"/>
      <c r="T129" s="7"/>
      <c r="U129" s="7"/>
      <c r="V129" s="7"/>
    </row>
    <row r="130" customFormat="false" ht="15" hidden="false" customHeight="false" outlineLevel="0" collapsed="false">
      <c r="A130" s="2" t="s">
        <v>421</v>
      </c>
      <c r="B130" s="2" t="s">
        <v>265</v>
      </c>
      <c r="C130" s="2" t="s">
        <v>68</v>
      </c>
      <c r="D130" s="2" t="s">
        <v>217</v>
      </c>
      <c r="E130" s="3" t="s">
        <v>422</v>
      </c>
      <c r="F130" s="2" t="s">
        <v>26</v>
      </c>
      <c r="G130" s="2" t="n">
        <v>4800000</v>
      </c>
      <c r="H130" s="2" t="n">
        <v>300000</v>
      </c>
      <c r="I130" s="2" t="n">
        <v>250000</v>
      </c>
      <c r="J130" s="2" t="n">
        <v>23</v>
      </c>
      <c r="K130" s="2" t="n">
        <v>3</v>
      </c>
      <c r="L130" s="2" t="n">
        <v>3</v>
      </c>
      <c r="M130" s="2" t="n">
        <v>0</v>
      </c>
      <c r="N130" s="2" t="n">
        <v>48000</v>
      </c>
      <c r="O130" s="2" t="n">
        <v>96000</v>
      </c>
      <c r="P130" s="7"/>
      <c r="Q130" s="7"/>
      <c r="R130" s="7"/>
      <c r="S130" s="7"/>
      <c r="T130" s="7"/>
      <c r="U130" s="7"/>
      <c r="V130" s="7"/>
    </row>
    <row r="131" customFormat="false" ht="15" hidden="false" customHeight="false" outlineLevel="0" collapsed="false">
      <c r="A131" s="2" t="s">
        <v>423</v>
      </c>
      <c r="B131" s="2" t="s">
        <v>424</v>
      </c>
      <c r="C131" s="2" t="s">
        <v>57</v>
      </c>
      <c r="D131" s="2" t="s">
        <v>137</v>
      </c>
      <c r="E131" s="3" t="s">
        <v>425</v>
      </c>
      <c r="F131" s="2" t="s">
        <v>65</v>
      </c>
      <c r="G131" s="2" t="n">
        <v>7200000</v>
      </c>
      <c r="H131" s="2" t="n">
        <v>350000</v>
      </c>
      <c r="I131" s="2" t="n">
        <v>300000</v>
      </c>
      <c r="J131" s="2" t="n">
        <v>23</v>
      </c>
      <c r="K131" s="2" t="n">
        <v>0</v>
      </c>
      <c r="L131" s="2" t="n">
        <v>2</v>
      </c>
      <c r="M131" s="2" t="n">
        <v>0</v>
      </c>
      <c r="N131" s="2" t="n">
        <v>72000</v>
      </c>
      <c r="O131" s="2" t="n">
        <v>144000</v>
      </c>
      <c r="P131" s="7"/>
      <c r="Q131" s="7"/>
      <c r="R131" s="7"/>
      <c r="S131" s="7"/>
      <c r="T131" s="7"/>
      <c r="U131" s="7"/>
      <c r="V131" s="7"/>
    </row>
    <row r="132" customFormat="false" ht="15" hidden="false" customHeight="false" outlineLevel="0" collapsed="false">
      <c r="A132" s="2" t="s">
        <v>426</v>
      </c>
      <c r="B132" s="2" t="s">
        <v>427</v>
      </c>
      <c r="C132" s="2" t="s">
        <v>23</v>
      </c>
      <c r="D132" s="2" t="s">
        <v>43</v>
      </c>
      <c r="E132" s="3" t="s">
        <v>428</v>
      </c>
      <c r="F132" s="2" t="s">
        <v>20</v>
      </c>
      <c r="G132" s="2" t="n">
        <v>4800000</v>
      </c>
      <c r="H132" s="2" t="n">
        <v>350000</v>
      </c>
      <c r="I132" s="2" t="n">
        <v>250000</v>
      </c>
      <c r="J132" s="2" t="n">
        <v>22</v>
      </c>
      <c r="K132" s="2" t="n">
        <v>1</v>
      </c>
      <c r="L132" s="2" t="n">
        <v>2</v>
      </c>
      <c r="M132" s="2" t="n">
        <v>0</v>
      </c>
      <c r="N132" s="2" t="n">
        <v>48000</v>
      </c>
      <c r="O132" s="2" t="n">
        <v>96000</v>
      </c>
      <c r="P132" s="7"/>
      <c r="Q132" s="7"/>
      <c r="R132" s="7"/>
      <c r="S132" s="7"/>
      <c r="T132" s="7"/>
      <c r="U132" s="7"/>
      <c r="V132" s="7"/>
    </row>
    <row r="133" customFormat="false" ht="15" hidden="false" customHeight="false" outlineLevel="0" collapsed="false">
      <c r="A133" s="2" t="s">
        <v>429</v>
      </c>
      <c r="B133" s="2" t="s">
        <v>430</v>
      </c>
      <c r="C133" s="2" t="s">
        <v>57</v>
      </c>
      <c r="D133" s="2" t="s">
        <v>58</v>
      </c>
      <c r="E133" s="3" t="s">
        <v>431</v>
      </c>
      <c r="F133" s="2" t="s">
        <v>20</v>
      </c>
      <c r="G133" s="2" t="n">
        <v>7200000</v>
      </c>
      <c r="H133" s="2" t="n">
        <v>400000</v>
      </c>
      <c r="I133" s="2" t="n">
        <v>300000</v>
      </c>
      <c r="J133" s="2" t="n">
        <v>24</v>
      </c>
      <c r="K133" s="2" t="n">
        <v>1</v>
      </c>
      <c r="L133" s="2" t="n">
        <v>0</v>
      </c>
      <c r="M133" s="2" t="n">
        <v>0</v>
      </c>
      <c r="N133" s="2" t="n">
        <v>72000</v>
      </c>
      <c r="O133" s="2" t="n">
        <v>144000</v>
      </c>
      <c r="P133" s="7"/>
      <c r="Q133" s="7"/>
      <c r="R133" s="7"/>
      <c r="S133" s="7"/>
      <c r="T133" s="7"/>
      <c r="U133" s="7"/>
      <c r="V133" s="7"/>
    </row>
    <row r="134" customFormat="false" ht="15" hidden="false" customHeight="false" outlineLevel="0" collapsed="false">
      <c r="A134" s="2" t="s">
        <v>432</v>
      </c>
      <c r="B134" s="2" t="s">
        <v>433</v>
      </c>
      <c r="C134" s="2" t="s">
        <v>68</v>
      </c>
      <c r="D134" s="2" t="s">
        <v>69</v>
      </c>
      <c r="E134" s="3" t="s">
        <v>434</v>
      </c>
      <c r="F134" s="2" t="s">
        <v>20</v>
      </c>
      <c r="G134" s="2" t="n">
        <v>5200000</v>
      </c>
      <c r="H134" s="2" t="n">
        <v>350000</v>
      </c>
      <c r="I134" s="2" t="n">
        <v>300000</v>
      </c>
      <c r="J134" s="2" t="n">
        <v>19</v>
      </c>
      <c r="K134" s="2" t="n">
        <v>1</v>
      </c>
      <c r="L134" s="2" t="n">
        <v>1</v>
      </c>
      <c r="M134" s="2" t="n">
        <v>3</v>
      </c>
      <c r="N134" s="2" t="n">
        <v>52000</v>
      </c>
      <c r="O134" s="2" t="n">
        <v>104000</v>
      </c>
      <c r="P134" s="7"/>
      <c r="Q134" s="7"/>
      <c r="R134" s="7"/>
      <c r="S134" s="7"/>
      <c r="T134" s="7"/>
      <c r="U134" s="7"/>
      <c r="V134" s="7"/>
    </row>
    <row r="135" customFormat="false" ht="15" hidden="false" customHeight="false" outlineLevel="0" collapsed="false">
      <c r="A135" s="2" t="s">
        <v>435</v>
      </c>
      <c r="B135" s="2" t="s">
        <v>436</v>
      </c>
      <c r="C135" s="2" t="s">
        <v>17</v>
      </c>
      <c r="D135" s="2" t="s">
        <v>18</v>
      </c>
      <c r="E135" s="3" t="s">
        <v>73</v>
      </c>
      <c r="F135" s="2" t="s">
        <v>26</v>
      </c>
      <c r="G135" s="2" t="n">
        <v>9500000</v>
      </c>
      <c r="H135" s="2" t="n">
        <v>300000</v>
      </c>
      <c r="I135" s="2" t="n">
        <v>330000</v>
      </c>
      <c r="J135" s="2" t="n">
        <v>20</v>
      </c>
      <c r="K135" s="2" t="n">
        <v>1</v>
      </c>
      <c r="L135" s="2" t="n">
        <v>3</v>
      </c>
      <c r="M135" s="2" t="n">
        <v>0</v>
      </c>
      <c r="N135" s="2" t="n">
        <v>95000</v>
      </c>
      <c r="O135" s="2" t="n">
        <v>190000</v>
      </c>
      <c r="P135" s="7"/>
      <c r="Q135" s="7"/>
      <c r="R135" s="7"/>
      <c r="S135" s="7"/>
      <c r="T135" s="7"/>
      <c r="U135" s="7"/>
      <c r="V135" s="7"/>
    </row>
    <row r="136" customFormat="false" ht="15" hidden="false" customHeight="false" outlineLevel="0" collapsed="false">
      <c r="A136" s="2" t="s">
        <v>437</v>
      </c>
      <c r="B136" s="2" t="s">
        <v>438</v>
      </c>
      <c r="C136" s="2" t="s">
        <v>57</v>
      </c>
      <c r="D136" s="2" t="s">
        <v>58</v>
      </c>
      <c r="E136" s="3" t="s">
        <v>439</v>
      </c>
      <c r="F136" s="2" t="s">
        <v>26</v>
      </c>
      <c r="G136" s="2" t="n">
        <v>4200000</v>
      </c>
      <c r="H136" s="2" t="n">
        <v>350000</v>
      </c>
      <c r="I136" s="2" t="n">
        <v>300000</v>
      </c>
      <c r="J136" s="2" t="n">
        <v>23</v>
      </c>
      <c r="K136" s="2" t="n">
        <v>1</v>
      </c>
      <c r="L136" s="2" t="n">
        <v>3</v>
      </c>
      <c r="M136" s="2" t="n">
        <v>0</v>
      </c>
      <c r="N136" s="2" t="n">
        <v>42000</v>
      </c>
      <c r="O136" s="2" t="n">
        <v>84000</v>
      </c>
      <c r="P136" s="7"/>
      <c r="Q136" s="7"/>
      <c r="R136" s="7"/>
      <c r="S136" s="7"/>
      <c r="T136" s="7"/>
      <c r="U136" s="7"/>
      <c r="V136" s="7"/>
    </row>
    <row r="137" customFormat="false" ht="15" hidden="false" customHeight="false" outlineLevel="0" collapsed="false">
      <c r="A137" s="2" t="s">
        <v>440</v>
      </c>
      <c r="B137" s="2" t="s">
        <v>441</v>
      </c>
      <c r="C137" s="2" t="s">
        <v>52</v>
      </c>
      <c r="D137" s="2" t="s">
        <v>53</v>
      </c>
      <c r="E137" s="3" t="s">
        <v>442</v>
      </c>
      <c r="F137" s="2" t="s">
        <v>20</v>
      </c>
      <c r="G137" s="2" t="n">
        <v>8500000</v>
      </c>
      <c r="H137" s="2" t="n">
        <v>300000</v>
      </c>
      <c r="I137" s="2" t="n">
        <v>300000</v>
      </c>
      <c r="J137" s="2" t="n">
        <v>23</v>
      </c>
      <c r="K137" s="2" t="n">
        <v>3</v>
      </c>
      <c r="L137" s="2" t="n">
        <v>3</v>
      </c>
      <c r="M137" s="2" t="n">
        <v>0</v>
      </c>
      <c r="N137" s="2" t="n">
        <v>85000</v>
      </c>
      <c r="O137" s="2" t="n">
        <v>170000</v>
      </c>
      <c r="P137" s="7"/>
      <c r="Q137" s="7"/>
      <c r="R137" s="7"/>
      <c r="S137" s="7"/>
      <c r="T137" s="7"/>
      <c r="U137" s="7"/>
      <c r="V137" s="7"/>
    </row>
    <row r="138" customFormat="false" ht="15" hidden="false" customHeight="false" outlineLevel="0" collapsed="false">
      <c r="A138" s="2" t="s">
        <v>443</v>
      </c>
      <c r="B138" s="2" t="s">
        <v>444</v>
      </c>
      <c r="C138" s="2" t="s">
        <v>86</v>
      </c>
      <c r="D138" s="2" t="s">
        <v>106</v>
      </c>
      <c r="E138" s="3" t="s">
        <v>445</v>
      </c>
      <c r="F138" s="2" t="s">
        <v>26</v>
      </c>
      <c r="G138" s="2" t="n">
        <v>4800000</v>
      </c>
      <c r="H138" s="2" t="n">
        <v>350000</v>
      </c>
      <c r="I138" s="2" t="n">
        <v>250000</v>
      </c>
      <c r="J138" s="2" t="n">
        <v>23</v>
      </c>
      <c r="K138" s="2" t="n">
        <v>3</v>
      </c>
      <c r="L138" s="2" t="n">
        <v>2</v>
      </c>
      <c r="M138" s="2" t="n">
        <v>0</v>
      </c>
      <c r="N138" s="2" t="n">
        <v>48000</v>
      </c>
      <c r="O138" s="2" t="n">
        <v>96000</v>
      </c>
      <c r="P138" s="7"/>
      <c r="Q138" s="7"/>
      <c r="R138" s="7"/>
      <c r="S138" s="7"/>
      <c r="T138" s="7"/>
      <c r="U138" s="7"/>
      <c r="V138" s="7"/>
    </row>
    <row r="139" customFormat="false" ht="15" hidden="false" customHeight="false" outlineLevel="0" collapsed="false">
      <c r="A139" s="2" t="s">
        <v>446</v>
      </c>
      <c r="B139" s="2" t="s">
        <v>447</v>
      </c>
      <c r="C139" s="2" t="s">
        <v>86</v>
      </c>
      <c r="D139" s="2" t="s">
        <v>87</v>
      </c>
      <c r="E139" s="3" t="s">
        <v>448</v>
      </c>
      <c r="F139" s="2" t="s">
        <v>20</v>
      </c>
      <c r="G139" s="2" t="n">
        <v>4800000</v>
      </c>
      <c r="H139" s="2" t="n">
        <v>350000</v>
      </c>
      <c r="I139" s="2" t="n">
        <v>300000</v>
      </c>
      <c r="J139" s="2" t="n">
        <v>22</v>
      </c>
      <c r="K139" s="2" t="n">
        <v>1</v>
      </c>
      <c r="L139" s="2" t="n">
        <v>3</v>
      </c>
      <c r="M139" s="2" t="n">
        <v>0</v>
      </c>
      <c r="N139" s="2" t="n">
        <v>48000</v>
      </c>
      <c r="O139" s="2" t="n">
        <v>96000</v>
      </c>
      <c r="P139" s="7"/>
      <c r="Q139" s="7"/>
      <c r="R139" s="7"/>
      <c r="S139" s="7"/>
      <c r="T139" s="7"/>
      <c r="U139" s="7"/>
      <c r="V139" s="7"/>
    </row>
    <row r="140" customFormat="false" ht="15" hidden="false" customHeight="false" outlineLevel="0" collapsed="false">
      <c r="A140" s="2" t="s">
        <v>449</v>
      </c>
      <c r="B140" s="2" t="s">
        <v>450</v>
      </c>
      <c r="C140" s="2" t="s">
        <v>52</v>
      </c>
      <c r="D140" s="2" t="s">
        <v>124</v>
      </c>
      <c r="E140" s="3" t="s">
        <v>451</v>
      </c>
      <c r="F140" s="2" t="s">
        <v>26</v>
      </c>
      <c r="G140" s="2" t="n">
        <v>7200000</v>
      </c>
      <c r="H140" s="2" t="n">
        <v>400000</v>
      </c>
      <c r="I140" s="2" t="n">
        <v>300000</v>
      </c>
      <c r="J140" s="2" t="n">
        <v>19</v>
      </c>
      <c r="K140" s="2" t="n">
        <v>3</v>
      </c>
      <c r="L140" s="2" t="n">
        <v>0</v>
      </c>
      <c r="M140" s="2" t="n">
        <v>2</v>
      </c>
      <c r="N140" s="2" t="n">
        <v>72000</v>
      </c>
      <c r="O140" s="2" t="n">
        <v>144000</v>
      </c>
      <c r="P140" s="7"/>
      <c r="Q140" s="7"/>
      <c r="R140" s="7"/>
      <c r="S140" s="7"/>
      <c r="T140" s="7"/>
      <c r="U140" s="7"/>
      <c r="V140" s="7"/>
    </row>
    <row r="141" customFormat="false" ht="15" hidden="false" customHeight="false" outlineLevel="0" collapsed="false">
      <c r="A141" s="2" t="s">
        <v>452</v>
      </c>
      <c r="B141" s="2" t="s">
        <v>56</v>
      </c>
      <c r="C141" s="2" t="s">
        <v>196</v>
      </c>
      <c r="D141" s="2" t="s">
        <v>197</v>
      </c>
      <c r="E141" s="3" t="s">
        <v>453</v>
      </c>
      <c r="F141" s="2" t="s">
        <v>26</v>
      </c>
      <c r="G141" s="2" t="n">
        <v>6500000</v>
      </c>
      <c r="H141" s="2" t="n">
        <v>300000</v>
      </c>
      <c r="I141" s="2" t="n">
        <v>250000</v>
      </c>
      <c r="J141" s="2" t="n">
        <v>18</v>
      </c>
      <c r="K141" s="2" t="n">
        <v>2</v>
      </c>
      <c r="L141" s="2" t="n">
        <v>3</v>
      </c>
      <c r="M141" s="2" t="n">
        <v>1</v>
      </c>
      <c r="N141" s="2" t="n">
        <v>65000</v>
      </c>
      <c r="O141" s="2" t="n">
        <v>130000</v>
      </c>
      <c r="P141" s="7"/>
      <c r="Q141" s="7"/>
      <c r="R141" s="7"/>
      <c r="S141" s="7"/>
      <c r="T141" s="7"/>
      <c r="U141" s="7"/>
      <c r="V141" s="7"/>
    </row>
    <row r="142" customFormat="false" ht="15" hidden="false" customHeight="false" outlineLevel="0" collapsed="false">
      <c r="A142" s="2" t="s">
        <v>454</v>
      </c>
      <c r="B142" s="2" t="s">
        <v>244</v>
      </c>
      <c r="C142" s="2" t="s">
        <v>52</v>
      </c>
      <c r="D142" s="2" t="s">
        <v>53</v>
      </c>
      <c r="E142" s="3" t="s">
        <v>455</v>
      </c>
      <c r="F142" s="2" t="s">
        <v>20</v>
      </c>
      <c r="G142" s="2" t="n">
        <v>5200000</v>
      </c>
      <c r="H142" s="2" t="n">
        <v>300000</v>
      </c>
      <c r="I142" s="2" t="n">
        <v>330000</v>
      </c>
      <c r="J142" s="2" t="n">
        <v>23</v>
      </c>
      <c r="K142" s="2" t="n">
        <v>3</v>
      </c>
      <c r="L142" s="2" t="n">
        <v>0</v>
      </c>
      <c r="M142" s="2" t="n">
        <v>0</v>
      </c>
      <c r="N142" s="2" t="n">
        <v>52000</v>
      </c>
      <c r="O142" s="2" t="n">
        <v>104000</v>
      </c>
      <c r="P142" s="7"/>
      <c r="Q142" s="7"/>
      <c r="R142" s="7"/>
      <c r="S142" s="7"/>
      <c r="T142" s="7"/>
      <c r="U142" s="7"/>
      <c r="V142" s="7"/>
    </row>
    <row r="143" customFormat="false" ht="15" hidden="false" customHeight="false" outlineLevel="0" collapsed="false">
      <c r="A143" s="2" t="s">
        <v>456</v>
      </c>
      <c r="B143" s="2" t="s">
        <v>457</v>
      </c>
      <c r="C143" s="2" t="s">
        <v>17</v>
      </c>
      <c r="D143" s="2" t="s">
        <v>18</v>
      </c>
      <c r="E143" s="3" t="s">
        <v>458</v>
      </c>
      <c r="F143" s="2" t="s">
        <v>20</v>
      </c>
      <c r="G143" s="2" t="n">
        <v>8500000</v>
      </c>
      <c r="H143" s="2" t="n">
        <v>300000</v>
      </c>
      <c r="I143" s="2" t="n">
        <v>250000</v>
      </c>
      <c r="J143" s="2" t="n">
        <v>24</v>
      </c>
      <c r="K143" s="2" t="n">
        <v>3</v>
      </c>
      <c r="L143" s="2" t="n">
        <v>0</v>
      </c>
      <c r="M143" s="2" t="n">
        <v>0</v>
      </c>
      <c r="N143" s="2" t="n">
        <v>85000</v>
      </c>
      <c r="O143" s="2" t="n">
        <v>170000</v>
      </c>
      <c r="P143" s="7"/>
      <c r="Q143" s="7"/>
      <c r="R143" s="7"/>
      <c r="S143" s="7"/>
      <c r="T143" s="7"/>
      <c r="U143" s="7"/>
      <c r="V143" s="7"/>
    </row>
    <row r="144" customFormat="false" ht="15" hidden="false" customHeight="false" outlineLevel="0" collapsed="false">
      <c r="A144" s="2" t="s">
        <v>459</v>
      </c>
      <c r="B144" s="2" t="s">
        <v>460</v>
      </c>
      <c r="C144" s="2" t="s">
        <v>47</v>
      </c>
      <c r="D144" s="2" t="s">
        <v>113</v>
      </c>
      <c r="E144" s="3" t="s">
        <v>461</v>
      </c>
      <c r="F144" s="2" t="s">
        <v>20</v>
      </c>
      <c r="G144" s="2" t="n">
        <v>4200000</v>
      </c>
      <c r="H144" s="2" t="n">
        <v>400000</v>
      </c>
      <c r="I144" s="2" t="n">
        <v>300000</v>
      </c>
      <c r="J144" s="2" t="n">
        <v>19</v>
      </c>
      <c r="K144" s="2" t="n">
        <v>3</v>
      </c>
      <c r="L144" s="2" t="n">
        <v>1</v>
      </c>
      <c r="M144" s="2" t="n">
        <v>1</v>
      </c>
      <c r="N144" s="2" t="n">
        <v>42000</v>
      </c>
      <c r="O144" s="2" t="n">
        <v>84000</v>
      </c>
      <c r="P144" s="7"/>
      <c r="Q144" s="7"/>
      <c r="R144" s="7"/>
      <c r="S144" s="7"/>
      <c r="T144" s="7"/>
      <c r="U144" s="7"/>
      <c r="V144" s="7"/>
    </row>
    <row r="145" customFormat="false" ht="15" hidden="false" customHeight="false" outlineLevel="0" collapsed="false">
      <c r="A145" s="2" t="s">
        <v>462</v>
      </c>
      <c r="B145" s="2" t="s">
        <v>463</v>
      </c>
      <c r="C145" s="2" t="s">
        <v>68</v>
      </c>
      <c r="D145" s="2" t="s">
        <v>69</v>
      </c>
      <c r="E145" s="3" t="s">
        <v>464</v>
      </c>
      <c r="F145" s="2" t="s">
        <v>26</v>
      </c>
      <c r="G145" s="2" t="n">
        <v>9500000</v>
      </c>
      <c r="H145" s="2" t="n">
        <v>400000</v>
      </c>
      <c r="I145" s="2" t="n">
        <v>250000</v>
      </c>
      <c r="J145" s="2" t="n">
        <v>21</v>
      </c>
      <c r="K145" s="2" t="n">
        <v>3</v>
      </c>
      <c r="L145" s="2" t="n">
        <v>0</v>
      </c>
      <c r="M145" s="2" t="n">
        <v>0</v>
      </c>
      <c r="N145" s="2" t="n">
        <v>95000</v>
      </c>
      <c r="O145" s="2" t="n">
        <v>190000</v>
      </c>
      <c r="P145" s="7"/>
      <c r="Q145" s="7"/>
      <c r="R145" s="7"/>
      <c r="S145" s="7"/>
      <c r="T145" s="7"/>
      <c r="U145" s="7"/>
      <c r="V145" s="7"/>
    </row>
    <row r="146" customFormat="false" ht="15" hidden="false" customHeight="false" outlineLevel="0" collapsed="false">
      <c r="A146" s="2" t="s">
        <v>465</v>
      </c>
      <c r="B146" s="2" t="s">
        <v>466</v>
      </c>
      <c r="C146" s="2" t="s">
        <v>17</v>
      </c>
      <c r="D146" s="2" t="s">
        <v>36</v>
      </c>
      <c r="E146" s="3" t="s">
        <v>467</v>
      </c>
      <c r="F146" s="2" t="s">
        <v>26</v>
      </c>
      <c r="G146" s="2" t="n">
        <v>4500000</v>
      </c>
      <c r="H146" s="2" t="n">
        <v>350000</v>
      </c>
      <c r="I146" s="2" t="n">
        <v>250000</v>
      </c>
      <c r="J146" s="2" t="n">
        <v>23</v>
      </c>
      <c r="K146" s="2" t="n">
        <v>0</v>
      </c>
      <c r="L146" s="2" t="n">
        <v>2</v>
      </c>
      <c r="M146" s="2" t="n">
        <v>0</v>
      </c>
      <c r="N146" s="2" t="n">
        <v>45000</v>
      </c>
      <c r="O146" s="2" t="n">
        <v>90000</v>
      </c>
      <c r="P146" s="7"/>
      <c r="Q146" s="7"/>
      <c r="R146" s="7"/>
      <c r="S146" s="7"/>
      <c r="T146" s="7"/>
      <c r="U146" s="7"/>
      <c r="V146" s="7"/>
    </row>
    <row r="147" customFormat="false" ht="15" hidden="false" customHeight="false" outlineLevel="0" collapsed="false">
      <c r="A147" s="2" t="s">
        <v>468</v>
      </c>
      <c r="B147" s="2" t="s">
        <v>469</v>
      </c>
      <c r="C147" s="2" t="s">
        <v>68</v>
      </c>
      <c r="D147" s="2" t="s">
        <v>217</v>
      </c>
      <c r="E147" s="3" t="s">
        <v>470</v>
      </c>
      <c r="F147" s="2" t="s">
        <v>26</v>
      </c>
      <c r="G147" s="2" t="n">
        <v>4800000</v>
      </c>
      <c r="H147" s="2" t="n">
        <v>400000</v>
      </c>
      <c r="I147" s="2" t="n">
        <v>300000</v>
      </c>
      <c r="J147" s="2" t="n">
        <v>23</v>
      </c>
      <c r="K147" s="2" t="n">
        <v>3</v>
      </c>
      <c r="L147" s="2" t="n">
        <v>1</v>
      </c>
      <c r="M147" s="2" t="n">
        <v>0</v>
      </c>
      <c r="N147" s="2" t="n">
        <v>48000</v>
      </c>
      <c r="O147" s="2" t="n">
        <v>96000</v>
      </c>
      <c r="P147" s="7"/>
      <c r="Q147" s="7"/>
      <c r="R147" s="7"/>
      <c r="S147" s="7"/>
      <c r="T147" s="7"/>
      <c r="U147" s="7"/>
      <c r="V147" s="7"/>
    </row>
    <row r="148" customFormat="false" ht="15" hidden="false" customHeight="false" outlineLevel="0" collapsed="false">
      <c r="A148" s="2" t="s">
        <v>471</v>
      </c>
      <c r="B148" s="2" t="s">
        <v>472</v>
      </c>
      <c r="C148" s="2" t="s">
        <v>52</v>
      </c>
      <c r="D148" s="2" t="s">
        <v>53</v>
      </c>
      <c r="E148" s="3" t="s">
        <v>473</v>
      </c>
      <c r="F148" s="2" t="s">
        <v>20</v>
      </c>
      <c r="G148" s="2" t="n">
        <v>5200000</v>
      </c>
      <c r="H148" s="2" t="n">
        <v>300000</v>
      </c>
      <c r="I148" s="2" t="n">
        <v>300000</v>
      </c>
      <c r="J148" s="2" t="n">
        <v>20</v>
      </c>
      <c r="K148" s="2" t="n">
        <v>3</v>
      </c>
      <c r="L148" s="2" t="n">
        <v>3</v>
      </c>
      <c r="M148" s="2" t="n">
        <v>0</v>
      </c>
      <c r="N148" s="2" t="n">
        <v>52000</v>
      </c>
      <c r="O148" s="2" t="n">
        <v>104000</v>
      </c>
      <c r="P148" s="7"/>
      <c r="Q148" s="7"/>
      <c r="R148" s="7"/>
      <c r="S148" s="7"/>
      <c r="T148" s="7"/>
      <c r="U148" s="7"/>
      <c r="V148" s="7"/>
    </row>
    <row r="149" customFormat="false" ht="15" hidden="false" customHeight="false" outlineLevel="0" collapsed="false">
      <c r="A149" s="2" t="s">
        <v>474</v>
      </c>
      <c r="B149" s="2" t="s">
        <v>475</v>
      </c>
      <c r="C149" s="2" t="s">
        <v>47</v>
      </c>
      <c r="D149" s="2" t="s">
        <v>117</v>
      </c>
      <c r="E149" s="3" t="s">
        <v>476</v>
      </c>
      <c r="F149" s="2" t="s">
        <v>26</v>
      </c>
      <c r="G149" s="2" t="n">
        <v>4200000</v>
      </c>
      <c r="H149" s="2" t="n">
        <v>400000</v>
      </c>
      <c r="I149" s="2" t="n">
        <v>300000</v>
      </c>
      <c r="J149" s="2" t="n">
        <v>20</v>
      </c>
      <c r="K149" s="2" t="n">
        <v>0</v>
      </c>
      <c r="L149" s="2" t="n">
        <v>2</v>
      </c>
      <c r="M149" s="2" t="n">
        <v>2</v>
      </c>
      <c r="N149" s="2" t="n">
        <v>42000</v>
      </c>
      <c r="O149" s="2" t="n">
        <v>84000</v>
      </c>
      <c r="P149" s="7"/>
      <c r="Q149" s="7"/>
      <c r="R149" s="7"/>
      <c r="S149" s="7"/>
      <c r="T149" s="7"/>
      <c r="U149" s="7"/>
      <c r="V149" s="7"/>
    </row>
    <row r="150" customFormat="false" ht="15" hidden="false" customHeight="false" outlineLevel="0" collapsed="false">
      <c r="A150" s="2" t="s">
        <v>477</v>
      </c>
      <c r="B150" s="2" t="s">
        <v>478</v>
      </c>
      <c r="C150" s="2" t="s">
        <v>52</v>
      </c>
      <c r="D150" s="2" t="s">
        <v>124</v>
      </c>
      <c r="E150" s="3" t="s">
        <v>479</v>
      </c>
      <c r="F150" s="2" t="s">
        <v>65</v>
      </c>
      <c r="G150" s="2" t="n">
        <v>8500000</v>
      </c>
      <c r="H150" s="2" t="n">
        <v>400000</v>
      </c>
      <c r="I150" s="2" t="n">
        <v>300000</v>
      </c>
      <c r="J150" s="2" t="n">
        <v>20</v>
      </c>
      <c r="K150" s="2" t="n">
        <v>2</v>
      </c>
      <c r="L150" s="2" t="n">
        <v>0</v>
      </c>
      <c r="M150" s="2" t="n">
        <v>2</v>
      </c>
      <c r="N150" s="2" t="n">
        <v>85000</v>
      </c>
      <c r="O150" s="2" t="n">
        <v>170000</v>
      </c>
      <c r="P150" s="7"/>
      <c r="Q150" s="7"/>
      <c r="R150" s="7"/>
      <c r="S150" s="7"/>
      <c r="T150" s="7"/>
      <c r="U150" s="7"/>
      <c r="V150" s="7"/>
    </row>
    <row r="151" customFormat="false" ht="15" hidden="false" customHeight="false" outlineLevel="0" collapsed="false">
      <c r="A151" s="2" t="s">
        <v>480</v>
      </c>
      <c r="B151" s="2" t="s">
        <v>481</v>
      </c>
      <c r="C151" s="2" t="s">
        <v>62</v>
      </c>
      <c r="D151" s="2" t="s">
        <v>141</v>
      </c>
      <c r="E151" s="3" t="s">
        <v>482</v>
      </c>
      <c r="F151" s="2" t="s">
        <v>20</v>
      </c>
      <c r="G151" s="2" t="n">
        <v>4500000</v>
      </c>
      <c r="H151" s="2" t="n">
        <v>300000</v>
      </c>
      <c r="I151" s="2" t="n">
        <v>300000</v>
      </c>
      <c r="J151" s="2" t="n">
        <v>23</v>
      </c>
      <c r="K151" s="2" t="n">
        <v>2</v>
      </c>
      <c r="L151" s="2" t="n">
        <v>2</v>
      </c>
      <c r="M151" s="2" t="n">
        <v>0</v>
      </c>
      <c r="N151" s="2" t="n">
        <v>45000</v>
      </c>
      <c r="O151" s="2" t="n">
        <v>90000</v>
      </c>
      <c r="P151" s="7"/>
      <c r="Q151" s="7"/>
      <c r="R151" s="7"/>
      <c r="S151" s="7"/>
      <c r="T151" s="7"/>
      <c r="U151" s="7"/>
      <c r="V151" s="7"/>
    </row>
    <row r="152" customFormat="false" ht="15" hidden="false" customHeight="false" outlineLevel="0" collapsed="false">
      <c r="A152" s="2" t="s">
        <v>483</v>
      </c>
      <c r="B152" s="2" t="s">
        <v>484</v>
      </c>
      <c r="C152" s="2" t="s">
        <v>62</v>
      </c>
      <c r="D152" s="2" t="s">
        <v>141</v>
      </c>
      <c r="E152" s="3" t="s">
        <v>485</v>
      </c>
      <c r="F152" s="2" t="s">
        <v>26</v>
      </c>
      <c r="G152" s="2" t="n">
        <v>4200000</v>
      </c>
      <c r="H152" s="2" t="n">
        <v>400000</v>
      </c>
      <c r="I152" s="2" t="n">
        <v>300000</v>
      </c>
      <c r="J152" s="2" t="n">
        <v>22</v>
      </c>
      <c r="K152" s="2" t="n">
        <v>3</v>
      </c>
      <c r="L152" s="2" t="n">
        <v>2</v>
      </c>
      <c r="M152" s="2" t="n">
        <v>0</v>
      </c>
      <c r="N152" s="2" t="n">
        <v>42000</v>
      </c>
      <c r="O152" s="2" t="n">
        <v>84000</v>
      </c>
      <c r="P152" s="7"/>
      <c r="Q152" s="7"/>
      <c r="R152" s="7"/>
      <c r="S152" s="7"/>
      <c r="T152" s="7"/>
      <c r="U152" s="7"/>
      <c r="V152" s="7"/>
    </row>
    <row r="153" customFormat="false" ht="15" hidden="false" customHeight="false" outlineLevel="0" collapsed="false">
      <c r="A153" s="2" t="s">
        <v>486</v>
      </c>
      <c r="B153" s="2" t="s">
        <v>487</v>
      </c>
      <c r="C153" s="2" t="s">
        <v>62</v>
      </c>
      <c r="D153" s="2" t="s">
        <v>63</v>
      </c>
      <c r="E153" s="3" t="s">
        <v>488</v>
      </c>
      <c r="F153" s="2" t="s">
        <v>26</v>
      </c>
      <c r="G153" s="2" t="n">
        <v>4800000</v>
      </c>
      <c r="H153" s="2" t="n">
        <v>300000</v>
      </c>
      <c r="I153" s="2" t="n">
        <v>250000</v>
      </c>
      <c r="J153" s="2" t="n">
        <v>24</v>
      </c>
      <c r="K153" s="2" t="n">
        <v>3</v>
      </c>
      <c r="L153" s="2" t="n">
        <v>0</v>
      </c>
      <c r="M153" s="2" t="n">
        <v>0</v>
      </c>
      <c r="N153" s="2" t="n">
        <v>48000</v>
      </c>
      <c r="O153" s="2" t="n">
        <v>96000</v>
      </c>
      <c r="P153" s="7"/>
      <c r="Q153" s="7"/>
      <c r="R153" s="7"/>
      <c r="S153" s="7"/>
      <c r="T153" s="7"/>
      <c r="U153" s="7"/>
      <c r="V153" s="7"/>
    </row>
    <row r="154" customFormat="false" ht="15" hidden="false" customHeight="false" outlineLevel="0" collapsed="false">
      <c r="A154" s="2" t="s">
        <v>489</v>
      </c>
      <c r="B154" s="2" t="s">
        <v>472</v>
      </c>
      <c r="C154" s="2" t="s">
        <v>47</v>
      </c>
      <c r="D154" s="2" t="s">
        <v>113</v>
      </c>
      <c r="E154" s="3" t="s">
        <v>490</v>
      </c>
      <c r="F154" s="2" t="s">
        <v>26</v>
      </c>
      <c r="G154" s="2" t="n">
        <v>4200000</v>
      </c>
      <c r="H154" s="2" t="n">
        <v>400000</v>
      </c>
      <c r="I154" s="2" t="n">
        <v>250000</v>
      </c>
      <c r="J154" s="2" t="n">
        <v>23</v>
      </c>
      <c r="K154" s="2" t="n">
        <v>3</v>
      </c>
      <c r="L154" s="2" t="n">
        <v>2</v>
      </c>
      <c r="M154" s="2" t="n">
        <v>0</v>
      </c>
      <c r="N154" s="2" t="n">
        <v>42000</v>
      </c>
      <c r="O154" s="2" t="n">
        <v>84000</v>
      </c>
      <c r="P154" s="7"/>
      <c r="Q154" s="7"/>
      <c r="R154" s="7"/>
      <c r="S154" s="7"/>
      <c r="T154" s="7"/>
      <c r="U154" s="7"/>
      <c r="V154" s="7"/>
    </row>
    <row r="155" customFormat="false" ht="15" hidden="false" customHeight="false" outlineLevel="0" collapsed="false">
      <c r="A155" s="2" t="s">
        <v>491</v>
      </c>
      <c r="B155" s="2" t="s">
        <v>492</v>
      </c>
      <c r="C155" s="2" t="s">
        <v>23</v>
      </c>
      <c r="D155" s="2" t="s">
        <v>43</v>
      </c>
      <c r="E155" s="3" t="s">
        <v>493</v>
      </c>
      <c r="F155" s="2" t="s">
        <v>26</v>
      </c>
      <c r="G155" s="2" t="n">
        <v>7200000</v>
      </c>
      <c r="H155" s="2" t="n">
        <v>350000</v>
      </c>
      <c r="I155" s="2" t="n">
        <v>330000</v>
      </c>
      <c r="J155" s="2" t="n">
        <v>20</v>
      </c>
      <c r="K155" s="2" t="n">
        <v>1</v>
      </c>
      <c r="L155" s="2" t="n">
        <v>0</v>
      </c>
      <c r="M155" s="2" t="n">
        <v>3</v>
      </c>
      <c r="N155" s="2" t="n">
        <v>72000</v>
      </c>
      <c r="O155" s="2" t="n">
        <v>144000</v>
      </c>
      <c r="P155" s="7"/>
      <c r="Q155" s="7"/>
      <c r="R155" s="7"/>
      <c r="S155" s="7"/>
      <c r="T155" s="7"/>
      <c r="U155" s="7"/>
      <c r="V155" s="7"/>
    </row>
    <row r="156" customFormat="false" ht="15" hidden="false" customHeight="false" outlineLevel="0" collapsed="false">
      <c r="A156" s="2" t="s">
        <v>494</v>
      </c>
      <c r="B156" s="2" t="s">
        <v>495</v>
      </c>
      <c r="C156" s="2" t="s">
        <v>52</v>
      </c>
      <c r="D156" s="2" t="s">
        <v>124</v>
      </c>
      <c r="E156" s="3" t="s">
        <v>496</v>
      </c>
      <c r="F156" s="2" t="s">
        <v>20</v>
      </c>
      <c r="G156" s="2" t="n">
        <v>5800000</v>
      </c>
      <c r="H156" s="2" t="n">
        <v>400000</v>
      </c>
      <c r="I156" s="2" t="n">
        <v>300000</v>
      </c>
      <c r="J156" s="2" t="n">
        <v>19</v>
      </c>
      <c r="K156" s="2" t="n">
        <v>2</v>
      </c>
      <c r="L156" s="2" t="n">
        <v>3</v>
      </c>
      <c r="M156" s="2" t="n">
        <v>0</v>
      </c>
      <c r="N156" s="2" t="n">
        <v>58000</v>
      </c>
      <c r="O156" s="2" t="n">
        <v>116000</v>
      </c>
      <c r="P156" s="7"/>
      <c r="Q156" s="7"/>
      <c r="R156" s="7"/>
      <c r="S156" s="7"/>
      <c r="T156" s="7"/>
      <c r="U156" s="7"/>
      <c r="V156" s="7"/>
    </row>
    <row r="157" customFormat="false" ht="15" hidden="false" customHeight="false" outlineLevel="0" collapsed="false">
      <c r="A157" s="2" t="s">
        <v>497</v>
      </c>
      <c r="B157" s="2" t="s">
        <v>498</v>
      </c>
      <c r="C157" s="2" t="s">
        <v>57</v>
      </c>
      <c r="D157" s="2" t="s">
        <v>238</v>
      </c>
      <c r="E157" s="3" t="s">
        <v>499</v>
      </c>
      <c r="F157" s="2" t="s">
        <v>20</v>
      </c>
      <c r="G157" s="2" t="n">
        <v>8500000</v>
      </c>
      <c r="H157" s="2" t="n">
        <v>300000</v>
      </c>
      <c r="I157" s="2" t="n">
        <v>330000</v>
      </c>
      <c r="J157" s="2" t="n">
        <v>24</v>
      </c>
      <c r="K157" s="2" t="n">
        <v>2</v>
      </c>
      <c r="L157" s="2" t="n">
        <v>2</v>
      </c>
      <c r="M157" s="2" t="n">
        <v>0</v>
      </c>
      <c r="N157" s="2" t="n">
        <v>85000</v>
      </c>
      <c r="O157" s="2" t="n">
        <v>170000</v>
      </c>
      <c r="P157" s="7"/>
      <c r="Q157" s="7"/>
      <c r="R157" s="7"/>
      <c r="S157" s="7"/>
      <c r="T157" s="7"/>
      <c r="U157" s="7"/>
      <c r="V157" s="7"/>
    </row>
    <row r="158" customFormat="false" ht="15" hidden="false" customHeight="false" outlineLevel="0" collapsed="false">
      <c r="A158" s="2" t="s">
        <v>500</v>
      </c>
      <c r="B158" s="2" t="s">
        <v>501</v>
      </c>
      <c r="C158" s="2" t="s">
        <v>86</v>
      </c>
      <c r="D158" s="2" t="s">
        <v>106</v>
      </c>
      <c r="E158" s="3" t="s">
        <v>502</v>
      </c>
      <c r="F158" s="2" t="s">
        <v>26</v>
      </c>
      <c r="G158" s="2" t="n">
        <v>4800000</v>
      </c>
      <c r="H158" s="2" t="n">
        <v>350000</v>
      </c>
      <c r="I158" s="2" t="n">
        <v>330000</v>
      </c>
      <c r="J158" s="2" t="n">
        <v>19</v>
      </c>
      <c r="K158" s="2" t="n">
        <v>0</v>
      </c>
      <c r="L158" s="2" t="n">
        <v>1</v>
      </c>
      <c r="M158" s="2" t="n">
        <v>4</v>
      </c>
      <c r="N158" s="2" t="n">
        <v>48000</v>
      </c>
      <c r="O158" s="2" t="n">
        <v>96000</v>
      </c>
      <c r="P158" s="7"/>
      <c r="Q158" s="7"/>
      <c r="R158" s="7"/>
      <c r="S158" s="7"/>
      <c r="T158" s="7"/>
      <c r="U158" s="7"/>
      <c r="V158" s="7"/>
    </row>
    <row r="159" customFormat="false" ht="15" hidden="false" customHeight="false" outlineLevel="0" collapsed="false">
      <c r="A159" s="2" t="s">
        <v>503</v>
      </c>
      <c r="B159" s="2" t="s">
        <v>504</v>
      </c>
      <c r="C159" s="2" t="s">
        <v>52</v>
      </c>
      <c r="D159" s="2" t="s">
        <v>53</v>
      </c>
      <c r="E159" s="3" t="s">
        <v>505</v>
      </c>
      <c r="F159" s="2" t="s">
        <v>26</v>
      </c>
      <c r="G159" s="2" t="n">
        <v>6500000</v>
      </c>
      <c r="H159" s="2" t="n">
        <v>350000</v>
      </c>
      <c r="I159" s="2" t="n">
        <v>330000</v>
      </c>
      <c r="J159" s="2" t="n">
        <v>19</v>
      </c>
      <c r="K159" s="2" t="n">
        <v>0</v>
      </c>
      <c r="L159" s="2" t="n">
        <v>0</v>
      </c>
      <c r="M159" s="2" t="n">
        <v>5</v>
      </c>
      <c r="N159" s="2" t="n">
        <v>65000</v>
      </c>
      <c r="O159" s="2" t="n">
        <v>130000</v>
      </c>
      <c r="P159" s="7"/>
      <c r="Q159" s="7"/>
      <c r="R159" s="7"/>
      <c r="S159" s="7"/>
      <c r="T159" s="7"/>
      <c r="U159" s="7"/>
      <c r="V159" s="7"/>
    </row>
    <row r="160" customFormat="false" ht="15" hidden="false" customHeight="false" outlineLevel="0" collapsed="false">
      <c r="A160" s="2" t="s">
        <v>506</v>
      </c>
      <c r="B160" s="2" t="s">
        <v>430</v>
      </c>
      <c r="C160" s="2" t="s">
        <v>52</v>
      </c>
      <c r="D160" s="2" t="s">
        <v>124</v>
      </c>
      <c r="E160" s="3" t="s">
        <v>507</v>
      </c>
      <c r="F160" s="2" t="s">
        <v>26</v>
      </c>
      <c r="G160" s="2" t="n">
        <v>4500000</v>
      </c>
      <c r="H160" s="2" t="n">
        <v>300000</v>
      </c>
      <c r="I160" s="2" t="n">
        <v>300000</v>
      </c>
      <c r="J160" s="2" t="n">
        <v>23</v>
      </c>
      <c r="K160" s="2" t="n">
        <v>0</v>
      </c>
      <c r="L160" s="2" t="n">
        <v>3</v>
      </c>
      <c r="M160" s="2" t="n">
        <v>0</v>
      </c>
      <c r="N160" s="2" t="n">
        <v>45000</v>
      </c>
      <c r="O160" s="2" t="n">
        <v>90000</v>
      </c>
      <c r="P160" s="7"/>
      <c r="Q160" s="7"/>
      <c r="R160" s="7"/>
      <c r="S160" s="7"/>
      <c r="T160" s="7"/>
      <c r="U160" s="7"/>
      <c r="V160" s="7"/>
    </row>
    <row r="161" customFormat="false" ht="15" hidden="false" customHeight="false" outlineLevel="0" collapsed="false">
      <c r="A161" s="2" t="s">
        <v>508</v>
      </c>
      <c r="B161" s="2" t="s">
        <v>509</v>
      </c>
      <c r="C161" s="2" t="s">
        <v>68</v>
      </c>
      <c r="D161" s="2" t="s">
        <v>69</v>
      </c>
      <c r="E161" s="3" t="s">
        <v>510</v>
      </c>
      <c r="F161" s="2" t="s">
        <v>26</v>
      </c>
      <c r="G161" s="2" t="n">
        <v>4800000</v>
      </c>
      <c r="H161" s="2" t="n">
        <v>300000</v>
      </c>
      <c r="I161" s="2" t="n">
        <v>300000</v>
      </c>
      <c r="J161" s="2" t="n">
        <v>22</v>
      </c>
      <c r="K161" s="2" t="n">
        <v>0</v>
      </c>
      <c r="L161" s="2" t="n">
        <v>0</v>
      </c>
      <c r="M161" s="2" t="n">
        <v>2</v>
      </c>
      <c r="N161" s="2" t="n">
        <v>48000</v>
      </c>
      <c r="O161" s="2" t="n">
        <v>96000</v>
      </c>
      <c r="P161" s="7"/>
      <c r="Q161" s="7"/>
      <c r="R161" s="7"/>
      <c r="S161" s="7"/>
      <c r="T161" s="7"/>
      <c r="U161" s="7"/>
      <c r="V161" s="7"/>
    </row>
    <row r="162" customFormat="false" ht="15" hidden="false" customHeight="false" outlineLevel="0" collapsed="false">
      <c r="A162" s="2" t="s">
        <v>511</v>
      </c>
      <c r="B162" s="2" t="s">
        <v>512</v>
      </c>
      <c r="C162" s="2" t="s">
        <v>17</v>
      </c>
      <c r="D162" s="2" t="s">
        <v>18</v>
      </c>
      <c r="E162" s="3" t="s">
        <v>445</v>
      </c>
      <c r="F162" s="2" t="s">
        <v>20</v>
      </c>
      <c r="G162" s="2" t="n">
        <v>5200000</v>
      </c>
      <c r="H162" s="2" t="n">
        <v>350000</v>
      </c>
      <c r="I162" s="2" t="n">
        <v>330000</v>
      </c>
      <c r="J162" s="2" t="n">
        <v>20</v>
      </c>
      <c r="K162" s="2" t="n">
        <v>0</v>
      </c>
      <c r="L162" s="2" t="n">
        <v>2</v>
      </c>
      <c r="M162" s="2" t="n">
        <v>2</v>
      </c>
      <c r="N162" s="2" t="n">
        <v>52000</v>
      </c>
      <c r="O162" s="2" t="n">
        <v>104000</v>
      </c>
      <c r="P162" s="7"/>
      <c r="Q162" s="7"/>
      <c r="R162" s="7"/>
      <c r="S162" s="7"/>
      <c r="T162" s="7"/>
      <c r="U162" s="7"/>
      <c r="V162" s="7"/>
    </row>
    <row r="163" customFormat="false" ht="15" hidden="false" customHeight="false" outlineLevel="0" collapsed="false">
      <c r="A163" s="2" t="s">
        <v>513</v>
      </c>
      <c r="B163" s="2" t="s">
        <v>514</v>
      </c>
      <c r="C163" s="2" t="s">
        <v>17</v>
      </c>
      <c r="D163" s="2" t="s">
        <v>18</v>
      </c>
      <c r="E163" s="3" t="s">
        <v>515</v>
      </c>
      <c r="F163" s="2" t="s">
        <v>26</v>
      </c>
      <c r="G163" s="2" t="n">
        <v>4500000</v>
      </c>
      <c r="H163" s="2" t="n">
        <v>400000</v>
      </c>
      <c r="I163" s="2" t="n">
        <v>330000</v>
      </c>
      <c r="J163" s="2" t="n">
        <v>19</v>
      </c>
      <c r="K163" s="2" t="n">
        <v>1</v>
      </c>
      <c r="L163" s="2" t="n">
        <v>1</v>
      </c>
      <c r="M163" s="2" t="n">
        <v>3</v>
      </c>
      <c r="N163" s="2" t="n">
        <v>45000</v>
      </c>
      <c r="O163" s="2" t="n">
        <v>90000</v>
      </c>
      <c r="P163" s="7"/>
      <c r="Q163" s="7"/>
      <c r="R163" s="7"/>
      <c r="S163" s="7"/>
      <c r="T163" s="7"/>
      <c r="U163" s="7"/>
      <c r="V163" s="7"/>
    </row>
    <row r="164" customFormat="false" ht="15" hidden="false" customHeight="false" outlineLevel="0" collapsed="false">
      <c r="A164" s="2" t="s">
        <v>516</v>
      </c>
      <c r="B164" s="2" t="s">
        <v>517</v>
      </c>
      <c r="C164" s="2" t="s">
        <v>68</v>
      </c>
      <c r="D164" s="2" t="s">
        <v>217</v>
      </c>
      <c r="E164" s="3" t="s">
        <v>518</v>
      </c>
      <c r="F164" s="2" t="s">
        <v>26</v>
      </c>
      <c r="G164" s="2" t="n">
        <v>4200000</v>
      </c>
      <c r="H164" s="2" t="n">
        <v>300000</v>
      </c>
      <c r="I164" s="2" t="n">
        <v>250000</v>
      </c>
      <c r="J164" s="2" t="n">
        <v>23</v>
      </c>
      <c r="K164" s="2" t="n">
        <v>2</v>
      </c>
      <c r="L164" s="2" t="n">
        <v>1</v>
      </c>
      <c r="M164" s="2" t="n">
        <v>0</v>
      </c>
      <c r="N164" s="2" t="n">
        <v>42000</v>
      </c>
      <c r="O164" s="2" t="n">
        <v>84000</v>
      </c>
      <c r="P164" s="7"/>
      <c r="Q164" s="7"/>
      <c r="R164" s="7"/>
      <c r="S164" s="7"/>
      <c r="T164" s="7"/>
      <c r="U164" s="7"/>
      <c r="V164" s="7"/>
    </row>
    <row r="165" customFormat="false" ht="15" hidden="false" customHeight="false" outlineLevel="0" collapsed="false">
      <c r="A165" s="2" t="s">
        <v>519</v>
      </c>
      <c r="B165" s="2" t="s">
        <v>520</v>
      </c>
      <c r="C165" s="2" t="s">
        <v>196</v>
      </c>
      <c r="D165" s="2" t="s">
        <v>197</v>
      </c>
      <c r="E165" s="3" t="s">
        <v>482</v>
      </c>
      <c r="F165" s="2" t="s">
        <v>20</v>
      </c>
      <c r="G165" s="2" t="n">
        <v>5800000</v>
      </c>
      <c r="H165" s="2" t="n">
        <v>350000</v>
      </c>
      <c r="I165" s="2" t="n">
        <v>250000</v>
      </c>
      <c r="J165" s="2" t="n">
        <v>24</v>
      </c>
      <c r="K165" s="2" t="n">
        <v>3</v>
      </c>
      <c r="L165" s="2" t="n">
        <v>2</v>
      </c>
      <c r="M165" s="2" t="n">
        <v>0</v>
      </c>
      <c r="N165" s="2" t="n">
        <v>58000</v>
      </c>
      <c r="O165" s="2" t="n">
        <v>116000</v>
      </c>
      <c r="P165" s="7"/>
      <c r="Q165" s="7"/>
      <c r="R165" s="7"/>
      <c r="S165" s="7"/>
      <c r="T165" s="7"/>
      <c r="U165" s="7"/>
      <c r="V165" s="7"/>
    </row>
    <row r="166" customFormat="false" ht="15" hidden="false" customHeight="false" outlineLevel="0" collapsed="false">
      <c r="A166" s="2" t="s">
        <v>521</v>
      </c>
      <c r="B166" s="2" t="s">
        <v>522</v>
      </c>
      <c r="C166" s="2" t="s">
        <v>196</v>
      </c>
      <c r="D166" s="2" t="s">
        <v>523</v>
      </c>
      <c r="E166" s="3" t="s">
        <v>524</v>
      </c>
      <c r="F166" s="2" t="s">
        <v>26</v>
      </c>
      <c r="G166" s="2" t="n">
        <v>8500000</v>
      </c>
      <c r="H166" s="2" t="n">
        <v>300000</v>
      </c>
      <c r="I166" s="2" t="n">
        <v>300000</v>
      </c>
      <c r="J166" s="2" t="n">
        <v>22</v>
      </c>
      <c r="K166" s="2" t="n">
        <v>1</v>
      </c>
      <c r="L166" s="2" t="n">
        <v>2</v>
      </c>
      <c r="M166" s="2" t="n">
        <v>0</v>
      </c>
      <c r="N166" s="2" t="n">
        <v>85000</v>
      </c>
      <c r="O166" s="2" t="n">
        <v>170000</v>
      </c>
      <c r="P166" s="7"/>
      <c r="Q166" s="7"/>
      <c r="R166" s="7"/>
      <c r="S166" s="7"/>
      <c r="T166" s="7"/>
      <c r="U166" s="7"/>
      <c r="V166" s="7"/>
    </row>
    <row r="167" customFormat="false" ht="15" hidden="false" customHeight="false" outlineLevel="0" collapsed="false">
      <c r="A167" s="2" t="s">
        <v>525</v>
      </c>
      <c r="B167" s="2" t="s">
        <v>526</v>
      </c>
      <c r="C167" s="2" t="s">
        <v>62</v>
      </c>
      <c r="D167" s="2" t="s">
        <v>141</v>
      </c>
      <c r="E167" s="3" t="s">
        <v>527</v>
      </c>
      <c r="F167" s="2" t="s">
        <v>26</v>
      </c>
      <c r="G167" s="2" t="n">
        <v>4500000</v>
      </c>
      <c r="H167" s="2" t="n">
        <v>350000</v>
      </c>
      <c r="I167" s="2" t="n">
        <v>250000</v>
      </c>
      <c r="J167" s="2" t="n">
        <v>21</v>
      </c>
      <c r="K167" s="2" t="n">
        <v>0</v>
      </c>
      <c r="L167" s="2" t="n">
        <v>2</v>
      </c>
      <c r="M167" s="2" t="n">
        <v>1</v>
      </c>
      <c r="N167" s="2" t="n">
        <v>45000</v>
      </c>
      <c r="O167" s="2" t="n">
        <v>90000</v>
      </c>
      <c r="P167" s="7"/>
      <c r="Q167" s="7"/>
      <c r="R167" s="7"/>
      <c r="S167" s="7"/>
      <c r="T167" s="7"/>
      <c r="U167" s="7"/>
      <c r="V167" s="7"/>
    </row>
    <row r="168" customFormat="false" ht="15" hidden="false" customHeight="false" outlineLevel="0" collapsed="false">
      <c r="A168" s="2" t="s">
        <v>528</v>
      </c>
      <c r="B168" s="2" t="s">
        <v>529</v>
      </c>
      <c r="C168" s="2" t="s">
        <v>57</v>
      </c>
      <c r="D168" s="2" t="s">
        <v>238</v>
      </c>
      <c r="E168" s="3" t="s">
        <v>530</v>
      </c>
      <c r="F168" s="2" t="s">
        <v>20</v>
      </c>
      <c r="G168" s="2" t="n">
        <v>7200000</v>
      </c>
      <c r="H168" s="2" t="n">
        <v>400000</v>
      </c>
      <c r="I168" s="2" t="n">
        <v>300000</v>
      </c>
      <c r="J168" s="2" t="n">
        <v>19</v>
      </c>
      <c r="K168" s="2" t="n">
        <v>1</v>
      </c>
      <c r="L168" s="2" t="n">
        <v>2</v>
      </c>
      <c r="M168" s="2" t="n">
        <v>2</v>
      </c>
      <c r="N168" s="2" t="n">
        <v>72000</v>
      </c>
      <c r="O168" s="2" t="n">
        <v>144000</v>
      </c>
      <c r="P168" s="7"/>
      <c r="Q168" s="7"/>
      <c r="R168" s="7"/>
      <c r="S168" s="7"/>
      <c r="T168" s="7"/>
      <c r="U168" s="7"/>
      <c r="V168" s="7"/>
    </row>
    <row r="169" customFormat="false" ht="15" hidden="false" customHeight="false" outlineLevel="0" collapsed="false">
      <c r="A169" s="2" t="s">
        <v>531</v>
      </c>
      <c r="B169" s="2" t="s">
        <v>532</v>
      </c>
      <c r="C169" s="2" t="s">
        <v>47</v>
      </c>
      <c r="D169" s="2" t="s">
        <v>48</v>
      </c>
      <c r="E169" s="3" t="s">
        <v>533</v>
      </c>
      <c r="F169" s="2" t="s">
        <v>65</v>
      </c>
      <c r="G169" s="2" t="n">
        <v>8500000</v>
      </c>
      <c r="H169" s="2" t="n">
        <v>350000</v>
      </c>
      <c r="I169" s="2" t="n">
        <v>300000</v>
      </c>
      <c r="J169" s="2" t="n">
        <v>21</v>
      </c>
      <c r="K169" s="2" t="n">
        <v>0</v>
      </c>
      <c r="L169" s="2" t="n">
        <v>0</v>
      </c>
      <c r="M169" s="2" t="n">
        <v>3</v>
      </c>
      <c r="N169" s="2" t="n">
        <v>85000</v>
      </c>
      <c r="O169" s="2" t="n">
        <v>170000</v>
      </c>
      <c r="P169" s="7"/>
      <c r="Q169" s="7"/>
      <c r="R169" s="7"/>
      <c r="S169" s="7"/>
      <c r="T169" s="7"/>
      <c r="U169" s="7"/>
      <c r="V169" s="7"/>
    </row>
    <row r="170" customFormat="false" ht="15" hidden="false" customHeight="false" outlineLevel="0" collapsed="false">
      <c r="A170" s="2" t="s">
        <v>534</v>
      </c>
      <c r="B170" s="2" t="s">
        <v>535</v>
      </c>
      <c r="C170" s="2" t="s">
        <v>52</v>
      </c>
      <c r="D170" s="2" t="s">
        <v>53</v>
      </c>
      <c r="E170" s="3" t="s">
        <v>536</v>
      </c>
      <c r="F170" s="2" t="s">
        <v>26</v>
      </c>
      <c r="G170" s="2" t="n">
        <v>4200000</v>
      </c>
      <c r="H170" s="2" t="n">
        <v>300000</v>
      </c>
      <c r="I170" s="2" t="n">
        <v>300000</v>
      </c>
      <c r="J170" s="2" t="n">
        <v>21</v>
      </c>
      <c r="K170" s="2" t="n">
        <v>3</v>
      </c>
      <c r="L170" s="2" t="n">
        <v>2</v>
      </c>
      <c r="M170" s="2" t="n">
        <v>0</v>
      </c>
      <c r="N170" s="2" t="n">
        <v>42000</v>
      </c>
      <c r="O170" s="2" t="n">
        <v>84000</v>
      </c>
      <c r="P170" s="7"/>
      <c r="Q170" s="7"/>
      <c r="R170" s="7"/>
      <c r="S170" s="7"/>
      <c r="T170" s="7"/>
      <c r="U170" s="7"/>
      <c r="V170" s="7"/>
    </row>
    <row r="171" customFormat="false" ht="15" hidden="false" customHeight="false" outlineLevel="0" collapsed="false">
      <c r="A171" s="2" t="s">
        <v>537</v>
      </c>
      <c r="B171" s="2" t="s">
        <v>538</v>
      </c>
      <c r="C171" s="2" t="s">
        <v>23</v>
      </c>
      <c r="D171" s="2" t="s">
        <v>32</v>
      </c>
      <c r="E171" s="3" t="s">
        <v>539</v>
      </c>
      <c r="F171" s="2" t="s">
        <v>26</v>
      </c>
      <c r="G171" s="2" t="n">
        <v>6500000</v>
      </c>
      <c r="H171" s="2" t="n">
        <v>350000</v>
      </c>
      <c r="I171" s="2" t="n">
        <v>300000</v>
      </c>
      <c r="J171" s="2" t="n">
        <v>18</v>
      </c>
      <c r="K171" s="2" t="n">
        <v>3</v>
      </c>
      <c r="L171" s="2" t="n">
        <v>0</v>
      </c>
      <c r="M171" s="2" t="n">
        <v>3</v>
      </c>
      <c r="N171" s="2" t="n">
        <v>65000</v>
      </c>
      <c r="O171" s="2" t="n">
        <v>130000</v>
      </c>
      <c r="P171" s="7"/>
      <c r="Q171" s="7"/>
      <c r="R171" s="7"/>
      <c r="S171" s="7"/>
      <c r="T171" s="7"/>
      <c r="U171" s="7"/>
      <c r="V171" s="7"/>
    </row>
    <row r="172" customFormat="false" ht="15" hidden="false" customHeight="false" outlineLevel="0" collapsed="false">
      <c r="A172" s="2" t="s">
        <v>540</v>
      </c>
      <c r="B172" s="2" t="s">
        <v>541</v>
      </c>
      <c r="C172" s="2" t="s">
        <v>47</v>
      </c>
      <c r="D172" s="2" t="s">
        <v>117</v>
      </c>
      <c r="E172" s="3" t="s">
        <v>128</v>
      </c>
      <c r="F172" s="2" t="s">
        <v>20</v>
      </c>
      <c r="G172" s="2" t="n">
        <v>7200000</v>
      </c>
      <c r="H172" s="2" t="n">
        <v>400000</v>
      </c>
      <c r="I172" s="2" t="n">
        <v>300000</v>
      </c>
      <c r="J172" s="2" t="n">
        <v>24</v>
      </c>
      <c r="K172" s="2" t="n">
        <v>2</v>
      </c>
      <c r="L172" s="2" t="n">
        <v>0</v>
      </c>
      <c r="M172" s="2" t="n">
        <v>0</v>
      </c>
      <c r="N172" s="2" t="n">
        <v>72000</v>
      </c>
      <c r="O172" s="2" t="n">
        <v>144000</v>
      </c>
      <c r="P172" s="7"/>
      <c r="Q172" s="7"/>
      <c r="R172" s="7"/>
      <c r="S172" s="7"/>
      <c r="T172" s="7"/>
      <c r="U172" s="7"/>
      <c r="V172" s="7"/>
    </row>
    <row r="173" customFormat="false" ht="15" hidden="false" customHeight="false" outlineLevel="0" collapsed="false">
      <c r="A173" s="2" t="s">
        <v>542</v>
      </c>
      <c r="B173" s="2" t="s">
        <v>543</v>
      </c>
      <c r="C173" s="2" t="s">
        <v>62</v>
      </c>
      <c r="D173" s="2" t="s">
        <v>63</v>
      </c>
      <c r="E173" s="3" t="s">
        <v>479</v>
      </c>
      <c r="F173" s="2" t="s">
        <v>26</v>
      </c>
      <c r="G173" s="2" t="n">
        <v>6500000</v>
      </c>
      <c r="H173" s="2" t="n">
        <v>300000</v>
      </c>
      <c r="I173" s="2" t="n">
        <v>250000</v>
      </c>
      <c r="J173" s="2" t="n">
        <v>22</v>
      </c>
      <c r="K173" s="2" t="n">
        <v>3</v>
      </c>
      <c r="L173" s="2" t="n">
        <v>0</v>
      </c>
      <c r="M173" s="2" t="n">
        <v>0</v>
      </c>
      <c r="N173" s="2" t="n">
        <v>65000</v>
      </c>
      <c r="O173" s="2" t="n">
        <v>130000</v>
      </c>
      <c r="P173" s="7"/>
      <c r="Q173" s="7"/>
      <c r="R173" s="7"/>
      <c r="S173" s="7"/>
      <c r="T173" s="7"/>
      <c r="U173" s="7"/>
      <c r="V173" s="7"/>
    </row>
    <row r="174" customFormat="false" ht="15" hidden="false" customHeight="false" outlineLevel="0" collapsed="false">
      <c r="A174" s="2" t="s">
        <v>544</v>
      </c>
      <c r="B174" s="2" t="s">
        <v>545</v>
      </c>
      <c r="C174" s="2" t="s">
        <v>57</v>
      </c>
      <c r="D174" s="2" t="s">
        <v>58</v>
      </c>
      <c r="E174" s="3" t="s">
        <v>546</v>
      </c>
      <c r="F174" s="2" t="s">
        <v>26</v>
      </c>
      <c r="G174" s="2" t="n">
        <v>9500000</v>
      </c>
      <c r="H174" s="2" t="n">
        <v>350000</v>
      </c>
      <c r="I174" s="2" t="n">
        <v>250000</v>
      </c>
      <c r="J174" s="2" t="n">
        <v>22</v>
      </c>
      <c r="K174" s="2" t="n">
        <v>1</v>
      </c>
      <c r="L174" s="2" t="n">
        <v>2</v>
      </c>
      <c r="M174" s="2" t="n">
        <v>0</v>
      </c>
      <c r="N174" s="2" t="n">
        <v>95000</v>
      </c>
      <c r="O174" s="2" t="n">
        <v>190000</v>
      </c>
      <c r="P174" s="7"/>
      <c r="Q174" s="7"/>
      <c r="R174" s="7"/>
      <c r="S174" s="7"/>
      <c r="T174" s="7"/>
      <c r="U174" s="7"/>
      <c r="V174" s="7"/>
    </row>
    <row r="175" customFormat="false" ht="15" hidden="false" customHeight="false" outlineLevel="0" collapsed="false">
      <c r="A175" s="2" t="s">
        <v>547</v>
      </c>
      <c r="B175" s="2" t="s">
        <v>548</v>
      </c>
      <c r="C175" s="2" t="s">
        <v>57</v>
      </c>
      <c r="D175" s="2" t="s">
        <v>137</v>
      </c>
      <c r="E175" s="3" t="s">
        <v>549</v>
      </c>
      <c r="F175" s="2" t="s">
        <v>26</v>
      </c>
      <c r="G175" s="2" t="n">
        <v>5800000</v>
      </c>
      <c r="H175" s="2" t="n">
        <v>400000</v>
      </c>
      <c r="I175" s="2" t="n">
        <v>300000</v>
      </c>
      <c r="J175" s="2" t="n">
        <v>22</v>
      </c>
      <c r="K175" s="2" t="n">
        <v>3</v>
      </c>
      <c r="L175" s="2" t="n">
        <v>2</v>
      </c>
      <c r="M175" s="2" t="n">
        <v>0</v>
      </c>
      <c r="N175" s="2" t="n">
        <v>58000</v>
      </c>
      <c r="O175" s="2" t="n">
        <v>116000</v>
      </c>
      <c r="P175" s="7"/>
      <c r="Q175" s="7"/>
      <c r="R175" s="7"/>
      <c r="S175" s="7"/>
      <c r="T175" s="7"/>
      <c r="U175" s="7"/>
      <c r="V175" s="7"/>
    </row>
    <row r="176" customFormat="false" ht="15" hidden="false" customHeight="false" outlineLevel="0" collapsed="false">
      <c r="A176" s="2" t="s">
        <v>550</v>
      </c>
      <c r="B176" s="2" t="s">
        <v>551</v>
      </c>
      <c r="C176" s="2" t="s">
        <v>68</v>
      </c>
      <c r="D176" s="2" t="s">
        <v>177</v>
      </c>
      <c r="E176" s="3" t="s">
        <v>552</v>
      </c>
      <c r="F176" s="2" t="s">
        <v>65</v>
      </c>
      <c r="G176" s="2" t="n">
        <v>5800000</v>
      </c>
      <c r="H176" s="2" t="n">
        <v>400000</v>
      </c>
      <c r="I176" s="2" t="n">
        <v>330000</v>
      </c>
      <c r="J176" s="2" t="n">
        <v>23</v>
      </c>
      <c r="K176" s="2" t="n">
        <v>0</v>
      </c>
      <c r="L176" s="2" t="n">
        <v>3</v>
      </c>
      <c r="M176" s="2" t="n">
        <v>0</v>
      </c>
      <c r="N176" s="2" t="n">
        <v>58000</v>
      </c>
      <c r="O176" s="2" t="n">
        <v>116000</v>
      </c>
      <c r="P176" s="7"/>
      <c r="Q176" s="7"/>
      <c r="R176" s="7"/>
      <c r="S176" s="7"/>
      <c r="T176" s="7"/>
      <c r="U176" s="7"/>
      <c r="V176" s="7"/>
    </row>
    <row r="177" customFormat="false" ht="15" hidden="false" customHeight="false" outlineLevel="0" collapsed="false">
      <c r="A177" s="2" t="s">
        <v>553</v>
      </c>
      <c r="B177" s="2" t="s">
        <v>554</v>
      </c>
      <c r="C177" s="2" t="s">
        <v>47</v>
      </c>
      <c r="D177" s="2" t="s">
        <v>113</v>
      </c>
      <c r="E177" s="3" t="s">
        <v>555</v>
      </c>
      <c r="F177" s="2" t="s">
        <v>26</v>
      </c>
      <c r="G177" s="2" t="n">
        <v>4800000</v>
      </c>
      <c r="H177" s="2" t="n">
        <v>400000</v>
      </c>
      <c r="I177" s="2" t="n">
        <v>330000</v>
      </c>
      <c r="J177" s="2" t="n">
        <v>23</v>
      </c>
      <c r="K177" s="2" t="n">
        <v>3</v>
      </c>
      <c r="L177" s="2" t="n">
        <v>1</v>
      </c>
      <c r="M177" s="2" t="n">
        <v>0</v>
      </c>
      <c r="N177" s="2" t="n">
        <v>48000</v>
      </c>
      <c r="O177" s="2" t="n">
        <v>96000</v>
      </c>
      <c r="P177" s="7"/>
      <c r="Q177" s="7"/>
      <c r="R177" s="7"/>
      <c r="S177" s="7"/>
      <c r="T177" s="7"/>
      <c r="U177" s="7"/>
      <c r="V177" s="7"/>
    </row>
    <row r="178" customFormat="false" ht="15" hidden="false" customHeight="false" outlineLevel="0" collapsed="false">
      <c r="A178" s="2" t="s">
        <v>556</v>
      </c>
      <c r="B178" s="2" t="s">
        <v>557</v>
      </c>
      <c r="C178" s="2" t="s">
        <v>23</v>
      </c>
      <c r="D178" s="2" t="s">
        <v>24</v>
      </c>
      <c r="E178" s="3" t="s">
        <v>558</v>
      </c>
      <c r="F178" s="2" t="s">
        <v>26</v>
      </c>
      <c r="G178" s="2" t="n">
        <v>7200000</v>
      </c>
      <c r="H178" s="2" t="n">
        <v>300000</v>
      </c>
      <c r="I178" s="2" t="n">
        <v>300000</v>
      </c>
      <c r="J178" s="2" t="n">
        <v>23</v>
      </c>
      <c r="K178" s="2" t="n">
        <v>1</v>
      </c>
      <c r="L178" s="2" t="n">
        <v>3</v>
      </c>
      <c r="M178" s="2" t="n">
        <v>0</v>
      </c>
      <c r="N178" s="2" t="n">
        <v>72000</v>
      </c>
      <c r="O178" s="2" t="n">
        <v>144000</v>
      </c>
      <c r="P178" s="7"/>
      <c r="Q178" s="7"/>
      <c r="R178" s="7"/>
      <c r="S178" s="7"/>
      <c r="T178" s="7"/>
      <c r="U178" s="7"/>
      <c r="V178" s="7"/>
    </row>
    <row r="179" customFormat="false" ht="15" hidden="false" customHeight="false" outlineLevel="0" collapsed="false">
      <c r="A179" s="2" t="s">
        <v>559</v>
      </c>
      <c r="B179" s="2" t="s">
        <v>371</v>
      </c>
      <c r="C179" s="2" t="s">
        <v>52</v>
      </c>
      <c r="D179" s="2" t="s">
        <v>53</v>
      </c>
      <c r="E179" s="3" t="s">
        <v>560</v>
      </c>
      <c r="F179" s="2" t="s">
        <v>26</v>
      </c>
      <c r="G179" s="2" t="n">
        <v>9500000</v>
      </c>
      <c r="H179" s="2" t="n">
        <v>350000</v>
      </c>
      <c r="I179" s="2" t="n">
        <v>330000</v>
      </c>
      <c r="J179" s="2" t="n">
        <v>21</v>
      </c>
      <c r="K179" s="2" t="n">
        <v>3</v>
      </c>
      <c r="L179" s="2" t="n">
        <v>2</v>
      </c>
      <c r="M179" s="2" t="n">
        <v>0</v>
      </c>
      <c r="N179" s="2" t="n">
        <v>95000</v>
      </c>
      <c r="O179" s="2" t="n">
        <v>190000</v>
      </c>
      <c r="P179" s="7"/>
      <c r="Q179" s="7"/>
      <c r="R179" s="7"/>
      <c r="S179" s="7"/>
      <c r="T179" s="7"/>
      <c r="U179" s="7"/>
      <c r="V179" s="7"/>
    </row>
    <row r="180" customFormat="false" ht="15" hidden="false" customHeight="false" outlineLevel="0" collapsed="false">
      <c r="A180" s="2" t="s">
        <v>561</v>
      </c>
      <c r="B180" s="2" t="s">
        <v>562</v>
      </c>
      <c r="C180" s="2" t="s">
        <v>86</v>
      </c>
      <c r="D180" s="2" t="s">
        <v>106</v>
      </c>
      <c r="E180" s="3" t="s">
        <v>563</v>
      </c>
      <c r="F180" s="2" t="s">
        <v>26</v>
      </c>
      <c r="G180" s="2" t="n">
        <v>5800000</v>
      </c>
      <c r="H180" s="2" t="n">
        <v>400000</v>
      </c>
      <c r="I180" s="2" t="n">
        <v>300000</v>
      </c>
      <c r="J180" s="2" t="n">
        <v>19</v>
      </c>
      <c r="K180" s="2" t="n">
        <v>1</v>
      </c>
      <c r="L180" s="2" t="n">
        <v>2</v>
      </c>
      <c r="M180" s="2" t="n">
        <v>2</v>
      </c>
      <c r="N180" s="2" t="n">
        <v>58000</v>
      </c>
      <c r="O180" s="2" t="n">
        <v>116000</v>
      </c>
      <c r="P180" s="7"/>
      <c r="Q180" s="7"/>
      <c r="R180" s="7"/>
      <c r="S180" s="7"/>
      <c r="T180" s="7"/>
      <c r="U180" s="7"/>
      <c r="V180" s="7"/>
    </row>
    <row r="181" customFormat="false" ht="15" hidden="false" customHeight="false" outlineLevel="0" collapsed="false">
      <c r="A181" s="2" t="s">
        <v>564</v>
      </c>
      <c r="B181" s="2" t="s">
        <v>565</v>
      </c>
      <c r="C181" s="2" t="s">
        <v>47</v>
      </c>
      <c r="D181" s="2" t="s">
        <v>117</v>
      </c>
      <c r="E181" s="3" t="s">
        <v>566</v>
      </c>
      <c r="F181" s="2" t="s">
        <v>26</v>
      </c>
      <c r="G181" s="2" t="n">
        <v>8500000</v>
      </c>
      <c r="H181" s="2" t="n">
        <v>350000</v>
      </c>
      <c r="I181" s="2" t="n">
        <v>300000</v>
      </c>
      <c r="J181" s="2" t="n">
        <v>20</v>
      </c>
      <c r="K181" s="2" t="n">
        <v>2</v>
      </c>
      <c r="L181" s="2" t="n">
        <v>2</v>
      </c>
      <c r="M181" s="2" t="n">
        <v>0</v>
      </c>
      <c r="N181" s="2" t="n">
        <v>85000</v>
      </c>
      <c r="O181" s="2" t="n">
        <v>170000</v>
      </c>
      <c r="P181" s="7"/>
      <c r="Q181" s="7"/>
      <c r="R181" s="7"/>
      <c r="S181" s="7"/>
      <c r="T181" s="7"/>
      <c r="U181" s="7"/>
      <c r="V181" s="7"/>
    </row>
    <row r="182" customFormat="false" ht="15" hidden="false" customHeight="false" outlineLevel="0" collapsed="false">
      <c r="A182" s="2" t="s">
        <v>567</v>
      </c>
      <c r="B182" s="2" t="s">
        <v>568</v>
      </c>
      <c r="C182" s="2" t="s">
        <v>86</v>
      </c>
      <c r="D182" s="2" t="s">
        <v>106</v>
      </c>
      <c r="E182" s="3" t="s">
        <v>569</v>
      </c>
      <c r="F182" s="2" t="s">
        <v>26</v>
      </c>
      <c r="G182" s="2" t="n">
        <v>4800000</v>
      </c>
      <c r="H182" s="2" t="n">
        <v>350000</v>
      </c>
      <c r="I182" s="2" t="n">
        <v>250000</v>
      </c>
      <c r="J182" s="2" t="n">
        <v>20</v>
      </c>
      <c r="K182" s="2" t="n">
        <v>0</v>
      </c>
      <c r="L182" s="2" t="n">
        <v>2</v>
      </c>
      <c r="M182" s="2" t="n">
        <v>2</v>
      </c>
      <c r="N182" s="2" t="n">
        <v>48000</v>
      </c>
      <c r="O182" s="2" t="n">
        <v>96000</v>
      </c>
      <c r="P182" s="7"/>
      <c r="Q182" s="7"/>
      <c r="R182" s="7"/>
      <c r="S182" s="7"/>
      <c r="T182" s="7"/>
      <c r="U182" s="7"/>
      <c r="V182" s="7"/>
    </row>
    <row r="183" customFormat="false" ht="15" hidden="false" customHeight="false" outlineLevel="0" collapsed="false">
      <c r="A183" s="2" t="s">
        <v>570</v>
      </c>
      <c r="B183" s="2" t="s">
        <v>180</v>
      </c>
      <c r="C183" s="2" t="s">
        <v>52</v>
      </c>
      <c r="D183" s="2" t="s">
        <v>53</v>
      </c>
      <c r="E183" s="3" t="s">
        <v>571</v>
      </c>
      <c r="F183" s="2" t="s">
        <v>26</v>
      </c>
      <c r="G183" s="2" t="n">
        <v>5800000</v>
      </c>
      <c r="H183" s="2" t="n">
        <v>400000</v>
      </c>
      <c r="I183" s="2" t="n">
        <v>330000</v>
      </c>
      <c r="J183" s="2" t="n">
        <v>20</v>
      </c>
      <c r="K183" s="2" t="n">
        <v>1</v>
      </c>
      <c r="L183" s="2" t="n">
        <v>0</v>
      </c>
      <c r="M183" s="2" t="n">
        <v>3</v>
      </c>
      <c r="N183" s="2" t="n">
        <v>58000</v>
      </c>
      <c r="O183" s="2" t="n">
        <v>116000</v>
      </c>
      <c r="P183" s="7"/>
      <c r="Q183" s="7"/>
      <c r="R183" s="7"/>
      <c r="S183" s="7"/>
      <c r="T183" s="7"/>
      <c r="U183" s="7"/>
      <c r="V183" s="7"/>
    </row>
    <row r="184" customFormat="false" ht="15" hidden="false" customHeight="false" outlineLevel="0" collapsed="false">
      <c r="A184" s="2" t="s">
        <v>572</v>
      </c>
      <c r="B184" s="2" t="s">
        <v>162</v>
      </c>
      <c r="C184" s="2" t="s">
        <v>47</v>
      </c>
      <c r="D184" s="2" t="s">
        <v>48</v>
      </c>
      <c r="E184" s="3" t="s">
        <v>530</v>
      </c>
      <c r="F184" s="2" t="s">
        <v>26</v>
      </c>
      <c r="G184" s="2" t="n">
        <v>9500000</v>
      </c>
      <c r="H184" s="2" t="n">
        <v>300000</v>
      </c>
      <c r="I184" s="2" t="n">
        <v>330000</v>
      </c>
      <c r="J184" s="2" t="n">
        <v>19</v>
      </c>
      <c r="K184" s="2" t="n">
        <v>0</v>
      </c>
      <c r="L184" s="2" t="n">
        <v>0</v>
      </c>
      <c r="M184" s="2" t="n">
        <v>5</v>
      </c>
      <c r="N184" s="2" t="n">
        <v>95000</v>
      </c>
      <c r="O184" s="2" t="n">
        <v>190000</v>
      </c>
      <c r="P184" s="7"/>
      <c r="Q184" s="7"/>
      <c r="R184" s="7"/>
      <c r="S184" s="7"/>
      <c r="T184" s="7"/>
      <c r="U184" s="7"/>
      <c r="V184" s="7"/>
    </row>
    <row r="185" customFormat="false" ht="15" hidden="false" customHeight="false" outlineLevel="0" collapsed="false">
      <c r="A185" s="2" t="s">
        <v>573</v>
      </c>
      <c r="B185" s="2" t="s">
        <v>273</v>
      </c>
      <c r="C185" s="2" t="s">
        <v>52</v>
      </c>
      <c r="D185" s="2" t="s">
        <v>53</v>
      </c>
      <c r="E185" s="3" t="s">
        <v>493</v>
      </c>
      <c r="F185" s="2" t="s">
        <v>20</v>
      </c>
      <c r="G185" s="2" t="n">
        <v>9500000</v>
      </c>
      <c r="H185" s="2" t="n">
        <v>300000</v>
      </c>
      <c r="I185" s="2" t="n">
        <v>300000</v>
      </c>
      <c r="J185" s="2" t="n">
        <v>23</v>
      </c>
      <c r="K185" s="2" t="n">
        <v>3</v>
      </c>
      <c r="L185" s="2" t="n">
        <v>3</v>
      </c>
      <c r="M185" s="2" t="n">
        <v>0</v>
      </c>
      <c r="N185" s="2" t="n">
        <v>95000</v>
      </c>
      <c r="O185" s="2" t="n">
        <v>190000</v>
      </c>
      <c r="P185" s="7"/>
      <c r="Q185" s="7"/>
      <c r="R185" s="7"/>
      <c r="S185" s="7"/>
      <c r="T185" s="7"/>
      <c r="U185" s="7"/>
      <c r="V185" s="7"/>
    </row>
    <row r="186" customFormat="false" ht="15" hidden="false" customHeight="false" outlineLevel="0" collapsed="false">
      <c r="A186" s="2" t="s">
        <v>574</v>
      </c>
      <c r="B186" s="2" t="s">
        <v>241</v>
      </c>
      <c r="C186" s="2" t="s">
        <v>68</v>
      </c>
      <c r="D186" s="2" t="s">
        <v>177</v>
      </c>
      <c r="E186" s="3" t="s">
        <v>575</v>
      </c>
      <c r="F186" s="2" t="s">
        <v>65</v>
      </c>
      <c r="G186" s="2" t="n">
        <v>4500000</v>
      </c>
      <c r="H186" s="2" t="n">
        <v>400000</v>
      </c>
      <c r="I186" s="2" t="n">
        <v>330000</v>
      </c>
      <c r="J186" s="2" t="n">
        <v>19</v>
      </c>
      <c r="K186" s="2" t="n">
        <v>0</v>
      </c>
      <c r="L186" s="2" t="n">
        <v>1</v>
      </c>
      <c r="M186" s="2" t="n">
        <v>4</v>
      </c>
      <c r="N186" s="2" t="n">
        <v>45000</v>
      </c>
      <c r="O186" s="2" t="n">
        <v>90000</v>
      </c>
      <c r="P186" s="7"/>
      <c r="Q186" s="7"/>
      <c r="R186" s="7"/>
      <c r="S186" s="7"/>
      <c r="T186" s="7"/>
      <c r="U186" s="7"/>
      <c r="V186" s="7"/>
    </row>
    <row r="187" customFormat="false" ht="15" hidden="false" customHeight="false" outlineLevel="0" collapsed="false">
      <c r="A187" s="2" t="s">
        <v>576</v>
      </c>
      <c r="B187" s="2" t="s">
        <v>577</v>
      </c>
      <c r="C187" s="2" t="s">
        <v>196</v>
      </c>
      <c r="D187" s="2" t="s">
        <v>197</v>
      </c>
      <c r="E187" s="3" t="s">
        <v>578</v>
      </c>
      <c r="F187" s="2" t="s">
        <v>20</v>
      </c>
      <c r="G187" s="2" t="n">
        <v>5800000</v>
      </c>
      <c r="H187" s="2" t="n">
        <v>300000</v>
      </c>
      <c r="I187" s="2" t="n">
        <v>250000</v>
      </c>
      <c r="J187" s="2" t="n">
        <v>20</v>
      </c>
      <c r="K187" s="2" t="n">
        <v>0</v>
      </c>
      <c r="L187" s="2" t="n">
        <v>2</v>
      </c>
      <c r="M187" s="2" t="n">
        <v>2</v>
      </c>
      <c r="N187" s="2" t="n">
        <v>58000</v>
      </c>
      <c r="O187" s="2" t="n">
        <v>116000</v>
      </c>
      <c r="P187" s="7"/>
      <c r="Q187" s="7"/>
      <c r="R187" s="7"/>
      <c r="S187" s="7"/>
      <c r="T187" s="7"/>
      <c r="U187" s="7"/>
      <c r="V187" s="7"/>
    </row>
    <row r="188" customFormat="false" ht="15" hidden="false" customHeight="false" outlineLevel="0" collapsed="false">
      <c r="A188" s="2" t="s">
        <v>579</v>
      </c>
      <c r="B188" s="2" t="s">
        <v>580</v>
      </c>
      <c r="C188" s="2" t="s">
        <v>86</v>
      </c>
      <c r="D188" s="2" t="s">
        <v>106</v>
      </c>
      <c r="E188" s="3" t="s">
        <v>581</v>
      </c>
      <c r="F188" s="2" t="s">
        <v>26</v>
      </c>
      <c r="G188" s="2" t="n">
        <v>8500000</v>
      </c>
      <c r="H188" s="2" t="n">
        <v>350000</v>
      </c>
      <c r="I188" s="2" t="n">
        <v>250000</v>
      </c>
      <c r="J188" s="2" t="n">
        <v>24</v>
      </c>
      <c r="K188" s="2" t="n">
        <v>0</v>
      </c>
      <c r="L188" s="2" t="n">
        <v>2</v>
      </c>
      <c r="M188" s="2" t="n">
        <v>0</v>
      </c>
      <c r="N188" s="2" t="n">
        <v>85000</v>
      </c>
      <c r="O188" s="2" t="n">
        <v>170000</v>
      </c>
      <c r="P188" s="7"/>
      <c r="Q188" s="7"/>
      <c r="R188" s="7"/>
      <c r="S188" s="7"/>
      <c r="T188" s="7"/>
      <c r="U188" s="7"/>
      <c r="V188" s="7"/>
    </row>
    <row r="189" customFormat="false" ht="15" hidden="false" customHeight="false" outlineLevel="0" collapsed="false">
      <c r="A189" s="2" t="s">
        <v>582</v>
      </c>
      <c r="B189" s="2" t="s">
        <v>583</v>
      </c>
      <c r="C189" s="2" t="s">
        <v>17</v>
      </c>
      <c r="D189" s="2" t="s">
        <v>36</v>
      </c>
      <c r="E189" s="3" t="s">
        <v>584</v>
      </c>
      <c r="F189" s="2" t="s">
        <v>20</v>
      </c>
      <c r="G189" s="2" t="n">
        <v>6500000</v>
      </c>
      <c r="H189" s="2" t="n">
        <v>350000</v>
      </c>
      <c r="I189" s="2" t="n">
        <v>330000</v>
      </c>
      <c r="J189" s="2" t="n">
        <v>23</v>
      </c>
      <c r="K189" s="2" t="n">
        <v>1</v>
      </c>
      <c r="L189" s="2" t="n">
        <v>1</v>
      </c>
      <c r="M189" s="2" t="n">
        <v>0</v>
      </c>
      <c r="N189" s="2" t="n">
        <v>65000</v>
      </c>
      <c r="O189" s="2" t="n">
        <v>130000</v>
      </c>
      <c r="P189" s="7"/>
      <c r="Q189" s="7"/>
      <c r="R189" s="7"/>
      <c r="S189" s="7"/>
      <c r="T189" s="7"/>
      <c r="U189" s="7"/>
      <c r="V189" s="7"/>
    </row>
    <row r="190" customFormat="false" ht="15" hidden="false" customHeight="false" outlineLevel="0" collapsed="false">
      <c r="A190" s="2" t="s">
        <v>585</v>
      </c>
      <c r="B190" s="2" t="s">
        <v>586</v>
      </c>
      <c r="C190" s="2" t="s">
        <v>62</v>
      </c>
      <c r="D190" s="2" t="s">
        <v>63</v>
      </c>
      <c r="E190" s="3" t="s">
        <v>587</v>
      </c>
      <c r="F190" s="2" t="s">
        <v>26</v>
      </c>
      <c r="G190" s="2" t="n">
        <v>4500000</v>
      </c>
      <c r="H190" s="2" t="n">
        <v>300000</v>
      </c>
      <c r="I190" s="2" t="n">
        <v>250000</v>
      </c>
      <c r="J190" s="2" t="n">
        <v>21</v>
      </c>
      <c r="K190" s="2" t="n">
        <v>2</v>
      </c>
      <c r="L190" s="2" t="n">
        <v>1</v>
      </c>
      <c r="M190" s="2" t="n">
        <v>0</v>
      </c>
      <c r="N190" s="2" t="n">
        <v>45000</v>
      </c>
      <c r="O190" s="2" t="n">
        <v>90000</v>
      </c>
      <c r="P190" s="7"/>
      <c r="Q190" s="7"/>
      <c r="R190" s="7"/>
      <c r="S190" s="7"/>
      <c r="T190" s="7"/>
      <c r="U190" s="7"/>
      <c r="V190" s="7"/>
    </row>
    <row r="191" customFormat="false" ht="15" hidden="false" customHeight="false" outlineLevel="0" collapsed="false">
      <c r="A191" s="2" t="s">
        <v>588</v>
      </c>
      <c r="B191" s="2" t="s">
        <v>589</v>
      </c>
      <c r="C191" s="2" t="s">
        <v>62</v>
      </c>
      <c r="D191" s="2" t="s">
        <v>141</v>
      </c>
      <c r="E191" s="3" t="s">
        <v>295</v>
      </c>
      <c r="F191" s="2" t="s">
        <v>26</v>
      </c>
      <c r="G191" s="2" t="n">
        <v>6500000</v>
      </c>
      <c r="H191" s="2" t="n">
        <v>350000</v>
      </c>
      <c r="I191" s="2" t="n">
        <v>330000</v>
      </c>
      <c r="J191" s="2" t="n">
        <v>23</v>
      </c>
      <c r="K191" s="2" t="n">
        <v>0</v>
      </c>
      <c r="L191" s="2" t="n">
        <v>2</v>
      </c>
      <c r="M191" s="2" t="n">
        <v>0</v>
      </c>
      <c r="N191" s="2" t="n">
        <v>65000</v>
      </c>
      <c r="O191" s="2" t="n">
        <v>130000</v>
      </c>
      <c r="P191" s="7"/>
      <c r="Q191" s="7"/>
      <c r="R191" s="7"/>
      <c r="S191" s="7"/>
      <c r="T191" s="7"/>
      <c r="U191" s="7"/>
      <c r="V191" s="7"/>
    </row>
    <row r="192" customFormat="false" ht="15" hidden="false" customHeight="false" outlineLevel="0" collapsed="false">
      <c r="A192" s="2" t="s">
        <v>590</v>
      </c>
      <c r="B192" s="2" t="s">
        <v>56</v>
      </c>
      <c r="C192" s="2" t="s">
        <v>196</v>
      </c>
      <c r="D192" s="2" t="s">
        <v>204</v>
      </c>
      <c r="E192" s="3" t="s">
        <v>591</v>
      </c>
      <c r="F192" s="2" t="s">
        <v>26</v>
      </c>
      <c r="G192" s="2" t="n">
        <v>4800000</v>
      </c>
      <c r="H192" s="2" t="n">
        <v>350000</v>
      </c>
      <c r="I192" s="2" t="n">
        <v>330000</v>
      </c>
      <c r="J192" s="2" t="n">
        <v>22</v>
      </c>
      <c r="K192" s="2" t="n">
        <v>2</v>
      </c>
      <c r="L192" s="2" t="n">
        <v>0</v>
      </c>
      <c r="M192" s="2" t="n">
        <v>0</v>
      </c>
      <c r="N192" s="2" t="n">
        <v>48000</v>
      </c>
      <c r="O192" s="2" t="n">
        <v>96000</v>
      </c>
      <c r="P192" s="7"/>
      <c r="Q192" s="7"/>
      <c r="R192" s="7"/>
      <c r="S192" s="7"/>
      <c r="T192" s="7"/>
      <c r="U192" s="7"/>
      <c r="V192" s="7"/>
    </row>
    <row r="193" customFormat="false" ht="15" hidden="false" customHeight="false" outlineLevel="0" collapsed="false">
      <c r="A193" s="2" t="s">
        <v>592</v>
      </c>
      <c r="B193" s="2" t="s">
        <v>593</v>
      </c>
      <c r="C193" s="2" t="s">
        <v>47</v>
      </c>
      <c r="D193" s="2" t="s">
        <v>48</v>
      </c>
      <c r="E193" s="3" t="s">
        <v>594</v>
      </c>
      <c r="F193" s="2" t="s">
        <v>26</v>
      </c>
      <c r="G193" s="2" t="n">
        <v>8500000</v>
      </c>
      <c r="H193" s="2" t="n">
        <v>400000</v>
      </c>
      <c r="I193" s="2" t="n">
        <v>330000</v>
      </c>
      <c r="J193" s="2" t="n">
        <v>20</v>
      </c>
      <c r="K193" s="2" t="n">
        <v>3</v>
      </c>
      <c r="L193" s="2" t="n">
        <v>3</v>
      </c>
      <c r="M193" s="2" t="n">
        <v>0</v>
      </c>
      <c r="N193" s="2" t="n">
        <v>85000</v>
      </c>
      <c r="O193" s="2" t="n">
        <v>170000</v>
      </c>
      <c r="P193" s="7"/>
      <c r="Q193" s="7"/>
      <c r="R193" s="7"/>
      <c r="S193" s="7"/>
      <c r="T193" s="7"/>
      <c r="U193" s="7"/>
      <c r="V193" s="7"/>
    </row>
    <row r="194" customFormat="false" ht="15" hidden="false" customHeight="false" outlineLevel="0" collapsed="false">
      <c r="A194" s="2" t="s">
        <v>595</v>
      </c>
      <c r="B194" s="2" t="s">
        <v>81</v>
      </c>
      <c r="C194" s="2" t="s">
        <v>47</v>
      </c>
      <c r="D194" s="2" t="s">
        <v>113</v>
      </c>
      <c r="E194" s="3" t="s">
        <v>64</v>
      </c>
      <c r="F194" s="2" t="s">
        <v>26</v>
      </c>
      <c r="G194" s="2" t="n">
        <v>4500000</v>
      </c>
      <c r="H194" s="2" t="n">
        <v>400000</v>
      </c>
      <c r="I194" s="2" t="n">
        <v>300000</v>
      </c>
      <c r="J194" s="2" t="n">
        <v>22</v>
      </c>
      <c r="K194" s="2" t="n">
        <v>2</v>
      </c>
      <c r="L194" s="2" t="n">
        <v>0</v>
      </c>
      <c r="M194" s="2" t="n">
        <v>0</v>
      </c>
      <c r="N194" s="2" t="n">
        <v>45000</v>
      </c>
      <c r="O194" s="2" t="n">
        <v>90000</v>
      </c>
      <c r="P194" s="7"/>
      <c r="Q194" s="7"/>
      <c r="R194" s="7"/>
      <c r="S194" s="7"/>
      <c r="T194" s="7"/>
      <c r="U194" s="7"/>
      <c r="V194" s="7"/>
    </row>
    <row r="195" customFormat="false" ht="15" hidden="false" customHeight="false" outlineLevel="0" collapsed="false">
      <c r="A195" s="2" t="s">
        <v>596</v>
      </c>
      <c r="B195" s="2" t="s">
        <v>597</v>
      </c>
      <c r="C195" s="2" t="s">
        <v>196</v>
      </c>
      <c r="D195" s="2" t="s">
        <v>204</v>
      </c>
      <c r="E195" s="3" t="s">
        <v>598</v>
      </c>
      <c r="F195" s="2" t="s">
        <v>20</v>
      </c>
      <c r="G195" s="2" t="n">
        <v>9500000</v>
      </c>
      <c r="H195" s="2" t="n">
        <v>300000</v>
      </c>
      <c r="I195" s="2" t="n">
        <v>250000</v>
      </c>
      <c r="J195" s="2" t="n">
        <v>20</v>
      </c>
      <c r="K195" s="2" t="n">
        <v>3</v>
      </c>
      <c r="L195" s="2" t="n">
        <v>0</v>
      </c>
      <c r="M195" s="2" t="n">
        <v>1</v>
      </c>
      <c r="N195" s="2" t="n">
        <v>95000</v>
      </c>
      <c r="O195" s="2" t="n">
        <v>190000</v>
      </c>
      <c r="P195" s="7"/>
      <c r="Q195" s="7"/>
      <c r="R195" s="7"/>
      <c r="S195" s="7"/>
      <c r="T195" s="7"/>
      <c r="U195" s="7"/>
      <c r="V195" s="7"/>
    </row>
    <row r="196" customFormat="false" ht="15" hidden="false" customHeight="false" outlineLevel="0" collapsed="false">
      <c r="A196" s="2" t="s">
        <v>599</v>
      </c>
      <c r="B196" s="2" t="s">
        <v>600</v>
      </c>
      <c r="C196" s="2" t="s">
        <v>52</v>
      </c>
      <c r="D196" s="2" t="s">
        <v>53</v>
      </c>
      <c r="E196" s="3" t="s">
        <v>601</v>
      </c>
      <c r="F196" s="2" t="s">
        <v>26</v>
      </c>
      <c r="G196" s="2" t="n">
        <v>4200000</v>
      </c>
      <c r="H196" s="2" t="n">
        <v>350000</v>
      </c>
      <c r="I196" s="2" t="n">
        <v>250000</v>
      </c>
      <c r="J196" s="2" t="n">
        <v>22</v>
      </c>
      <c r="K196" s="2" t="n">
        <v>3</v>
      </c>
      <c r="L196" s="2" t="n">
        <v>3</v>
      </c>
      <c r="M196" s="2" t="n">
        <v>0</v>
      </c>
      <c r="N196" s="2" t="n">
        <v>42000</v>
      </c>
      <c r="O196" s="2" t="n">
        <v>84000</v>
      </c>
      <c r="P196" s="7"/>
      <c r="Q196" s="7"/>
      <c r="R196" s="7"/>
      <c r="S196" s="7"/>
      <c r="T196" s="7"/>
      <c r="U196" s="7"/>
      <c r="V196" s="7"/>
    </row>
    <row r="197" customFormat="false" ht="15" hidden="false" customHeight="false" outlineLevel="0" collapsed="false">
      <c r="A197" s="2" t="s">
        <v>602</v>
      </c>
      <c r="B197" s="2" t="s">
        <v>216</v>
      </c>
      <c r="C197" s="2" t="s">
        <v>86</v>
      </c>
      <c r="D197" s="2" t="s">
        <v>106</v>
      </c>
      <c r="E197" s="3" t="s">
        <v>603</v>
      </c>
      <c r="F197" s="2" t="s">
        <v>26</v>
      </c>
      <c r="G197" s="2" t="n">
        <v>7200000</v>
      </c>
      <c r="H197" s="2" t="n">
        <v>350000</v>
      </c>
      <c r="I197" s="2" t="n">
        <v>250000</v>
      </c>
      <c r="J197" s="2" t="n">
        <v>23</v>
      </c>
      <c r="K197" s="2" t="n">
        <v>1</v>
      </c>
      <c r="L197" s="2" t="n">
        <v>0</v>
      </c>
      <c r="M197" s="2" t="n">
        <v>0</v>
      </c>
      <c r="N197" s="2" t="n">
        <v>72000</v>
      </c>
      <c r="O197" s="2" t="n">
        <v>144000</v>
      </c>
      <c r="P197" s="7"/>
      <c r="Q197" s="7"/>
      <c r="R197" s="7"/>
      <c r="S197" s="7"/>
      <c r="T197" s="7"/>
      <c r="U197" s="7"/>
      <c r="V197" s="7"/>
    </row>
    <row r="198" customFormat="false" ht="15" hidden="false" customHeight="false" outlineLevel="0" collapsed="false">
      <c r="A198" s="2" t="s">
        <v>604</v>
      </c>
      <c r="B198" s="2" t="s">
        <v>605</v>
      </c>
      <c r="C198" s="2" t="s">
        <v>68</v>
      </c>
      <c r="D198" s="2" t="s">
        <v>217</v>
      </c>
      <c r="E198" s="3" t="s">
        <v>606</v>
      </c>
      <c r="F198" s="2" t="s">
        <v>26</v>
      </c>
      <c r="G198" s="2" t="n">
        <v>4200000</v>
      </c>
      <c r="H198" s="2" t="n">
        <v>300000</v>
      </c>
      <c r="I198" s="2" t="n">
        <v>300000</v>
      </c>
      <c r="J198" s="2" t="n">
        <v>18</v>
      </c>
      <c r="K198" s="2" t="n">
        <v>2</v>
      </c>
      <c r="L198" s="2" t="n">
        <v>3</v>
      </c>
      <c r="M198" s="2" t="n">
        <v>1</v>
      </c>
      <c r="N198" s="2" t="n">
        <v>42000</v>
      </c>
      <c r="O198" s="2" t="n">
        <v>84000</v>
      </c>
      <c r="P198" s="7"/>
      <c r="Q198" s="7"/>
      <c r="R198" s="7"/>
      <c r="S198" s="7"/>
      <c r="T198" s="7"/>
      <c r="U198" s="7"/>
      <c r="V198" s="7"/>
    </row>
    <row r="199" customFormat="false" ht="15" hidden="false" customHeight="false" outlineLevel="0" collapsed="false">
      <c r="A199" s="2" t="s">
        <v>607</v>
      </c>
      <c r="B199" s="2" t="s">
        <v>608</v>
      </c>
      <c r="C199" s="2" t="s">
        <v>62</v>
      </c>
      <c r="D199" s="2" t="s">
        <v>63</v>
      </c>
      <c r="E199" s="3" t="s">
        <v>609</v>
      </c>
      <c r="F199" s="2" t="s">
        <v>26</v>
      </c>
      <c r="G199" s="2" t="n">
        <v>7200000</v>
      </c>
      <c r="H199" s="2" t="n">
        <v>350000</v>
      </c>
      <c r="I199" s="2" t="n">
        <v>250000</v>
      </c>
      <c r="J199" s="2" t="n">
        <v>23</v>
      </c>
      <c r="K199" s="2" t="n">
        <v>1</v>
      </c>
      <c r="L199" s="2" t="n">
        <v>2</v>
      </c>
      <c r="M199" s="2" t="n">
        <v>0</v>
      </c>
      <c r="N199" s="2" t="n">
        <v>72000</v>
      </c>
      <c r="O199" s="2" t="n">
        <v>144000</v>
      </c>
      <c r="P199" s="7"/>
      <c r="Q199" s="7"/>
      <c r="R199" s="7"/>
      <c r="S199" s="7"/>
      <c r="T199" s="7"/>
      <c r="U199" s="7"/>
      <c r="V199" s="7"/>
    </row>
    <row r="200" customFormat="false" ht="15" hidden="false" customHeight="false" outlineLevel="0" collapsed="false">
      <c r="A200" s="2" t="s">
        <v>610</v>
      </c>
      <c r="B200" s="2" t="s">
        <v>611</v>
      </c>
      <c r="C200" s="2" t="s">
        <v>86</v>
      </c>
      <c r="D200" s="2" t="s">
        <v>106</v>
      </c>
      <c r="E200" s="3" t="s">
        <v>612</v>
      </c>
      <c r="F200" s="2" t="s">
        <v>20</v>
      </c>
      <c r="G200" s="2" t="n">
        <v>5200000</v>
      </c>
      <c r="H200" s="2" t="n">
        <v>300000</v>
      </c>
      <c r="I200" s="2" t="n">
        <v>250000</v>
      </c>
      <c r="J200" s="2" t="n">
        <v>20</v>
      </c>
      <c r="K200" s="2" t="n">
        <v>3</v>
      </c>
      <c r="L200" s="2" t="n">
        <v>3</v>
      </c>
      <c r="M200" s="2" t="n">
        <v>0</v>
      </c>
      <c r="N200" s="2" t="n">
        <v>52000</v>
      </c>
      <c r="O200" s="2" t="n">
        <v>104000</v>
      </c>
      <c r="P200" s="7"/>
      <c r="Q200" s="7"/>
      <c r="R200" s="7"/>
      <c r="S200" s="7"/>
      <c r="T200" s="7"/>
      <c r="U200" s="7"/>
      <c r="V200" s="7"/>
    </row>
    <row r="201" customFormat="false" ht="15" hidden="false" customHeight="false" outlineLevel="0" collapsed="false">
      <c r="A201" s="2" t="s">
        <v>613</v>
      </c>
      <c r="B201" s="2" t="s">
        <v>614</v>
      </c>
      <c r="C201" s="2" t="s">
        <v>47</v>
      </c>
      <c r="D201" s="2" t="s">
        <v>48</v>
      </c>
      <c r="E201" s="3" t="s">
        <v>615</v>
      </c>
      <c r="F201" s="2" t="s">
        <v>20</v>
      </c>
      <c r="G201" s="2" t="n">
        <v>5800000</v>
      </c>
      <c r="H201" s="2" t="n">
        <v>300000</v>
      </c>
      <c r="I201" s="2" t="n">
        <v>330000</v>
      </c>
      <c r="J201" s="2" t="n">
        <v>24</v>
      </c>
      <c r="K201" s="2" t="n">
        <v>0</v>
      </c>
      <c r="L201" s="2" t="n">
        <v>0</v>
      </c>
      <c r="M201" s="2" t="n">
        <v>0</v>
      </c>
      <c r="N201" s="2" t="n">
        <v>58000</v>
      </c>
      <c r="O201" s="2" t="n">
        <v>116000</v>
      </c>
      <c r="P201" s="7"/>
      <c r="Q201" s="7"/>
      <c r="R201" s="7"/>
      <c r="S201" s="7"/>
      <c r="T201" s="7"/>
      <c r="U201" s="7"/>
      <c r="V201" s="7"/>
    </row>
    <row r="202" customFormat="false" ht="15" hidden="false" customHeight="false" outlineLevel="0" collapsed="false">
      <c r="A202" s="2" t="s">
        <v>616</v>
      </c>
      <c r="B202" s="2" t="s">
        <v>617</v>
      </c>
      <c r="C202" s="2" t="s">
        <v>196</v>
      </c>
      <c r="D202" s="2" t="s">
        <v>523</v>
      </c>
      <c r="E202" s="3" t="s">
        <v>618</v>
      </c>
      <c r="F202" s="2" t="s">
        <v>20</v>
      </c>
      <c r="G202" s="2" t="n">
        <v>4200000</v>
      </c>
      <c r="H202" s="2" t="n">
        <v>350000</v>
      </c>
      <c r="I202" s="2" t="n">
        <v>330000</v>
      </c>
      <c r="J202" s="2" t="n">
        <v>23</v>
      </c>
      <c r="K202" s="2" t="n">
        <v>0</v>
      </c>
      <c r="L202" s="2" t="n">
        <v>1</v>
      </c>
      <c r="M202" s="2" t="n">
        <v>0</v>
      </c>
      <c r="N202" s="2" t="n">
        <v>42000</v>
      </c>
      <c r="O202" s="2" t="n">
        <v>84000</v>
      </c>
      <c r="P202" s="7"/>
      <c r="Q202" s="7"/>
      <c r="R202" s="7"/>
      <c r="S202" s="7"/>
      <c r="T202" s="7"/>
      <c r="U202" s="7"/>
      <c r="V202" s="7"/>
    </row>
    <row r="203" customFormat="false" ht="15" hidden="false" customHeight="false" outlineLevel="0" collapsed="false">
      <c r="A203" s="2" t="s">
        <v>619</v>
      </c>
      <c r="B203" s="2" t="s">
        <v>620</v>
      </c>
      <c r="C203" s="2" t="s">
        <v>52</v>
      </c>
      <c r="D203" s="2" t="s">
        <v>53</v>
      </c>
      <c r="E203" s="3" t="s">
        <v>621</v>
      </c>
      <c r="F203" s="2" t="s">
        <v>20</v>
      </c>
      <c r="G203" s="2" t="n">
        <v>4200000</v>
      </c>
      <c r="H203" s="2" t="n">
        <v>300000</v>
      </c>
      <c r="I203" s="2" t="n">
        <v>330000</v>
      </c>
      <c r="J203" s="2" t="n">
        <v>20</v>
      </c>
      <c r="K203" s="2" t="n">
        <v>1</v>
      </c>
      <c r="L203" s="2" t="n">
        <v>2</v>
      </c>
      <c r="M203" s="2" t="n">
        <v>1</v>
      </c>
      <c r="N203" s="2" t="n">
        <v>42000</v>
      </c>
      <c r="O203" s="2" t="n">
        <v>84000</v>
      </c>
      <c r="P203" s="7"/>
      <c r="Q203" s="7"/>
      <c r="R203" s="7"/>
      <c r="S203" s="7"/>
      <c r="T203" s="7"/>
      <c r="U203" s="7"/>
      <c r="V203" s="7"/>
    </row>
    <row r="204" customFormat="false" ht="15" hidden="false" customHeight="false" outlineLevel="0" collapsed="false">
      <c r="A204" s="2" t="s">
        <v>622</v>
      </c>
      <c r="B204" s="2" t="s">
        <v>623</v>
      </c>
      <c r="C204" s="2" t="s">
        <v>68</v>
      </c>
      <c r="D204" s="2" t="s">
        <v>69</v>
      </c>
      <c r="E204" s="3" t="s">
        <v>624</v>
      </c>
      <c r="F204" s="2" t="s">
        <v>26</v>
      </c>
      <c r="G204" s="2" t="n">
        <v>9500000</v>
      </c>
      <c r="H204" s="2" t="n">
        <v>300000</v>
      </c>
      <c r="I204" s="2" t="n">
        <v>300000</v>
      </c>
      <c r="J204" s="2" t="n">
        <v>20</v>
      </c>
      <c r="K204" s="2" t="n">
        <v>2</v>
      </c>
      <c r="L204" s="2" t="n">
        <v>0</v>
      </c>
      <c r="M204" s="2" t="n">
        <v>2</v>
      </c>
      <c r="N204" s="2" t="n">
        <v>95000</v>
      </c>
      <c r="O204" s="2" t="n">
        <v>190000</v>
      </c>
      <c r="P204" s="7"/>
      <c r="Q204" s="7"/>
      <c r="R204" s="7"/>
      <c r="S204" s="7"/>
      <c r="T204" s="7"/>
      <c r="U204" s="7"/>
      <c r="V204" s="7"/>
    </row>
    <row r="205" customFormat="false" ht="15" hidden="false" customHeight="false" outlineLevel="0" collapsed="false">
      <c r="A205" s="2" t="s">
        <v>625</v>
      </c>
      <c r="B205" s="2" t="s">
        <v>626</v>
      </c>
      <c r="C205" s="2" t="s">
        <v>57</v>
      </c>
      <c r="D205" s="2" t="s">
        <v>58</v>
      </c>
      <c r="E205" s="3" t="s">
        <v>627</v>
      </c>
      <c r="F205" s="2" t="s">
        <v>26</v>
      </c>
      <c r="G205" s="2" t="n">
        <v>4200000</v>
      </c>
      <c r="H205" s="2" t="n">
        <v>350000</v>
      </c>
      <c r="I205" s="2" t="n">
        <v>330000</v>
      </c>
      <c r="J205" s="2" t="n">
        <v>23</v>
      </c>
      <c r="K205" s="2" t="n">
        <v>3</v>
      </c>
      <c r="L205" s="2" t="n">
        <v>2</v>
      </c>
      <c r="M205" s="2" t="n">
        <v>0</v>
      </c>
      <c r="N205" s="2" t="n">
        <v>42000</v>
      </c>
      <c r="O205" s="2" t="n">
        <v>84000</v>
      </c>
      <c r="P205" s="7"/>
      <c r="Q205" s="7"/>
      <c r="R205" s="7"/>
      <c r="S205" s="7"/>
      <c r="T205" s="7"/>
      <c r="U205" s="7"/>
      <c r="V205" s="7"/>
    </row>
    <row r="206" customFormat="false" ht="15" hidden="false" customHeight="false" outlineLevel="0" collapsed="false">
      <c r="A206" s="2" t="s">
        <v>628</v>
      </c>
      <c r="B206" s="2" t="s">
        <v>629</v>
      </c>
      <c r="C206" s="2" t="s">
        <v>57</v>
      </c>
      <c r="D206" s="2" t="s">
        <v>137</v>
      </c>
      <c r="E206" s="3" t="s">
        <v>630</v>
      </c>
      <c r="F206" s="2" t="s">
        <v>20</v>
      </c>
      <c r="G206" s="2" t="n">
        <v>9500000</v>
      </c>
      <c r="H206" s="2" t="n">
        <v>350000</v>
      </c>
      <c r="I206" s="2" t="n">
        <v>250000</v>
      </c>
      <c r="J206" s="2" t="n">
        <v>24</v>
      </c>
      <c r="K206" s="2" t="n">
        <v>1</v>
      </c>
      <c r="L206" s="2" t="n">
        <v>2</v>
      </c>
      <c r="M206" s="2" t="n">
        <v>0</v>
      </c>
      <c r="N206" s="2" t="n">
        <v>95000</v>
      </c>
      <c r="O206" s="2" t="n">
        <v>190000</v>
      </c>
      <c r="P206" s="7"/>
      <c r="Q206" s="7"/>
      <c r="R206" s="7"/>
      <c r="S206" s="7"/>
      <c r="T206" s="7"/>
      <c r="U206" s="7"/>
      <c r="V206" s="7"/>
    </row>
    <row r="207" customFormat="false" ht="15" hidden="false" customHeight="false" outlineLevel="0" collapsed="false">
      <c r="A207" s="2" t="s">
        <v>631</v>
      </c>
      <c r="B207" s="2" t="s">
        <v>632</v>
      </c>
      <c r="C207" s="2" t="s">
        <v>196</v>
      </c>
      <c r="D207" s="2" t="s">
        <v>204</v>
      </c>
      <c r="E207" s="3" t="s">
        <v>633</v>
      </c>
      <c r="F207" s="2" t="s">
        <v>65</v>
      </c>
      <c r="G207" s="2" t="n">
        <v>9500000</v>
      </c>
      <c r="H207" s="2" t="n">
        <v>400000</v>
      </c>
      <c r="I207" s="2" t="n">
        <v>250000</v>
      </c>
      <c r="J207" s="2" t="n">
        <v>21</v>
      </c>
      <c r="K207" s="2" t="n">
        <v>1</v>
      </c>
      <c r="L207" s="2" t="n">
        <v>2</v>
      </c>
      <c r="M207" s="2" t="n">
        <v>0</v>
      </c>
      <c r="N207" s="2" t="n">
        <v>95000</v>
      </c>
      <c r="O207" s="2" t="n">
        <v>190000</v>
      </c>
      <c r="P207" s="7"/>
      <c r="Q207" s="7"/>
      <c r="R207" s="7"/>
      <c r="S207" s="7"/>
      <c r="T207" s="7"/>
      <c r="U207" s="7"/>
      <c r="V207" s="7"/>
    </row>
    <row r="208" customFormat="false" ht="15" hidden="false" customHeight="false" outlineLevel="0" collapsed="false">
      <c r="A208" s="2" t="s">
        <v>634</v>
      </c>
      <c r="B208" s="2" t="s">
        <v>116</v>
      </c>
      <c r="C208" s="2" t="s">
        <v>23</v>
      </c>
      <c r="D208" s="2" t="s">
        <v>32</v>
      </c>
      <c r="E208" s="3" t="s">
        <v>635</v>
      </c>
      <c r="F208" s="2" t="s">
        <v>20</v>
      </c>
      <c r="G208" s="2" t="n">
        <v>5200000</v>
      </c>
      <c r="H208" s="2" t="n">
        <v>300000</v>
      </c>
      <c r="I208" s="2" t="n">
        <v>300000</v>
      </c>
      <c r="J208" s="2" t="n">
        <v>21</v>
      </c>
      <c r="K208" s="2" t="n">
        <v>0</v>
      </c>
      <c r="L208" s="2" t="n">
        <v>0</v>
      </c>
      <c r="M208" s="2" t="n">
        <v>3</v>
      </c>
      <c r="N208" s="2" t="n">
        <v>52000</v>
      </c>
      <c r="O208" s="2" t="n">
        <v>104000</v>
      </c>
      <c r="P208" s="7"/>
      <c r="Q208" s="7"/>
      <c r="R208" s="7"/>
      <c r="S208" s="7"/>
      <c r="T208" s="7"/>
      <c r="U208" s="7"/>
      <c r="V208" s="7"/>
    </row>
    <row r="209" customFormat="false" ht="15" hidden="false" customHeight="false" outlineLevel="0" collapsed="false">
      <c r="A209" s="2" t="s">
        <v>636</v>
      </c>
      <c r="B209" s="2" t="s">
        <v>637</v>
      </c>
      <c r="C209" s="2" t="s">
        <v>86</v>
      </c>
      <c r="D209" s="2" t="s">
        <v>87</v>
      </c>
      <c r="E209" s="3" t="s">
        <v>638</v>
      </c>
      <c r="F209" s="2" t="s">
        <v>20</v>
      </c>
      <c r="G209" s="2" t="n">
        <v>6500000</v>
      </c>
      <c r="H209" s="2" t="n">
        <v>350000</v>
      </c>
      <c r="I209" s="2" t="n">
        <v>250000</v>
      </c>
      <c r="J209" s="2" t="n">
        <v>19</v>
      </c>
      <c r="K209" s="2" t="n">
        <v>1</v>
      </c>
      <c r="L209" s="2" t="n">
        <v>0</v>
      </c>
      <c r="M209" s="2" t="n">
        <v>4</v>
      </c>
      <c r="N209" s="2" t="n">
        <v>65000</v>
      </c>
      <c r="O209" s="2" t="n">
        <v>130000</v>
      </c>
      <c r="P209" s="7"/>
      <c r="Q209" s="7"/>
      <c r="R209" s="7"/>
      <c r="S209" s="7"/>
      <c r="T209" s="7"/>
      <c r="U209" s="7"/>
      <c r="V209" s="7"/>
    </row>
    <row r="210" customFormat="false" ht="15" hidden="false" customHeight="false" outlineLevel="0" collapsed="false">
      <c r="A210" s="2" t="s">
        <v>639</v>
      </c>
      <c r="B210" s="2" t="s">
        <v>640</v>
      </c>
      <c r="C210" s="2" t="s">
        <v>47</v>
      </c>
      <c r="D210" s="2" t="s">
        <v>117</v>
      </c>
      <c r="E210" s="3" t="s">
        <v>641</v>
      </c>
      <c r="F210" s="2" t="s">
        <v>26</v>
      </c>
      <c r="G210" s="2" t="n">
        <v>5800000</v>
      </c>
      <c r="H210" s="2" t="n">
        <v>350000</v>
      </c>
      <c r="I210" s="2" t="n">
        <v>300000</v>
      </c>
      <c r="J210" s="2" t="n">
        <v>22</v>
      </c>
      <c r="K210" s="2" t="n">
        <v>2</v>
      </c>
      <c r="L210" s="2" t="n">
        <v>2</v>
      </c>
      <c r="M210" s="2" t="n">
        <v>0</v>
      </c>
      <c r="N210" s="2" t="n">
        <v>58000</v>
      </c>
      <c r="O210" s="2" t="n">
        <v>116000</v>
      </c>
      <c r="P210" s="7"/>
      <c r="Q210" s="7"/>
      <c r="R210" s="7"/>
      <c r="S210" s="7"/>
      <c r="T210" s="7"/>
      <c r="U210" s="7"/>
      <c r="V210" s="7"/>
    </row>
    <row r="211" customFormat="false" ht="15" hidden="false" customHeight="false" outlineLevel="0" collapsed="false">
      <c r="A211" s="2" t="s">
        <v>642</v>
      </c>
      <c r="B211" s="2" t="s">
        <v>210</v>
      </c>
      <c r="C211" s="2" t="s">
        <v>86</v>
      </c>
      <c r="D211" s="2" t="s">
        <v>106</v>
      </c>
      <c r="E211" s="3" t="s">
        <v>643</v>
      </c>
      <c r="F211" s="2" t="s">
        <v>20</v>
      </c>
      <c r="G211" s="2" t="n">
        <v>8500000</v>
      </c>
      <c r="H211" s="2" t="n">
        <v>350000</v>
      </c>
      <c r="I211" s="2" t="n">
        <v>250000</v>
      </c>
      <c r="J211" s="2" t="n">
        <v>20</v>
      </c>
      <c r="K211" s="2" t="n">
        <v>2</v>
      </c>
      <c r="L211" s="2" t="n">
        <v>3</v>
      </c>
      <c r="M211" s="2" t="n">
        <v>0</v>
      </c>
      <c r="N211" s="2" t="n">
        <v>85000</v>
      </c>
      <c r="O211" s="2" t="n">
        <v>170000</v>
      </c>
      <c r="P211" s="7"/>
      <c r="Q211" s="7"/>
      <c r="R211" s="7"/>
      <c r="S211" s="7"/>
      <c r="T211" s="7"/>
      <c r="U211" s="7"/>
      <c r="V211" s="7"/>
    </row>
    <row r="212" customFormat="false" ht="15" hidden="false" customHeight="false" outlineLevel="0" collapsed="false">
      <c r="A212" s="2" t="s">
        <v>644</v>
      </c>
      <c r="B212" s="2" t="s">
        <v>645</v>
      </c>
      <c r="C212" s="2" t="s">
        <v>47</v>
      </c>
      <c r="D212" s="2" t="s">
        <v>113</v>
      </c>
      <c r="E212" s="3" t="s">
        <v>646</v>
      </c>
      <c r="F212" s="2" t="s">
        <v>20</v>
      </c>
      <c r="G212" s="2" t="n">
        <v>9500000</v>
      </c>
      <c r="H212" s="2" t="n">
        <v>400000</v>
      </c>
      <c r="I212" s="2" t="n">
        <v>330000</v>
      </c>
      <c r="J212" s="2" t="n">
        <v>23</v>
      </c>
      <c r="K212" s="2" t="n">
        <v>3</v>
      </c>
      <c r="L212" s="2" t="n">
        <v>2</v>
      </c>
      <c r="M212" s="2" t="n">
        <v>0</v>
      </c>
      <c r="N212" s="2" t="n">
        <v>95000</v>
      </c>
      <c r="O212" s="2" t="n">
        <v>190000</v>
      </c>
      <c r="P212" s="7"/>
      <c r="Q212" s="7"/>
      <c r="R212" s="7"/>
      <c r="S212" s="7"/>
      <c r="T212" s="7"/>
      <c r="U212" s="7"/>
      <c r="V212" s="7"/>
    </row>
    <row r="213" customFormat="false" ht="15" hidden="false" customHeight="false" outlineLevel="0" collapsed="false">
      <c r="A213" s="2" t="s">
        <v>647</v>
      </c>
      <c r="B213" s="2" t="s">
        <v>186</v>
      </c>
      <c r="C213" s="2" t="s">
        <v>68</v>
      </c>
      <c r="D213" s="2" t="s">
        <v>69</v>
      </c>
      <c r="E213" s="3" t="s">
        <v>648</v>
      </c>
      <c r="F213" s="2" t="s">
        <v>26</v>
      </c>
      <c r="G213" s="2" t="n">
        <v>5200000</v>
      </c>
      <c r="H213" s="2" t="n">
        <v>350000</v>
      </c>
      <c r="I213" s="2" t="n">
        <v>330000</v>
      </c>
      <c r="J213" s="2" t="n">
        <v>23</v>
      </c>
      <c r="K213" s="2" t="n">
        <v>2</v>
      </c>
      <c r="L213" s="2" t="n">
        <v>2</v>
      </c>
      <c r="M213" s="2" t="n">
        <v>0</v>
      </c>
      <c r="N213" s="2" t="n">
        <v>52000</v>
      </c>
      <c r="O213" s="2" t="n">
        <v>104000</v>
      </c>
      <c r="P213" s="7"/>
      <c r="Q213" s="7"/>
      <c r="R213" s="7"/>
      <c r="S213" s="7"/>
      <c r="T213" s="7"/>
      <c r="U213" s="7"/>
      <c r="V213" s="7"/>
    </row>
    <row r="214" customFormat="false" ht="15" hidden="false" customHeight="false" outlineLevel="0" collapsed="false">
      <c r="A214" s="2" t="s">
        <v>649</v>
      </c>
      <c r="B214" s="2" t="s">
        <v>650</v>
      </c>
      <c r="C214" s="2" t="s">
        <v>52</v>
      </c>
      <c r="D214" s="2" t="s">
        <v>53</v>
      </c>
      <c r="E214" s="3" t="s">
        <v>651</v>
      </c>
      <c r="F214" s="2" t="s">
        <v>20</v>
      </c>
      <c r="G214" s="2" t="n">
        <v>9500000</v>
      </c>
      <c r="H214" s="2" t="n">
        <v>350000</v>
      </c>
      <c r="I214" s="2" t="n">
        <v>250000</v>
      </c>
      <c r="J214" s="2" t="n">
        <v>22</v>
      </c>
      <c r="K214" s="2" t="n">
        <v>0</v>
      </c>
      <c r="L214" s="2" t="n">
        <v>0</v>
      </c>
      <c r="M214" s="2" t="n">
        <v>2</v>
      </c>
      <c r="N214" s="2" t="n">
        <v>95000</v>
      </c>
      <c r="O214" s="2" t="n">
        <v>190000</v>
      </c>
      <c r="P214" s="7"/>
      <c r="Q214" s="7"/>
      <c r="R214" s="7"/>
      <c r="S214" s="7"/>
      <c r="T214" s="7"/>
      <c r="U214" s="7"/>
      <c r="V214" s="7"/>
    </row>
    <row r="215" customFormat="false" ht="15" hidden="false" customHeight="false" outlineLevel="0" collapsed="false">
      <c r="A215" s="2" t="s">
        <v>652</v>
      </c>
      <c r="B215" s="2" t="s">
        <v>653</v>
      </c>
      <c r="C215" s="2" t="s">
        <v>196</v>
      </c>
      <c r="D215" s="2" t="s">
        <v>197</v>
      </c>
      <c r="E215" s="3" t="s">
        <v>493</v>
      </c>
      <c r="F215" s="2" t="s">
        <v>26</v>
      </c>
      <c r="G215" s="2" t="n">
        <v>5200000</v>
      </c>
      <c r="H215" s="2" t="n">
        <v>300000</v>
      </c>
      <c r="I215" s="2" t="n">
        <v>330000</v>
      </c>
      <c r="J215" s="2" t="n">
        <v>19</v>
      </c>
      <c r="K215" s="2" t="n">
        <v>0</v>
      </c>
      <c r="L215" s="2" t="n">
        <v>1</v>
      </c>
      <c r="M215" s="2" t="n">
        <v>4</v>
      </c>
      <c r="N215" s="2" t="n">
        <v>52000</v>
      </c>
      <c r="O215" s="2" t="n">
        <v>104000</v>
      </c>
      <c r="P215" s="7"/>
      <c r="Q215" s="7"/>
      <c r="R215" s="7"/>
      <c r="S215" s="7"/>
      <c r="T215" s="7"/>
      <c r="U215" s="7"/>
      <c r="V215" s="7"/>
    </row>
    <row r="216" customFormat="false" ht="15" hidden="false" customHeight="false" outlineLevel="0" collapsed="false">
      <c r="A216" s="2" t="s">
        <v>654</v>
      </c>
      <c r="B216" s="2" t="s">
        <v>655</v>
      </c>
      <c r="C216" s="2" t="s">
        <v>68</v>
      </c>
      <c r="D216" s="2" t="s">
        <v>69</v>
      </c>
      <c r="E216" s="3" t="s">
        <v>656</v>
      </c>
      <c r="F216" s="2" t="s">
        <v>26</v>
      </c>
      <c r="G216" s="2" t="n">
        <v>8500000</v>
      </c>
      <c r="H216" s="2" t="n">
        <v>400000</v>
      </c>
      <c r="I216" s="2" t="n">
        <v>300000</v>
      </c>
      <c r="J216" s="2" t="n">
        <v>18</v>
      </c>
      <c r="K216" s="2" t="n">
        <v>0</v>
      </c>
      <c r="L216" s="2" t="n">
        <v>3</v>
      </c>
      <c r="M216" s="2" t="n">
        <v>3</v>
      </c>
      <c r="N216" s="2" t="n">
        <v>85000</v>
      </c>
      <c r="O216" s="2" t="n">
        <v>170000</v>
      </c>
      <c r="P216" s="7"/>
      <c r="Q216" s="7"/>
      <c r="R216" s="7"/>
      <c r="S216" s="7"/>
      <c r="T216" s="7"/>
      <c r="U216" s="7"/>
      <c r="V216" s="7"/>
    </row>
    <row r="217" customFormat="false" ht="15" hidden="false" customHeight="false" outlineLevel="0" collapsed="false">
      <c r="A217" s="2" t="s">
        <v>657</v>
      </c>
      <c r="B217" s="2" t="s">
        <v>658</v>
      </c>
      <c r="C217" s="2" t="s">
        <v>86</v>
      </c>
      <c r="D217" s="2" t="s">
        <v>106</v>
      </c>
      <c r="E217" s="3" t="s">
        <v>659</v>
      </c>
      <c r="F217" s="2" t="s">
        <v>65</v>
      </c>
      <c r="G217" s="2" t="n">
        <v>4200000</v>
      </c>
      <c r="H217" s="2" t="n">
        <v>400000</v>
      </c>
      <c r="I217" s="2" t="n">
        <v>330000</v>
      </c>
      <c r="J217" s="2" t="n">
        <v>23</v>
      </c>
      <c r="K217" s="2" t="n">
        <v>3</v>
      </c>
      <c r="L217" s="2" t="n">
        <v>1</v>
      </c>
      <c r="M217" s="2" t="n">
        <v>0</v>
      </c>
      <c r="N217" s="2" t="n">
        <v>42000</v>
      </c>
      <c r="O217" s="2" t="n">
        <v>84000</v>
      </c>
      <c r="P217" s="7"/>
      <c r="Q217" s="7"/>
      <c r="R217" s="7"/>
      <c r="S217" s="7"/>
      <c r="T217" s="7"/>
      <c r="U217" s="7"/>
      <c r="V217" s="7"/>
    </row>
    <row r="218" customFormat="false" ht="15" hidden="false" customHeight="false" outlineLevel="0" collapsed="false">
      <c r="A218" s="2" t="s">
        <v>660</v>
      </c>
      <c r="B218" s="2" t="s">
        <v>661</v>
      </c>
      <c r="C218" s="2" t="s">
        <v>86</v>
      </c>
      <c r="D218" s="2" t="s">
        <v>87</v>
      </c>
      <c r="E218" s="3" t="s">
        <v>662</v>
      </c>
      <c r="F218" s="2" t="s">
        <v>20</v>
      </c>
      <c r="G218" s="2" t="n">
        <v>9500000</v>
      </c>
      <c r="H218" s="2" t="n">
        <v>350000</v>
      </c>
      <c r="I218" s="2" t="n">
        <v>300000</v>
      </c>
      <c r="J218" s="2" t="n">
        <v>20</v>
      </c>
      <c r="K218" s="2" t="n">
        <v>3</v>
      </c>
      <c r="L218" s="2" t="n">
        <v>0</v>
      </c>
      <c r="M218" s="2" t="n">
        <v>1</v>
      </c>
      <c r="N218" s="2" t="n">
        <v>95000</v>
      </c>
      <c r="O218" s="2" t="n">
        <v>190000</v>
      </c>
      <c r="P218" s="7"/>
      <c r="Q218" s="7"/>
      <c r="R218" s="7"/>
      <c r="S218" s="7"/>
      <c r="T218" s="7"/>
      <c r="U218" s="7"/>
      <c r="V218" s="7"/>
    </row>
    <row r="219" customFormat="false" ht="15" hidden="false" customHeight="false" outlineLevel="0" collapsed="false">
      <c r="A219" s="2" t="s">
        <v>663</v>
      </c>
      <c r="B219" s="2" t="s">
        <v>664</v>
      </c>
      <c r="C219" s="2" t="s">
        <v>52</v>
      </c>
      <c r="D219" s="2" t="s">
        <v>53</v>
      </c>
      <c r="E219" s="3" t="s">
        <v>665</v>
      </c>
      <c r="F219" s="2" t="s">
        <v>20</v>
      </c>
      <c r="G219" s="2" t="n">
        <v>4500000</v>
      </c>
      <c r="H219" s="2" t="n">
        <v>400000</v>
      </c>
      <c r="I219" s="2" t="n">
        <v>330000</v>
      </c>
      <c r="J219" s="2" t="n">
        <v>24</v>
      </c>
      <c r="K219" s="2" t="n">
        <v>0</v>
      </c>
      <c r="L219" s="2" t="n">
        <v>0</v>
      </c>
      <c r="M219" s="2" t="n">
        <v>0</v>
      </c>
      <c r="N219" s="2" t="n">
        <v>45000</v>
      </c>
      <c r="O219" s="2" t="n">
        <v>90000</v>
      </c>
      <c r="P219" s="7"/>
      <c r="Q219" s="7"/>
      <c r="R219" s="7"/>
      <c r="S219" s="7"/>
      <c r="T219" s="7"/>
      <c r="U219" s="7"/>
      <c r="V219" s="7"/>
    </row>
    <row r="220" customFormat="false" ht="15" hidden="false" customHeight="false" outlineLevel="0" collapsed="false">
      <c r="A220" s="2" t="s">
        <v>666</v>
      </c>
      <c r="B220" s="2" t="s">
        <v>667</v>
      </c>
      <c r="C220" s="2" t="s">
        <v>62</v>
      </c>
      <c r="D220" s="2" t="s">
        <v>63</v>
      </c>
      <c r="E220" s="3" t="s">
        <v>668</v>
      </c>
      <c r="F220" s="2" t="s">
        <v>26</v>
      </c>
      <c r="G220" s="2" t="n">
        <v>4800000</v>
      </c>
      <c r="H220" s="2" t="n">
        <v>300000</v>
      </c>
      <c r="I220" s="2" t="n">
        <v>300000</v>
      </c>
      <c r="J220" s="2" t="n">
        <v>24</v>
      </c>
      <c r="K220" s="2" t="n">
        <v>3</v>
      </c>
      <c r="L220" s="2" t="n">
        <v>2</v>
      </c>
      <c r="M220" s="2" t="n">
        <v>0</v>
      </c>
      <c r="N220" s="2" t="n">
        <v>48000</v>
      </c>
      <c r="O220" s="2" t="n">
        <v>96000</v>
      </c>
      <c r="P220" s="7"/>
      <c r="Q220" s="7"/>
      <c r="R220" s="7"/>
      <c r="S220" s="7"/>
      <c r="T220" s="7"/>
      <c r="U220" s="7"/>
      <c r="V220" s="7"/>
    </row>
    <row r="221" customFormat="false" ht="15" hidden="false" customHeight="false" outlineLevel="0" collapsed="false">
      <c r="A221" s="2" t="s">
        <v>669</v>
      </c>
      <c r="B221" s="2" t="s">
        <v>597</v>
      </c>
      <c r="C221" s="2" t="s">
        <v>86</v>
      </c>
      <c r="D221" s="2" t="s">
        <v>87</v>
      </c>
      <c r="E221" s="3" t="s">
        <v>670</v>
      </c>
      <c r="F221" s="2" t="s">
        <v>20</v>
      </c>
      <c r="G221" s="2" t="n">
        <v>8500000</v>
      </c>
      <c r="H221" s="2" t="n">
        <v>350000</v>
      </c>
      <c r="I221" s="2" t="n">
        <v>250000</v>
      </c>
      <c r="J221" s="2" t="n">
        <v>18</v>
      </c>
      <c r="K221" s="2" t="n">
        <v>2</v>
      </c>
      <c r="L221" s="2" t="n">
        <v>0</v>
      </c>
      <c r="M221" s="2" t="n">
        <v>4</v>
      </c>
      <c r="N221" s="2" t="n">
        <v>85000</v>
      </c>
      <c r="O221" s="2" t="n">
        <v>170000</v>
      </c>
      <c r="P221" s="7"/>
      <c r="Q221" s="7"/>
      <c r="R221" s="7"/>
      <c r="S221" s="7"/>
      <c r="T221" s="7"/>
      <c r="U221" s="7"/>
      <c r="V221" s="7"/>
    </row>
    <row r="223" customFormat="false" ht="15" hidden="false" customHeight="false" outlineLevel="0" collapsed="false">
      <c r="A223" s="8" t="s">
        <v>680</v>
      </c>
    </row>
  </sheetData>
  <autoFilter ref="A1:V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3" min="12" style="0" width="18"/>
    <col collapsed="false" customWidth="true" hidden="false" outlineLevel="0" max="14" min="14" style="0" width="25"/>
    <col collapsed="false" customWidth="true" hidden="false" outlineLevel="0" max="15" min="15" style="0" width="18"/>
    <col collapsed="false" customWidth="true" hidden="false" outlineLevel="0" max="16" min="16" style="0" width="17"/>
    <col collapsed="false" customWidth="true" hidden="false" outlineLevel="0" max="17" min="17" style="0" width="16"/>
    <col collapsed="false" customWidth="true" hidden="false" outlineLevel="0" max="18" min="18" style="0" width="17"/>
    <col collapsed="false" customWidth="true" hidden="false" outlineLevel="0" max="19" min="19" style="0" width="25"/>
    <col collapsed="false" customWidth="true" hidden="false" outlineLevel="0" max="20" min="20" style="0" width="38"/>
    <col collapsed="false" customWidth="true" hidden="false" outlineLevel="0" max="21" min="21" style="0" width="33"/>
    <col collapsed="false" customWidth="true" hidden="false" outlineLevel="0" max="22" min="22" style="0" width="3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671</v>
      </c>
      <c r="Q1" s="1" t="s">
        <v>672</v>
      </c>
      <c r="R1" s="1" t="s">
        <v>673</v>
      </c>
      <c r="S1" s="1" t="s">
        <v>674</v>
      </c>
      <c r="T1" s="1" t="s">
        <v>675</v>
      </c>
      <c r="U1" s="1" t="s">
        <v>676</v>
      </c>
      <c r="V1" s="1" t="s">
        <v>677</v>
      </c>
      <c r="X1" s="5" t="s">
        <v>678</v>
      </c>
      <c r="Y1" s="6" t="s">
        <v>679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2" t="s">
        <v>20</v>
      </c>
      <c r="G2" s="4" t="n">
        <v>4500000</v>
      </c>
      <c r="H2" s="4" t="n">
        <v>400000</v>
      </c>
      <c r="I2" s="4" t="n">
        <v>330000</v>
      </c>
      <c r="J2" s="2" t="n">
        <v>22</v>
      </c>
      <c r="K2" s="2" t="n">
        <v>0</v>
      </c>
      <c r="L2" s="2" t="n">
        <v>3</v>
      </c>
      <c r="M2" s="2" t="n">
        <v>0</v>
      </c>
      <c r="N2" s="4" t="n">
        <v>45000</v>
      </c>
      <c r="O2" s="4" t="n">
        <v>90000</v>
      </c>
      <c r="P2" s="4" t="n">
        <f aca="false">H2+I2</f>
        <v>730000</v>
      </c>
      <c r="Q2" s="4" t="n">
        <f aca="false">N2+O2</f>
        <v>135000</v>
      </c>
      <c r="R2" s="4" t="n">
        <f aca="false">G2+P2-Q2</f>
        <v>5095000</v>
      </c>
      <c r="S2" s="2" t="n">
        <f aca="false">DATEDIF(E2,$Y$1,"y")</f>
        <v>4</v>
      </c>
      <c r="T2" s="2" t="str">
        <f aca="false">IF(S2&gt;=5,"Senior",IF(S2&gt;=1,"Menengah","Baru"))</f>
        <v>Menengah</v>
      </c>
      <c r="U2" s="9" t="n">
        <f aca="false">J2/(J2+K2+L2+M2)*100</f>
        <v>88</v>
      </c>
      <c r="V2" s="2" t="str">
        <f aca="false">IF(U2&gt;=95,"Baik",IF(U2&gt;=85,"Cukup","Perlu Perhatian"))</f>
        <v>Cukup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3" t="s">
        <v>25</v>
      </c>
      <c r="F3" s="2" t="s">
        <v>26</v>
      </c>
      <c r="G3" s="4" t="n">
        <v>4200000</v>
      </c>
      <c r="H3" s="4" t="n">
        <v>400000</v>
      </c>
      <c r="I3" s="4" t="n">
        <v>250000</v>
      </c>
      <c r="J3" s="2" t="n">
        <v>23</v>
      </c>
      <c r="K3" s="2" t="n">
        <v>3</v>
      </c>
      <c r="L3" s="2" t="n">
        <v>1</v>
      </c>
      <c r="M3" s="2" t="n">
        <v>0</v>
      </c>
      <c r="N3" s="4" t="n">
        <v>42000</v>
      </c>
      <c r="O3" s="4" t="n">
        <v>84000</v>
      </c>
      <c r="P3" s="4" t="n">
        <f aca="false">H3+I3</f>
        <v>650000</v>
      </c>
      <c r="Q3" s="4" t="n">
        <f aca="false">N3+O3</f>
        <v>126000</v>
      </c>
      <c r="R3" s="4" t="n">
        <f aca="false">G3+P3-Q3</f>
        <v>4724000</v>
      </c>
      <c r="S3" s="2" t="n">
        <f aca="false">DATEDIF(E3,$Y$1,"y")</f>
        <v>4</v>
      </c>
      <c r="T3" s="2" t="str">
        <f aca="false">IF(S3&gt;=5,"Senior",IF(S3&gt;=1,"Menengah","Baru"))</f>
        <v>Menengah</v>
      </c>
      <c r="U3" s="9" t="n">
        <f aca="false">J3/(J3+K3+L3+M3)*100</f>
        <v>85.1851851851852</v>
      </c>
      <c r="V3" s="2" t="str">
        <f aca="false">IF(U3&gt;=95,"Baik",IF(U3&gt;=85,"Cukup","Perlu Perhatian"))</f>
        <v>Cukup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17</v>
      </c>
      <c r="D4" s="2" t="s">
        <v>18</v>
      </c>
      <c r="E4" s="3" t="s">
        <v>29</v>
      </c>
      <c r="F4" s="2" t="s">
        <v>26</v>
      </c>
      <c r="G4" s="4" t="n">
        <v>6500000</v>
      </c>
      <c r="H4" s="4" t="n">
        <v>350000</v>
      </c>
      <c r="I4" s="4" t="n">
        <v>250000</v>
      </c>
      <c r="J4" s="2" t="n">
        <v>19</v>
      </c>
      <c r="K4" s="2" t="n">
        <v>2</v>
      </c>
      <c r="L4" s="2" t="n">
        <v>0</v>
      </c>
      <c r="M4" s="2" t="n">
        <v>3</v>
      </c>
      <c r="N4" s="4" t="n">
        <v>65000</v>
      </c>
      <c r="O4" s="4" t="n">
        <v>130000</v>
      </c>
      <c r="P4" s="4" t="n">
        <f aca="false">H4+I4</f>
        <v>600000</v>
      </c>
      <c r="Q4" s="4" t="n">
        <f aca="false">N4+O4</f>
        <v>195000</v>
      </c>
      <c r="R4" s="4" t="n">
        <f aca="false">G4+P4-Q4</f>
        <v>6905000</v>
      </c>
      <c r="S4" s="2" t="n">
        <f aca="false">DATEDIF(E4,$Y$1,"y")</f>
        <v>5</v>
      </c>
      <c r="T4" s="2" t="str">
        <f aca="false">IF(S4&gt;=5,"Senior",IF(S4&gt;=1,"Menengah","Baru"))</f>
        <v>Senior</v>
      </c>
      <c r="U4" s="9" t="n">
        <f aca="false">J4/(J4+K4+L4+M4)*100</f>
        <v>79.1666666666667</v>
      </c>
      <c r="V4" s="2" t="str">
        <f aca="false">IF(U4&gt;=95,"Baik",IF(U4&gt;=85,"Cukup","Perlu Perhatian"))</f>
        <v>Perlu Perhatian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23</v>
      </c>
      <c r="D5" s="2" t="s">
        <v>32</v>
      </c>
      <c r="E5" s="3" t="s">
        <v>33</v>
      </c>
      <c r="F5" s="2" t="s">
        <v>26</v>
      </c>
      <c r="G5" s="4" t="n">
        <v>4200000</v>
      </c>
      <c r="H5" s="4" t="n">
        <v>400000</v>
      </c>
      <c r="I5" s="4" t="n">
        <v>300000</v>
      </c>
      <c r="J5" s="2" t="n">
        <v>22</v>
      </c>
      <c r="K5" s="2" t="n">
        <v>0</v>
      </c>
      <c r="L5" s="2" t="n">
        <v>3</v>
      </c>
      <c r="M5" s="2" t="n">
        <v>0</v>
      </c>
      <c r="N5" s="4" t="n">
        <v>42000</v>
      </c>
      <c r="O5" s="4" t="n">
        <v>84000</v>
      </c>
      <c r="P5" s="4" t="n">
        <f aca="false">H5+I5</f>
        <v>700000</v>
      </c>
      <c r="Q5" s="4" t="n">
        <f aca="false">N5+O5</f>
        <v>126000</v>
      </c>
      <c r="R5" s="4" t="n">
        <f aca="false">G5+P5-Q5</f>
        <v>4774000</v>
      </c>
      <c r="S5" s="2" t="n">
        <f aca="false">DATEDIF(E5,$Y$1,"y")</f>
        <v>3</v>
      </c>
      <c r="T5" s="2" t="str">
        <f aca="false">IF(S5&gt;=5,"Senior",IF(S5&gt;=1,"Menengah","Baru"))</f>
        <v>Menengah</v>
      </c>
      <c r="U5" s="9" t="n">
        <f aca="false">J5/(J5+K5+L5+M5)*100</f>
        <v>88</v>
      </c>
      <c r="V5" s="2" t="str">
        <f aca="false">IF(U5&gt;=95,"Baik",IF(U5&gt;=85,"Cukup","Perlu Perhatian"))</f>
        <v>Cukup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17</v>
      </c>
      <c r="D6" s="2" t="s">
        <v>36</v>
      </c>
      <c r="E6" s="3" t="s">
        <v>37</v>
      </c>
      <c r="F6" s="2" t="s">
        <v>26</v>
      </c>
      <c r="G6" s="4" t="n">
        <v>6500000</v>
      </c>
      <c r="H6" s="4" t="n">
        <v>400000</v>
      </c>
      <c r="I6" s="4" t="n">
        <v>250000</v>
      </c>
      <c r="J6" s="2" t="n">
        <v>23</v>
      </c>
      <c r="K6" s="2" t="n">
        <v>0</v>
      </c>
      <c r="L6" s="2" t="n">
        <v>0</v>
      </c>
      <c r="M6" s="2" t="n">
        <v>1</v>
      </c>
      <c r="N6" s="4" t="n">
        <v>65000</v>
      </c>
      <c r="O6" s="4" t="n">
        <v>130000</v>
      </c>
      <c r="P6" s="4" t="n">
        <f aca="false">H6+I6</f>
        <v>650000</v>
      </c>
      <c r="Q6" s="4" t="n">
        <f aca="false">N6+O6</f>
        <v>195000</v>
      </c>
      <c r="R6" s="4" t="n">
        <f aca="false">G6+P6-Q6</f>
        <v>6955000</v>
      </c>
      <c r="S6" s="2" t="n">
        <f aca="false">DATEDIF(E6,$Y$1,"y")</f>
        <v>0</v>
      </c>
      <c r="T6" s="2" t="str">
        <f aca="false">IF(S6&gt;=5,"Senior",IF(S6&gt;=1,"Menengah","Baru"))</f>
        <v>Baru</v>
      </c>
      <c r="U6" s="9" t="n">
        <f aca="false">J6/(J6+K6+L6+M6)*100</f>
        <v>95.8333333333333</v>
      </c>
      <c r="V6" s="2" t="str">
        <f aca="false">IF(U6&gt;=95,"Baik",IF(U6&gt;=85,"Cukup","Perlu Perhatian"))</f>
        <v>Baik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23</v>
      </c>
      <c r="D7" s="2" t="s">
        <v>24</v>
      </c>
      <c r="E7" s="3" t="s">
        <v>40</v>
      </c>
      <c r="F7" s="2" t="s">
        <v>26</v>
      </c>
      <c r="G7" s="4" t="n">
        <v>8500000</v>
      </c>
      <c r="H7" s="4" t="n">
        <v>400000</v>
      </c>
      <c r="I7" s="4" t="n">
        <v>300000</v>
      </c>
      <c r="J7" s="2" t="n">
        <v>19</v>
      </c>
      <c r="K7" s="2" t="n">
        <v>2</v>
      </c>
      <c r="L7" s="2" t="n">
        <v>2</v>
      </c>
      <c r="M7" s="2" t="n">
        <v>1</v>
      </c>
      <c r="N7" s="4" t="n">
        <v>85000</v>
      </c>
      <c r="O7" s="4" t="n">
        <v>170000</v>
      </c>
      <c r="P7" s="4" t="n">
        <f aca="false">H7+I7</f>
        <v>700000</v>
      </c>
      <c r="Q7" s="4" t="n">
        <f aca="false">N7+O7</f>
        <v>255000</v>
      </c>
      <c r="R7" s="4" t="n">
        <f aca="false">G7+P7-Q7</f>
        <v>8945000</v>
      </c>
      <c r="S7" s="2" t="n">
        <f aca="false">DATEDIF(E7,$Y$1,"y")</f>
        <v>6</v>
      </c>
      <c r="T7" s="2" t="str">
        <f aca="false">IF(S7&gt;=5,"Senior",IF(S7&gt;=1,"Menengah","Baru"))</f>
        <v>Senior</v>
      </c>
      <c r="U7" s="9" t="n">
        <f aca="false">J7/(J7+K7+L7+M7)*100</f>
        <v>79.1666666666667</v>
      </c>
      <c r="V7" s="2" t="str">
        <f aca="false">IF(U7&gt;=95,"Baik",IF(U7&gt;=85,"Cukup","Perlu Perhatian"))</f>
        <v>Perlu Perhatian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23</v>
      </c>
      <c r="D8" s="2" t="s">
        <v>43</v>
      </c>
      <c r="E8" s="3" t="s">
        <v>44</v>
      </c>
      <c r="F8" s="2" t="s">
        <v>26</v>
      </c>
      <c r="G8" s="4" t="n">
        <v>5200000</v>
      </c>
      <c r="H8" s="4" t="n">
        <v>300000</v>
      </c>
      <c r="I8" s="4" t="n">
        <v>300000</v>
      </c>
      <c r="J8" s="2" t="n">
        <v>21</v>
      </c>
      <c r="K8" s="2" t="n">
        <v>2</v>
      </c>
      <c r="L8" s="2" t="n">
        <v>1</v>
      </c>
      <c r="M8" s="2" t="n">
        <v>0</v>
      </c>
      <c r="N8" s="4" t="n">
        <v>52000</v>
      </c>
      <c r="O8" s="4" t="n">
        <v>104000</v>
      </c>
      <c r="P8" s="4" t="n">
        <f aca="false">H8+I8</f>
        <v>600000</v>
      </c>
      <c r="Q8" s="4" t="n">
        <f aca="false">N8+O8</f>
        <v>156000</v>
      </c>
      <c r="R8" s="4" t="n">
        <f aca="false">G8+P8-Q8</f>
        <v>5644000</v>
      </c>
      <c r="S8" s="2" t="n">
        <f aca="false">DATEDIF(E8,$Y$1,"y")</f>
        <v>5</v>
      </c>
      <c r="T8" s="2" t="str">
        <f aca="false">IF(S8&gt;=5,"Senior",IF(S8&gt;=1,"Menengah","Baru"))</f>
        <v>Senior</v>
      </c>
      <c r="U8" s="9" t="n">
        <f aca="false">J8/(J8+K8+L8+M8)*100</f>
        <v>87.5</v>
      </c>
      <c r="V8" s="2" t="str">
        <f aca="false">IF(U8&gt;=95,"Baik",IF(U8&gt;=85,"Cukup","Perlu Perhatian"))</f>
        <v>Cukup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3" t="s">
        <v>49</v>
      </c>
      <c r="F9" s="2" t="s">
        <v>26</v>
      </c>
      <c r="G9" s="4" t="n">
        <v>4500000</v>
      </c>
      <c r="H9" s="4" t="n">
        <v>300000</v>
      </c>
      <c r="I9" s="4" t="n">
        <v>330000</v>
      </c>
      <c r="J9" s="2" t="n">
        <v>23</v>
      </c>
      <c r="K9" s="2" t="n">
        <v>2</v>
      </c>
      <c r="L9" s="2" t="n">
        <v>1</v>
      </c>
      <c r="M9" s="2" t="n">
        <v>0</v>
      </c>
      <c r="N9" s="4" t="n">
        <v>45000</v>
      </c>
      <c r="O9" s="4" t="n">
        <v>90000</v>
      </c>
      <c r="P9" s="4" t="n">
        <f aca="false">H9+I9</f>
        <v>630000</v>
      </c>
      <c r="Q9" s="4" t="n">
        <f aca="false">N9+O9</f>
        <v>135000</v>
      </c>
      <c r="R9" s="4" t="n">
        <f aca="false">G9+P9-Q9</f>
        <v>4995000</v>
      </c>
      <c r="S9" s="2" t="n">
        <f aca="false">DATEDIF(E9,$Y$1,"y")</f>
        <v>3</v>
      </c>
      <c r="T9" s="2" t="str">
        <f aca="false">IF(S9&gt;=5,"Senior",IF(S9&gt;=1,"Menengah","Baru"))</f>
        <v>Menengah</v>
      </c>
      <c r="U9" s="9" t="n">
        <f aca="false">J9/(J9+K9+L9+M9)*100</f>
        <v>88.4615384615385</v>
      </c>
      <c r="V9" s="2" t="str">
        <f aca="false">IF(U9&gt;=95,"Baik",IF(U9&gt;=85,"Cukup","Perlu Perhatian"))</f>
        <v>Cukup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3" t="s">
        <v>54</v>
      </c>
      <c r="F10" s="2" t="s">
        <v>20</v>
      </c>
      <c r="G10" s="4" t="n">
        <v>9500000</v>
      </c>
      <c r="H10" s="4" t="n">
        <v>400000</v>
      </c>
      <c r="I10" s="4" t="n">
        <v>300000</v>
      </c>
      <c r="J10" s="2" t="n">
        <v>23</v>
      </c>
      <c r="K10" s="2" t="n">
        <v>3</v>
      </c>
      <c r="L10" s="2" t="n">
        <v>3</v>
      </c>
      <c r="M10" s="2" t="n">
        <v>0</v>
      </c>
      <c r="N10" s="4" t="n">
        <v>95000</v>
      </c>
      <c r="O10" s="4" t="n">
        <v>190000</v>
      </c>
      <c r="P10" s="4" t="n">
        <f aca="false">H10+I10</f>
        <v>700000</v>
      </c>
      <c r="Q10" s="4" t="n">
        <f aca="false">N10+O10</f>
        <v>285000</v>
      </c>
      <c r="R10" s="4" t="n">
        <f aca="false">G10+P10-Q10</f>
        <v>9915000</v>
      </c>
      <c r="S10" s="2" t="n">
        <f aca="false">DATEDIF(E10,$Y$1,"y")</f>
        <v>4</v>
      </c>
      <c r="T10" s="2" t="str">
        <f aca="false">IF(S10&gt;=5,"Senior",IF(S10&gt;=1,"Menengah","Baru"))</f>
        <v>Menengah</v>
      </c>
      <c r="U10" s="9" t="n">
        <f aca="false">J10/(J10+K10+L10+M10)*100</f>
        <v>79.3103448275862</v>
      </c>
      <c r="V10" s="2" t="str">
        <f aca="false">IF(U10&gt;=95,"Baik",IF(U10&gt;=85,"Cukup","Perlu Perhatian"))</f>
        <v>Perlu Perhatian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3" t="s">
        <v>59</v>
      </c>
      <c r="F11" s="2" t="s">
        <v>20</v>
      </c>
      <c r="G11" s="4" t="n">
        <v>4200000</v>
      </c>
      <c r="H11" s="4" t="n">
        <v>300000</v>
      </c>
      <c r="I11" s="4" t="n">
        <v>250000</v>
      </c>
      <c r="J11" s="2" t="n">
        <v>23</v>
      </c>
      <c r="K11" s="2" t="n">
        <v>1</v>
      </c>
      <c r="L11" s="2" t="n">
        <v>3</v>
      </c>
      <c r="M11" s="2" t="n">
        <v>0</v>
      </c>
      <c r="N11" s="4" t="n">
        <v>42000</v>
      </c>
      <c r="O11" s="4" t="n">
        <v>84000</v>
      </c>
      <c r="P11" s="4" t="n">
        <f aca="false">H11+I11</f>
        <v>550000</v>
      </c>
      <c r="Q11" s="4" t="n">
        <f aca="false">N11+O11</f>
        <v>126000</v>
      </c>
      <c r="R11" s="4" t="n">
        <f aca="false">G11+P11-Q11</f>
        <v>4624000</v>
      </c>
      <c r="S11" s="2" t="n">
        <f aca="false">DATEDIF(E11,$Y$1,"y")</f>
        <v>1</v>
      </c>
      <c r="T11" s="2" t="str">
        <f aca="false">IF(S11&gt;=5,"Senior",IF(S11&gt;=1,"Menengah","Baru"))</f>
        <v>Menengah</v>
      </c>
      <c r="U11" s="9" t="n">
        <f aca="false">J11/(J11+K11+L11+M11)*100</f>
        <v>85.1851851851852</v>
      </c>
      <c r="V11" s="2" t="str">
        <f aca="false">IF(U11&gt;=95,"Baik",IF(U11&gt;=85,"Cukup","Perlu Perhatian"))</f>
        <v>Cukup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3" t="s">
        <v>64</v>
      </c>
      <c r="F12" s="2" t="s">
        <v>65</v>
      </c>
      <c r="G12" s="4" t="n">
        <v>9500000</v>
      </c>
      <c r="H12" s="4" t="n">
        <v>350000</v>
      </c>
      <c r="I12" s="4" t="n">
        <v>330000</v>
      </c>
      <c r="J12" s="2" t="n">
        <v>24</v>
      </c>
      <c r="K12" s="2" t="n">
        <v>0</v>
      </c>
      <c r="L12" s="2" t="n">
        <v>0</v>
      </c>
      <c r="M12" s="2" t="n">
        <v>0</v>
      </c>
      <c r="N12" s="4" t="n">
        <v>95000</v>
      </c>
      <c r="O12" s="4" t="n">
        <v>190000</v>
      </c>
      <c r="P12" s="4" t="n">
        <f aca="false">H12+I12</f>
        <v>680000</v>
      </c>
      <c r="Q12" s="4" t="n">
        <f aca="false">N12+O12</f>
        <v>285000</v>
      </c>
      <c r="R12" s="4" t="n">
        <f aca="false">G12+P12-Q12</f>
        <v>9895000</v>
      </c>
      <c r="S12" s="2" t="n">
        <f aca="false">DATEDIF(E12,$Y$1,"y")</f>
        <v>0</v>
      </c>
      <c r="T12" s="2" t="str">
        <f aca="false">IF(S12&gt;=5,"Senior",IF(S12&gt;=1,"Menengah","Baru"))</f>
        <v>Baru</v>
      </c>
      <c r="U12" s="9" t="n">
        <f aca="false">J12/(J12+K12+L12+M12)*100</f>
        <v>100</v>
      </c>
      <c r="V12" s="2" t="str">
        <f aca="false">IF(U12&gt;=95,"Baik",IF(U12&gt;=85,"Cukup","Perlu Perhatian"))</f>
        <v>Baik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3" t="s">
        <v>70</v>
      </c>
      <c r="F13" s="2" t="s">
        <v>26</v>
      </c>
      <c r="G13" s="4" t="n">
        <v>8500000</v>
      </c>
      <c r="H13" s="4" t="n">
        <v>300000</v>
      </c>
      <c r="I13" s="4" t="n">
        <v>330000</v>
      </c>
      <c r="J13" s="2" t="n">
        <v>23</v>
      </c>
      <c r="K13" s="2" t="n">
        <v>2</v>
      </c>
      <c r="L13" s="2" t="n">
        <v>1</v>
      </c>
      <c r="M13" s="2" t="n">
        <v>0</v>
      </c>
      <c r="N13" s="4" t="n">
        <v>85000</v>
      </c>
      <c r="O13" s="4" t="n">
        <v>170000</v>
      </c>
      <c r="P13" s="4" t="n">
        <f aca="false">H13+I13</f>
        <v>630000</v>
      </c>
      <c r="Q13" s="4" t="n">
        <f aca="false">N13+O13</f>
        <v>255000</v>
      </c>
      <c r="R13" s="4" t="n">
        <f aca="false">G13+P13-Q13</f>
        <v>8875000</v>
      </c>
      <c r="S13" s="2" t="n">
        <f aca="false">DATEDIF(E13,$Y$1,"y")</f>
        <v>4</v>
      </c>
      <c r="T13" s="2" t="str">
        <f aca="false">IF(S13&gt;=5,"Senior",IF(S13&gt;=1,"Menengah","Baru"))</f>
        <v>Menengah</v>
      </c>
      <c r="U13" s="9" t="n">
        <f aca="false">J13/(J13+K13+L13+M13)*100</f>
        <v>88.4615384615385</v>
      </c>
      <c r="V13" s="2" t="str">
        <f aca="false">IF(U13&gt;=95,"Baik",IF(U13&gt;=85,"Cukup","Perlu Perhatian"))</f>
        <v>Cukup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17</v>
      </c>
      <c r="D14" s="2" t="s">
        <v>36</v>
      </c>
      <c r="E14" s="3" t="s">
        <v>73</v>
      </c>
      <c r="F14" s="2" t="s">
        <v>26</v>
      </c>
      <c r="G14" s="4" t="n">
        <v>4800000</v>
      </c>
      <c r="H14" s="4" t="n">
        <v>350000</v>
      </c>
      <c r="I14" s="4" t="n">
        <v>250000</v>
      </c>
      <c r="J14" s="2" t="n">
        <v>22</v>
      </c>
      <c r="K14" s="2" t="n">
        <v>0</v>
      </c>
      <c r="L14" s="2" t="n">
        <v>2</v>
      </c>
      <c r="M14" s="2" t="n">
        <v>0</v>
      </c>
      <c r="N14" s="4" t="n">
        <v>48000</v>
      </c>
      <c r="O14" s="4" t="n">
        <v>96000</v>
      </c>
      <c r="P14" s="4" t="n">
        <f aca="false">H14+I14</f>
        <v>600000</v>
      </c>
      <c r="Q14" s="4" t="n">
        <f aca="false">N14+O14</f>
        <v>144000</v>
      </c>
      <c r="R14" s="4" t="n">
        <f aca="false">G14+P14-Q14</f>
        <v>5256000</v>
      </c>
      <c r="S14" s="2" t="n">
        <f aca="false">DATEDIF(E14,$Y$1,"y")</f>
        <v>1</v>
      </c>
      <c r="T14" s="2" t="str">
        <f aca="false">IF(S14&gt;=5,"Senior",IF(S14&gt;=1,"Menengah","Baru"))</f>
        <v>Menengah</v>
      </c>
      <c r="U14" s="9" t="n">
        <f aca="false">J14/(J14+K14+L14+M14)*100</f>
        <v>91.6666666666667</v>
      </c>
      <c r="V14" s="2" t="str">
        <f aca="false">IF(U14&gt;=95,"Baik",IF(U14&gt;=85,"Cukup","Perlu Perhatian"))</f>
        <v>Cukup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23</v>
      </c>
      <c r="D15" s="2" t="s">
        <v>32</v>
      </c>
      <c r="E15" s="3" t="s">
        <v>76</v>
      </c>
      <c r="F15" s="2" t="s">
        <v>20</v>
      </c>
      <c r="G15" s="4" t="n">
        <v>5200000</v>
      </c>
      <c r="H15" s="4" t="n">
        <v>400000</v>
      </c>
      <c r="I15" s="4" t="n">
        <v>250000</v>
      </c>
      <c r="J15" s="2" t="n">
        <v>18</v>
      </c>
      <c r="K15" s="2" t="n">
        <v>3</v>
      </c>
      <c r="L15" s="2" t="n">
        <v>0</v>
      </c>
      <c r="M15" s="2" t="n">
        <v>3</v>
      </c>
      <c r="N15" s="4" t="n">
        <v>52000</v>
      </c>
      <c r="O15" s="4" t="n">
        <v>104000</v>
      </c>
      <c r="P15" s="4" t="n">
        <f aca="false">H15+I15</f>
        <v>650000</v>
      </c>
      <c r="Q15" s="4" t="n">
        <f aca="false">N15+O15</f>
        <v>156000</v>
      </c>
      <c r="R15" s="4" t="n">
        <f aca="false">G15+P15-Q15</f>
        <v>5694000</v>
      </c>
      <c r="S15" s="2" t="n">
        <f aca="false">DATEDIF(E15,$Y$1,"y")</f>
        <v>4</v>
      </c>
      <c r="T15" s="2" t="str">
        <f aca="false">IF(S15&gt;=5,"Senior",IF(S15&gt;=1,"Menengah","Baru"))</f>
        <v>Menengah</v>
      </c>
      <c r="U15" s="9" t="n">
        <f aca="false">J15/(J15+K15+L15+M15)*100</f>
        <v>75</v>
      </c>
      <c r="V15" s="2" t="str">
        <f aca="false">IF(U15&gt;=95,"Baik",IF(U15&gt;=85,"Cukup","Perlu Perhatian"))</f>
        <v>Perlu Perhatian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57</v>
      </c>
      <c r="D16" s="2" t="s">
        <v>58</v>
      </c>
      <c r="E16" s="3" t="s">
        <v>79</v>
      </c>
      <c r="F16" s="2" t="s">
        <v>65</v>
      </c>
      <c r="G16" s="4" t="n">
        <v>4800000</v>
      </c>
      <c r="H16" s="4" t="n">
        <v>350000</v>
      </c>
      <c r="I16" s="4" t="n">
        <v>330000</v>
      </c>
      <c r="J16" s="2" t="n">
        <v>24</v>
      </c>
      <c r="K16" s="2" t="n">
        <v>3</v>
      </c>
      <c r="L16" s="2" t="n">
        <v>1</v>
      </c>
      <c r="M16" s="2" t="n">
        <v>0</v>
      </c>
      <c r="N16" s="4" t="n">
        <v>48000</v>
      </c>
      <c r="O16" s="4" t="n">
        <v>96000</v>
      </c>
      <c r="P16" s="4" t="n">
        <f aca="false">H16+I16</f>
        <v>680000</v>
      </c>
      <c r="Q16" s="4" t="n">
        <f aca="false">N16+O16</f>
        <v>144000</v>
      </c>
      <c r="R16" s="4" t="n">
        <f aca="false">G16+P16-Q16</f>
        <v>5336000</v>
      </c>
      <c r="S16" s="2" t="n">
        <f aca="false">DATEDIF(E16,$Y$1,"y")</f>
        <v>2</v>
      </c>
      <c r="T16" s="2" t="str">
        <f aca="false">IF(S16&gt;=5,"Senior",IF(S16&gt;=1,"Menengah","Baru"))</f>
        <v>Menengah</v>
      </c>
      <c r="U16" s="9" t="n">
        <f aca="false">J16/(J16+K16+L16+M16)*100</f>
        <v>85.7142857142857</v>
      </c>
      <c r="V16" s="2" t="str">
        <f aca="false">IF(U16&gt;=95,"Baik",IF(U16&gt;=85,"Cukup","Perlu Perhatian"))</f>
        <v>Cukup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17</v>
      </c>
      <c r="D17" s="2" t="s">
        <v>82</v>
      </c>
      <c r="E17" s="3" t="s">
        <v>83</v>
      </c>
      <c r="F17" s="2" t="s">
        <v>26</v>
      </c>
      <c r="G17" s="4" t="n">
        <v>9500000</v>
      </c>
      <c r="H17" s="4" t="n">
        <v>350000</v>
      </c>
      <c r="I17" s="4" t="n">
        <v>250000</v>
      </c>
      <c r="J17" s="2" t="n">
        <v>19</v>
      </c>
      <c r="K17" s="2" t="n">
        <v>1</v>
      </c>
      <c r="L17" s="2" t="n">
        <v>0</v>
      </c>
      <c r="M17" s="2" t="n">
        <v>4</v>
      </c>
      <c r="N17" s="4" t="n">
        <v>95000</v>
      </c>
      <c r="O17" s="4" t="n">
        <v>190000</v>
      </c>
      <c r="P17" s="4" t="n">
        <f aca="false">H17+I17</f>
        <v>600000</v>
      </c>
      <c r="Q17" s="4" t="n">
        <f aca="false">N17+O17</f>
        <v>285000</v>
      </c>
      <c r="R17" s="4" t="n">
        <f aca="false">G17+P17-Q17</f>
        <v>9815000</v>
      </c>
      <c r="S17" s="2" t="n">
        <f aca="false">DATEDIF(E17,$Y$1,"y")</f>
        <v>3</v>
      </c>
      <c r="T17" s="2" t="str">
        <f aca="false">IF(S17&gt;=5,"Senior",IF(S17&gt;=1,"Menengah","Baru"))</f>
        <v>Menengah</v>
      </c>
      <c r="U17" s="9" t="n">
        <f aca="false">J17/(J17+K17+L17+M17)*100</f>
        <v>79.1666666666667</v>
      </c>
      <c r="V17" s="2" t="str">
        <f aca="false">IF(U17&gt;=95,"Baik",IF(U17&gt;=85,"Cukup","Perlu Perhatian"))</f>
        <v>Perlu Perhatian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3" t="s">
        <v>88</v>
      </c>
      <c r="F18" s="2" t="s">
        <v>20</v>
      </c>
      <c r="G18" s="4" t="n">
        <v>4500000</v>
      </c>
      <c r="H18" s="4" t="n">
        <v>400000</v>
      </c>
      <c r="I18" s="4" t="n">
        <v>330000</v>
      </c>
      <c r="J18" s="2" t="n">
        <v>18</v>
      </c>
      <c r="K18" s="2" t="n">
        <v>1</v>
      </c>
      <c r="L18" s="2" t="n">
        <v>0</v>
      </c>
      <c r="M18" s="2" t="n">
        <v>5</v>
      </c>
      <c r="N18" s="4" t="n">
        <v>45000</v>
      </c>
      <c r="O18" s="4" t="n">
        <v>90000</v>
      </c>
      <c r="P18" s="4" t="n">
        <f aca="false">H18+I18</f>
        <v>730000</v>
      </c>
      <c r="Q18" s="4" t="n">
        <f aca="false">N18+O18</f>
        <v>135000</v>
      </c>
      <c r="R18" s="4" t="n">
        <f aca="false">G18+P18-Q18</f>
        <v>5095000</v>
      </c>
      <c r="S18" s="2" t="n">
        <f aca="false">DATEDIF(E18,$Y$1,"y")</f>
        <v>0</v>
      </c>
      <c r="T18" s="2" t="str">
        <f aca="false">IF(S18&gt;=5,"Senior",IF(S18&gt;=1,"Menengah","Baru"))</f>
        <v>Baru</v>
      </c>
      <c r="U18" s="9" t="n">
        <f aca="false">J18/(J18+K18+L18+M18)*100</f>
        <v>75</v>
      </c>
      <c r="V18" s="2" t="str">
        <f aca="false">IF(U18&gt;=95,"Baik",IF(U18&gt;=85,"Cukup","Perlu Perhatian"))</f>
        <v>Perlu Perhatian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23</v>
      </c>
      <c r="D19" s="2" t="s">
        <v>43</v>
      </c>
      <c r="E19" s="3" t="s">
        <v>91</v>
      </c>
      <c r="F19" s="2" t="s">
        <v>20</v>
      </c>
      <c r="G19" s="4" t="n">
        <v>8500000</v>
      </c>
      <c r="H19" s="4" t="n">
        <v>300000</v>
      </c>
      <c r="I19" s="4" t="n">
        <v>330000</v>
      </c>
      <c r="J19" s="2" t="n">
        <v>19</v>
      </c>
      <c r="K19" s="2" t="n">
        <v>3</v>
      </c>
      <c r="L19" s="2" t="n">
        <v>1</v>
      </c>
      <c r="M19" s="2" t="n">
        <v>1</v>
      </c>
      <c r="N19" s="4" t="n">
        <v>85000</v>
      </c>
      <c r="O19" s="4" t="n">
        <v>170000</v>
      </c>
      <c r="P19" s="4" t="n">
        <f aca="false">H19+I19</f>
        <v>630000</v>
      </c>
      <c r="Q19" s="4" t="n">
        <f aca="false">N19+O19</f>
        <v>255000</v>
      </c>
      <c r="R19" s="4" t="n">
        <f aca="false">G19+P19-Q19</f>
        <v>8875000</v>
      </c>
      <c r="S19" s="2" t="n">
        <f aca="false">DATEDIF(E19,$Y$1,"y")</f>
        <v>4</v>
      </c>
      <c r="T19" s="2" t="str">
        <f aca="false">IF(S19&gt;=5,"Senior",IF(S19&gt;=1,"Menengah","Baru"))</f>
        <v>Menengah</v>
      </c>
      <c r="U19" s="9" t="n">
        <f aca="false">J19/(J19+K19+L19+M19)*100</f>
        <v>79.1666666666667</v>
      </c>
      <c r="V19" s="2" t="str">
        <f aca="false">IF(U19&gt;=95,"Baik",IF(U19&gt;=85,"Cukup","Perlu Perhatian"))</f>
        <v>Perlu Perhatian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47</v>
      </c>
      <c r="D20" s="2" t="s">
        <v>48</v>
      </c>
      <c r="E20" s="3" t="s">
        <v>94</v>
      </c>
      <c r="F20" s="2" t="s">
        <v>26</v>
      </c>
      <c r="G20" s="4" t="n">
        <v>6500000</v>
      </c>
      <c r="H20" s="4" t="n">
        <v>350000</v>
      </c>
      <c r="I20" s="4" t="n">
        <v>300000</v>
      </c>
      <c r="J20" s="2" t="n">
        <v>21</v>
      </c>
      <c r="K20" s="2" t="n">
        <v>0</v>
      </c>
      <c r="L20" s="2" t="n">
        <v>0</v>
      </c>
      <c r="M20" s="2" t="n">
        <v>3</v>
      </c>
      <c r="N20" s="4" t="n">
        <v>65000</v>
      </c>
      <c r="O20" s="4" t="n">
        <v>130000</v>
      </c>
      <c r="P20" s="4" t="n">
        <f aca="false">H20+I20</f>
        <v>650000</v>
      </c>
      <c r="Q20" s="4" t="n">
        <f aca="false">N20+O20</f>
        <v>195000</v>
      </c>
      <c r="R20" s="4" t="n">
        <f aca="false">G20+P20-Q20</f>
        <v>6955000</v>
      </c>
      <c r="S20" s="2" t="n">
        <f aca="false">DATEDIF(E20,$Y$1,"y")</f>
        <v>6</v>
      </c>
      <c r="T20" s="2" t="str">
        <f aca="false">IF(S20&gt;=5,"Senior",IF(S20&gt;=1,"Menengah","Baru"))</f>
        <v>Senior</v>
      </c>
      <c r="U20" s="9" t="n">
        <f aca="false">J20/(J20+K20+L20+M20)*100</f>
        <v>87.5</v>
      </c>
      <c r="V20" s="2" t="str">
        <f aca="false">IF(U20&gt;=95,"Baik",IF(U20&gt;=85,"Cukup","Perlu Perhatian"))</f>
        <v>Cukup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68</v>
      </c>
      <c r="D21" s="2" t="s">
        <v>69</v>
      </c>
      <c r="E21" s="3" t="s">
        <v>97</v>
      </c>
      <c r="F21" s="2" t="s">
        <v>20</v>
      </c>
      <c r="G21" s="4" t="n">
        <v>9500000</v>
      </c>
      <c r="H21" s="4" t="n">
        <v>350000</v>
      </c>
      <c r="I21" s="4" t="n">
        <v>250000</v>
      </c>
      <c r="J21" s="2" t="n">
        <v>21</v>
      </c>
      <c r="K21" s="2" t="n">
        <v>1</v>
      </c>
      <c r="L21" s="2" t="n">
        <v>2</v>
      </c>
      <c r="M21" s="2" t="n">
        <v>0</v>
      </c>
      <c r="N21" s="4" t="n">
        <v>95000</v>
      </c>
      <c r="O21" s="4" t="n">
        <v>190000</v>
      </c>
      <c r="P21" s="4" t="n">
        <f aca="false">H21+I21</f>
        <v>600000</v>
      </c>
      <c r="Q21" s="4" t="n">
        <f aca="false">N21+O21</f>
        <v>285000</v>
      </c>
      <c r="R21" s="4" t="n">
        <f aca="false">G21+P21-Q21</f>
        <v>9815000</v>
      </c>
      <c r="S21" s="2" t="n">
        <f aca="false">DATEDIF(E21,$Y$1,"y")</f>
        <v>4</v>
      </c>
      <c r="T21" s="2" t="str">
        <f aca="false">IF(S21&gt;=5,"Senior",IF(S21&gt;=1,"Menengah","Baru"))</f>
        <v>Menengah</v>
      </c>
      <c r="U21" s="9" t="n">
        <f aca="false">J21/(J21+K21+L21+M21)*100</f>
        <v>87.5</v>
      </c>
      <c r="V21" s="2" t="str">
        <f aca="false">IF(U21&gt;=95,"Baik",IF(U21&gt;=85,"Cukup","Perlu Perhatian"))</f>
        <v>Cukup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23</v>
      </c>
      <c r="D22" s="2" t="s">
        <v>32</v>
      </c>
      <c r="E22" s="3" t="s">
        <v>100</v>
      </c>
      <c r="F22" s="2" t="s">
        <v>20</v>
      </c>
      <c r="G22" s="4" t="n">
        <v>9500000</v>
      </c>
      <c r="H22" s="4" t="n">
        <v>300000</v>
      </c>
      <c r="I22" s="4" t="n">
        <v>250000</v>
      </c>
      <c r="J22" s="2" t="n">
        <v>24</v>
      </c>
      <c r="K22" s="2" t="n">
        <v>1</v>
      </c>
      <c r="L22" s="2" t="n">
        <v>1</v>
      </c>
      <c r="M22" s="2" t="n">
        <v>0</v>
      </c>
      <c r="N22" s="4" t="n">
        <v>95000</v>
      </c>
      <c r="O22" s="4" t="n">
        <v>190000</v>
      </c>
      <c r="P22" s="4" t="n">
        <f aca="false">H22+I22</f>
        <v>550000</v>
      </c>
      <c r="Q22" s="4" t="n">
        <f aca="false">N22+O22</f>
        <v>285000</v>
      </c>
      <c r="R22" s="4" t="n">
        <f aca="false">G22+P22-Q22</f>
        <v>9765000</v>
      </c>
      <c r="S22" s="2" t="n">
        <f aca="false">DATEDIF(E22,$Y$1,"y")</f>
        <v>1</v>
      </c>
      <c r="T22" s="2" t="str">
        <f aca="false">IF(S22&gt;=5,"Senior",IF(S22&gt;=1,"Menengah","Baru"))</f>
        <v>Menengah</v>
      </c>
      <c r="U22" s="9" t="n">
        <f aca="false">J22/(J22+K22+L22+M22)*100</f>
        <v>92.3076923076923</v>
      </c>
      <c r="V22" s="2" t="str">
        <f aca="false">IF(U22&gt;=95,"Baik",IF(U22&gt;=85,"Cukup","Perlu Perhatian"))</f>
        <v>Cukup</v>
      </c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52</v>
      </c>
      <c r="D23" s="2" t="s">
        <v>53</v>
      </c>
      <c r="E23" s="3" t="s">
        <v>103</v>
      </c>
      <c r="F23" s="2" t="s">
        <v>65</v>
      </c>
      <c r="G23" s="4" t="n">
        <v>4800000</v>
      </c>
      <c r="H23" s="4" t="n">
        <v>350000</v>
      </c>
      <c r="I23" s="4" t="n">
        <v>250000</v>
      </c>
      <c r="J23" s="2" t="n">
        <v>21</v>
      </c>
      <c r="K23" s="2" t="n">
        <v>2</v>
      </c>
      <c r="L23" s="2" t="n">
        <v>3</v>
      </c>
      <c r="M23" s="2" t="n">
        <v>0</v>
      </c>
      <c r="N23" s="4" t="n">
        <v>48000</v>
      </c>
      <c r="O23" s="4" t="n">
        <v>96000</v>
      </c>
      <c r="P23" s="4" t="n">
        <f aca="false">H23+I23</f>
        <v>600000</v>
      </c>
      <c r="Q23" s="4" t="n">
        <f aca="false">N23+O23</f>
        <v>144000</v>
      </c>
      <c r="R23" s="4" t="n">
        <f aca="false">G23+P23-Q23</f>
        <v>5256000</v>
      </c>
      <c r="S23" s="2" t="n">
        <f aca="false">DATEDIF(E23,$Y$1,"y")</f>
        <v>2</v>
      </c>
      <c r="T23" s="2" t="str">
        <f aca="false">IF(S23&gt;=5,"Senior",IF(S23&gt;=1,"Menengah","Baru"))</f>
        <v>Menengah</v>
      </c>
      <c r="U23" s="9" t="n">
        <f aca="false">J23/(J23+K23+L23+M23)*100</f>
        <v>80.7692307692308</v>
      </c>
      <c r="V23" s="2" t="str">
        <f aca="false">IF(U23&gt;=95,"Baik",IF(U23&gt;=85,"Cukup","Perlu Perhatian"))</f>
        <v>Perlu Perhatian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86</v>
      </c>
      <c r="D24" s="2" t="s">
        <v>106</v>
      </c>
      <c r="E24" s="3" t="s">
        <v>107</v>
      </c>
      <c r="F24" s="2" t="s">
        <v>20</v>
      </c>
      <c r="G24" s="4" t="n">
        <v>5200000</v>
      </c>
      <c r="H24" s="4" t="n">
        <v>300000</v>
      </c>
      <c r="I24" s="4" t="n">
        <v>330000</v>
      </c>
      <c r="J24" s="2" t="n">
        <v>23</v>
      </c>
      <c r="K24" s="2" t="n">
        <v>0</v>
      </c>
      <c r="L24" s="2" t="n">
        <v>2</v>
      </c>
      <c r="M24" s="2" t="n">
        <v>0</v>
      </c>
      <c r="N24" s="4" t="n">
        <v>52000</v>
      </c>
      <c r="O24" s="4" t="n">
        <v>104000</v>
      </c>
      <c r="P24" s="4" t="n">
        <f aca="false">H24+I24</f>
        <v>630000</v>
      </c>
      <c r="Q24" s="4" t="n">
        <f aca="false">N24+O24</f>
        <v>156000</v>
      </c>
      <c r="R24" s="4" t="n">
        <f aca="false">G24+P24-Q24</f>
        <v>5674000</v>
      </c>
      <c r="S24" s="2" t="n">
        <f aca="false">DATEDIF(E24,$Y$1,"y")</f>
        <v>5</v>
      </c>
      <c r="T24" s="2" t="str">
        <f aca="false">IF(S24&gt;=5,"Senior",IF(S24&gt;=1,"Menengah","Baru"))</f>
        <v>Senior</v>
      </c>
      <c r="U24" s="9" t="n">
        <f aca="false">J24/(J24+K24+L24+M24)*100</f>
        <v>92</v>
      </c>
      <c r="V24" s="2" t="str">
        <f aca="false">IF(U24&gt;=95,"Baik",IF(U24&gt;=85,"Cukup","Perlu Perhatian"))</f>
        <v>Cukup</v>
      </c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52</v>
      </c>
      <c r="D25" s="2" t="s">
        <v>53</v>
      </c>
      <c r="E25" s="3" t="s">
        <v>110</v>
      </c>
      <c r="F25" s="2" t="s">
        <v>65</v>
      </c>
      <c r="G25" s="4" t="n">
        <v>4500000</v>
      </c>
      <c r="H25" s="4" t="n">
        <v>300000</v>
      </c>
      <c r="I25" s="4" t="n">
        <v>250000</v>
      </c>
      <c r="J25" s="2" t="n">
        <v>22</v>
      </c>
      <c r="K25" s="2" t="n">
        <v>0</v>
      </c>
      <c r="L25" s="2" t="n">
        <v>1</v>
      </c>
      <c r="M25" s="2" t="n">
        <v>1</v>
      </c>
      <c r="N25" s="4" t="n">
        <v>45000</v>
      </c>
      <c r="O25" s="4" t="n">
        <v>90000</v>
      </c>
      <c r="P25" s="4" t="n">
        <f aca="false">H25+I25</f>
        <v>550000</v>
      </c>
      <c r="Q25" s="4" t="n">
        <f aca="false">N25+O25</f>
        <v>135000</v>
      </c>
      <c r="R25" s="4" t="n">
        <f aca="false">G25+P25-Q25</f>
        <v>4915000</v>
      </c>
      <c r="S25" s="2" t="n">
        <f aca="false">DATEDIF(E25,$Y$1,"y")</f>
        <v>6</v>
      </c>
      <c r="T25" s="2" t="str">
        <f aca="false">IF(S25&gt;=5,"Senior",IF(S25&gt;=1,"Menengah","Baru"))</f>
        <v>Senior</v>
      </c>
      <c r="U25" s="9" t="n">
        <f aca="false">J25/(J25+K25+L25+M25)*100</f>
        <v>91.6666666666667</v>
      </c>
      <c r="V25" s="2" t="str">
        <f aca="false">IF(U25&gt;=95,"Baik",IF(U25&gt;=85,"Cukup","Perlu Perhatian"))</f>
        <v>Cukup</v>
      </c>
    </row>
    <row r="26" customFormat="false" ht="15" hidden="false" customHeight="false" outlineLevel="0" collapsed="false">
      <c r="A26" s="2" t="s">
        <v>111</v>
      </c>
      <c r="B26" s="2" t="s">
        <v>112</v>
      </c>
      <c r="C26" s="2" t="s">
        <v>47</v>
      </c>
      <c r="D26" s="2" t="s">
        <v>113</v>
      </c>
      <c r="E26" s="3" t="s">
        <v>114</v>
      </c>
      <c r="F26" s="2" t="s">
        <v>20</v>
      </c>
      <c r="G26" s="4" t="n">
        <v>4500000</v>
      </c>
      <c r="H26" s="4" t="n">
        <v>350000</v>
      </c>
      <c r="I26" s="4" t="n">
        <v>330000</v>
      </c>
      <c r="J26" s="2" t="n">
        <v>22</v>
      </c>
      <c r="K26" s="2" t="n">
        <v>2</v>
      </c>
      <c r="L26" s="2" t="n">
        <v>2</v>
      </c>
      <c r="M26" s="2" t="n">
        <v>0</v>
      </c>
      <c r="N26" s="4" t="n">
        <v>45000</v>
      </c>
      <c r="O26" s="4" t="n">
        <v>90000</v>
      </c>
      <c r="P26" s="4" t="n">
        <f aca="false">H26+I26</f>
        <v>680000</v>
      </c>
      <c r="Q26" s="4" t="n">
        <f aca="false">N26+O26</f>
        <v>135000</v>
      </c>
      <c r="R26" s="4" t="n">
        <f aca="false">G26+P26-Q26</f>
        <v>5045000</v>
      </c>
      <c r="S26" s="2" t="n">
        <f aca="false">DATEDIF(E26,$Y$1,"y")</f>
        <v>0</v>
      </c>
      <c r="T26" s="2" t="str">
        <f aca="false">IF(S26&gt;=5,"Senior",IF(S26&gt;=1,"Menengah","Baru"))</f>
        <v>Baru</v>
      </c>
      <c r="U26" s="9" t="n">
        <f aca="false">J26/(J26+K26+L26+M26)*100</f>
        <v>84.6153846153846</v>
      </c>
      <c r="V26" s="2" t="str">
        <f aca="false">IF(U26&gt;=95,"Baik",IF(U26&gt;=85,"Cukup","Perlu Perhatian"))</f>
        <v>Perlu Perhatian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47</v>
      </c>
      <c r="D27" s="2" t="s">
        <v>117</v>
      </c>
      <c r="E27" s="3" t="s">
        <v>118</v>
      </c>
      <c r="F27" s="2" t="s">
        <v>20</v>
      </c>
      <c r="G27" s="4" t="n">
        <v>5800000</v>
      </c>
      <c r="H27" s="4" t="n">
        <v>350000</v>
      </c>
      <c r="I27" s="4" t="n">
        <v>300000</v>
      </c>
      <c r="J27" s="2" t="n">
        <v>24</v>
      </c>
      <c r="K27" s="2" t="n">
        <v>0</v>
      </c>
      <c r="L27" s="2" t="n">
        <v>0</v>
      </c>
      <c r="M27" s="2" t="n">
        <v>0</v>
      </c>
      <c r="N27" s="4" t="n">
        <v>58000</v>
      </c>
      <c r="O27" s="4" t="n">
        <v>116000</v>
      </c>
      <c r="P27" s="4" t="n">
        <f aca="false">H27+I27</f>
        <v>650000</v>
      </c>
      <c r="Q27" s="4" t="n">
        <f aca="false">N27+O27</f>
        <v>174000</v>
      </c>
      <c r="R27" s="4" t="n">
        <f aca="false">G27+P27-Q27</f>
        <v>6276000</v>
      </c>
      <c r="S27" s="2" t="n">
        <f aca="false">DATEDIF(E27,$Y$1,"y")</f>
        <v>3</v>
      </c>
      <c r="T27" s="2" t="str">
        <f aca="false">IF(S27&gt;=5,"Senior",IF(S27&gt;=1,"Menengah","Baru"))</f>
        <v>Menengah</v>
      </c>
      <c r="U27" s="9" t="n">
        <f aca="false">J27/(J27+K27+L27+M27)*100</f>
        <v>100</v>
      </c>
      <c r="V27" s="2" t="str">
        <f aca="false">IF(U27&gt;=95,"Baik",IF(U27&gt;=85,"Cukup","Perlu Perhatian"))</f>
        <v>Baik</v>
      </c>
    </row>
    <row r="28" customFormat="false" ht="15" hidden="false" customHeight="false" outlineLevel="0" collapsed="false">
      <c r="A28" s="2" t="s">
        <v>119</v>
      </c>
      <c r="B28" s="2" t="s">
        <v>120</v>
      </c>
      <c r="C28" s="2" t="s">
        <v>23</v>
      </c>
      <c r="D28" s="2" t="s">
        <v>24</v>
      </c>
      <c r="E28" s="3" t="s">
        <v>121</v>
      </c>
      <c r="F28" s="2" t="s">
        <v>20</v>
      </c>
      <c r="G28" s="4" t="n">
        <v>5800000</v>
      </c>
      <c r="H28" s="4" t="n">
        <v>300000</v>
      </c>
      <c r="I28" s="4" t="n">
        <v>300000</v>
      </c>
      <c r="J28" s="2" t="n">
        <v>18</v>
      </c>
      <c r="K28" s="2" t="n">
        <v>1</v>
      </c>
      <c r="L28" s="2" t="n">
        <v>2</v>
      </c>
      <c r="M28" s="2" t="n">
        <v>3</v>
      </c>
      <c r="N28" s="4" t="n">
        <v>58000</v>
      </c>
      <c r="O28" s="4" t="n">
        <v>116000</v>
      </c>
      <c r="P28" s="4" t="n">
        <f aca="false">H28+I28</f>
        <v>600000</v>
      </c>
      <c r="Q28" s="4" t="n">
        <f aca="false">N28+O28</f>
        <v>174000</v>
      </c>
      <c r="R28" s="4" t="n">
        <f aca="false">G28+P28-Q28</f>
        <v>6226000</v>
      </c>
      <c r="S28" s="2" t="n">
        <f aca="false">DATEDIF(E28,$Y$1,"y")</f>
        <v>1</v>
      </c>
      <c r="T28" s="2" t="str">
        <f aca="false">IF(S28&gt;=5,"Senior",IF(S28&gt;=1,"Menengah","Baru"))</f>
        <v>Menengah</v>
      </c>
      <c r="U28" s="9" t="n">
        <f aca="false">J28/(J28+K28+L28+M28)*100</f>
        <v>75</v>
      </c>
      <c r="V28" s="2" t="str">
        <f aca="false">IF(U28&gt;=95,"Baik",IF(U28&gt;=85,"Cukup","Perlu Perhatian"))</f>
        <v>Perlu Perhatian</v>
      </c>
    </row>
    <row r="29" customFormat="false" ht="15" hidden="false" customHeight="false" outlineLevel="0" collapsed="false">
      <c r="A29" s="2" t="s">
        <v>122</v>
      </c>
      <c r="B29" s="2" t="s">
        <v>123</v>
      </c>
      <c r="C29" s="2" t="s">
        <v>52</v>
      </c>
      <c r="D29" s="2" t="s">
        <v>124</v>
      </c>
      <c r="E29" s="3" t="s">
        <v>125</v>
      </c>
      <c r="F29" s="2" t="s">
        <v>65</v>
      </c>
      <c r="G29" s="4" t="n">
        <v>9500000</v>
      </c>
      <c r="H29" s="4" t="n">
        <v>300000</v>
      </c>
      <c r="I29" s="4" t="n">
        <v>330000</v>
      </c>
      <c r="J29" s="2" t="n">
        <v>24</v>
      </c>
      <c r="K29" s="2" t="n">
        <v>2</v>
      </c>
      <c r="L29" s="2" t="n">
        <v>0</v>
      </c>
      <c r="M29" s="2" t="n">
        <v>0</v>
      </c>
      <c r="N29" s="4" t="n">
        <v>95000</v>
      </c>
      <c r="O29" s="4" t="n">
        <v>190000</v>
      </c>
      <c r="P29" s="4" t="n">
        <f aca="false">H29+I29</f>
        <v>630000</v>
      </c>
      <c r="Q29" s="4" t="n">
        <f aca="false">N29+O29</f>
        <v>285000</v>
      </c>
      <c r="R29" s="4" t="n">
        <f aca="false">G29+P29-Q29</f>
        <v>9845000</v>
      </c>
      <c r="S29" s="2" t="n">
        <f aca="false">DATEDIF(E29,$Y$1,"y")</f>
        <v>0</v>
      </c>
      <c r="T29" s="2" t="str">
        <f aca="false">IF(S29&gt;=5,"Senior",IF(S29&gt;=1,"Menengah","Baru"))</f>
        <v>Baru</v>
      </c>
      <c r="U29" s="9" t="n">
        <f aca="false">J29/(J29+K29+L29+M29)*100</f>
        <v>92.3076923076923</v>
      </c>
      <c r="V29" s="2" t="str">
        <f aca="false">IF(U29&gt;=95,"Baik",IF(U29&gt;=85,"Cukup","Perlu Perhatian"))</f>
        <v>Cukup</v>
      </c>
    </row>
    <row r="30" customFormat="false" ht="15" hidden="false" customHeight="false" outlineLevel="0" collapsed="false">
      <c r="A30" s="2" t="s">
        <v>126</v>
      </c>
      <c r="B30" s="2" t="s">
        <v>127</v>
      </c>
      <c r="C30" s="2" t="s">
        <v>23</v>
      </c>
      <c r="D30" s="2" t="s">
        <v>24</v>
      </c>
      <c r="E30" s="3" t="s">
        <v>128</v>
      </c>
      <c r="F30" s="2" t="s">
        <v>20</v>
      </c>
      <c r="G30" s="4" t="n">
        <v>5800000</v>
      </c>
      <c r="H30" s="4" t="n">
        <v>400000</v>
      </c>
      <c r="I30" s="4" t="n">
        <v>250000</v>
      </c>
      <c r="J30" s="2" t="n">
        <v>23</v>
      </c>
      <c r="K30" s="2" t="n">
        <v>2</v>
      </c>
      <c r="L30" s="2" t="n">
        <v>1</v>
      </c>
      <c r="M30" s="2" t="n">
        <v>0</v>
      </c>
      <c r="N30" s="4" t="n">
        <v>58000</v>
      </c>
      <c r="O30" s="4" t="n">
        <v>116000</v>
      </c>
      <c r="P30" s="4" t="n">
        <f aca="false">H30+I30</f>
        <v>650000</v>
      </c>
      <c r="Q30" s="4" t="n">
        <f aca="false">N30+O30</f>
        <v>174000</v>
      </c>
      <c r="R30" s="4" t="n">
        <f aca="false">G30+P30-Q30</f>
        <v>6276000</v>
      </c>
      <c r="S30" s="2" t="n">
        <f aca="false">DATEDIF(E30,$Y$1,"y")</f>
        <v>1</v>
      </c>
      <c r="T30" s="2" t="str">
        <f aca="false">IF(S30&gt;=5,"Senior",IF(S30&gt;=1,"Menengah","Baru"))</f>
        <v>Menengah</v>
      </c>
      <c r="U30" s="9" t="n">
        <f aca="false">J30/(J30+K30+L30+M30)*100</f>
        <v>88.4615384615385</v>
      </c>
      <c r="V30" s="2" t="str">
        <f aca="false">IF(U30&gt;=95,"Baik",IF(U30&gt;=85,"Cukup","Perlu Perhatian"))</f>
        <v>Cukup</v>
      </c>
    </row>
    <row r="31" customFormat="false" ht="15" hidden="false" customHeight="false" outlineLevel="0" collapsed="false">
      <c r="A31" s="2" t="s">
        <v>129</v>
      </c>
      <c r="B31" s="2" t="s">
        <v>130</v>
      </c>
      <c r="C31" s="2" t="s">
        <v>52</v>
      </c>
      <c r="D31" s="2" t="s">
        <v>124</v>
      </c>
      <c r="E31" s="3" t="s">
        <v>131</v>
      </c>
      <c r="F31" s="2" t="s">
        <v>20</v>
      </c>
      <c r="G31" s="4" t="n">
        <v>7200000</v>
      </c>
      <c r="H31" s="4" t="n">
        <v>350000</v>
      </c>
      <c r="I31" s="4" t="n">
        <v>250000</v>
      </c>
      <c r="J31" s="2" t="n">
        <v>18</v>
      </c>
      <c r="K31" s="2" t="n">
        <v>2</v>
      </c>
      <c r="L31" s="2" t="n">
        <v>1</v>
      </c>
      <c r="M31" s="2" t="n">
        <v>3</v>
      </c>
      <c r="N31" s="4" t="n">
        <v>72000</v>
      </c>
      <c r="O31" s="4" t="n">
        <v>144000</v>
      </c>
      <c r="P31" s="4" t="n">
        <f aca="false">H31+I31</f>
        <v>600000</v>
      </c>
      <c r="Q31" s="4" t="n">
        <f aca="false">N31+O31</f>
        <v>216000</v>
      </c>
      <c r="R31" s="4" t="n">
        <f aca="false">G31+P31-Q31</f>
        <v>7584000</v>
      </c>
      <c r="S31" s="2" t="n">
        <f aca="false">DATEDIF(E31,$Y$1,"y")</f>
        <v>6</v>
      </c>
      <c r="T31" s="2" t="str">
        <f aca="false">IF(S31&gt;=5,"Senior",IF(S31&gt;=1,"Menengah","Baru"))</f>
        <v>Senior</v>
      </c>
      <c r="U31" s="9" t="n">
        <f aca="false">J31/(J31+K31+L31+M31)*100</f>
        <v>75</v>
      </c>
      <c r="V31" s="2" t="str">
        <f aca="false">IF(U31&gt;=95,"Baik",IF(U31&gt;=85,"Cukup","Perlu Perhatian"))</f>
        <v>Perlu Perhatian</v>
      </c>
    </row>
    <row r="32" customFormat="false" ht="15" hidden="false" customHeight="false" outlineLevel="0" collapsed="false">
      <c r="A32" s="2" t="s">
        <v>132</v>
      </c>
      <c r="B32" s="2" t="s">
        <v>133</v>
      </c>
      <c r="C32" s="2" t="s">
        <v>52</v>
      </c>
      <c r="D32" s="2" t="s">
        <v>124</v>
      </c>
      <c r="E32" s="3" t="s">
        <v>134</v>
      </c>
      <c r="F32" s="2" t="s">
        <v>20</v>
      </c>
      <c r="G32" s="4" t="n">
        <v>4500000</v>
      </c>
      <c r="H32" s="4" t="n">
        <v>400000</v>
      </c>
      <c r="I32" s="4" t="n">
        <v>250000</v>
      </c>
      <c r="J32" s="2" t="n">
        <v>22</v>
      </c>
      <c r="K32" s="2" t="n">
        <v>0</v>
      </c>
      <c r="L32" s="2" t="n">
        <v>2</v>
      </c>
      <c r="M32" s="2" t="n">
        <v>0</v>
      </c>
      <c r="N32" s="4" t="n">
        <v>45000</v>
      </c>
      <c r="O32" s="4" t="n">
        <v>90000</v>
      </c>
      <c r="P32" s="4" t="n">
        <f aca="false">H32+I32</f>
        <v>650000</v>
      </c>
      <c r="Q32" s="4" t="n">
        <f aca="false">N32+O32</f>
        <v>135000</v>
      </c>
      <c r="R32" s="4" t="n">
        <f aca="false">G32+P32-Q32</f>
        <v>5015000</v>
      </c>
      <c r="S32" s="2" t="n">
        <f aca="false">DATEDIF(E32,$Y$1,"y")</f>
        <v>1</v>
      </c>
      <c r="T32" s="2" t="str">
        <f aca="false">IF(S32&gt;=5,"Senior",IF(S32&gt;=1,"Menengah","Baru"))</f>
        <v>Menengah</v>
      </c>
      <c r="U32" s="9" t="n">
        <f aca="false">J32/(J32+K32+L32+M32)*100</f>
        <v>91.6666666666667</v>
      </c>
      <c r="V32" s="2" t="str">
        <f aca="false">IF(U32&gt;=95,"Baik",IF(U32&gt;=85,"Cukup","Perlu Perhatian"))</f>
        <v>Cukup</v>
      </c>
    </row>
    <row r="33" customFormat="false" ht="15" hidden="false" customHeight="false" outlineLevel="0" collapsed="false">
      <c r="A33" s="2" t="s">
        <v>135</v>
      </c>
      <c r="B33" s="2" t="s">
        <v>136</v>
      </c>
      <c r="C33" s="2" t="s">
        <v>57</v>
      </c>
      <c r="D33" s="2" t="s">
        <v>137</v>
      </c>
      <c r="E33" s="3" t="s">
        <v>138</v>
      </c>
      <c r="F33" s="2" t="s">
        <v>20</v>
      </c>
      <c r="G33" s="4" t="n">
        <v>6500000</v>
      </c>
      <c r="H33" s="4" t="n">
        <v>300000</v>
      </c>
      <c r="I33" s="4" t="n">
        <v>300000</v>
      </c>
      <c r="J33" s="2" t="n">
        <v>19</v>
      </c>
      <c r="K33" s="2" t="n">
        <v>1</v>
      </c>
      <c r="L33" s="2" t="n">
        <v>0</v>
      </c>
      <c r="M33" s="2" t="n">
        <v>4</v>
      </c>
      <c r="N33" s="4" t="n">
        <v>65000</v>
      </c>
      <c r="O33" s="4" t="n">
        <v>130000</v>
      </c>
      <c r="P33" s="4" t="n">
        <f aca="false">H33+I33</f>
        <v>600000</v>
      </c>
      <c r="Q33" s="4" t="n">
        <f aca="false">N33+O33</f>
        <v>195000</v>
      </c>
      <c r="R33" s="4" t="n">
        <f aca="false">G33+P33-Q33</f>
        <v>6905000</v>
      </c>
      <c r="S33" s="2" t="n">
        <f aca="false">DATEDIF(E33,$Y$1,"y")</f>
        <v>6</v>
      </c>
      <c r="T33" s="2" t="str">
        <f aca="false">IF(S33&gt;=5,"Senior",IF(S33&gt;=1,"Menengah","Baru"))</f>
        <v>Senior</v>
      </c>
      <c r="U33" s="9" t="n">
        <f aca="false">J33/(J33+K33+L33+M33)*100</f>
        <v>79.1666666666667</v>
      </c>
      <c r="V33" s="2" t="str">
        <f aca="false">IF(U33&gt;=95,"Baik",IF(U33&gt;=85,"Cukup","Perlu Perhatian"))</f>
        <v>Perlu Perhatian</v>
      </c>
    </row>
    <row r="34" customFormat="false" ht="15" hidden="false" customHeight="false" outlineLevel="0" collapsed="false">
      <c r="A34" s="2" t="s">
        <v>139</v>
      </c>
      <c r="B34" s="2" t="s">
        <v>140</v>
      </c>
      <c r="C34" s="2" t="s">
        <v>62</v>
      </c>
      <c r="D34" s="2" t="s">
        <v>141</v>
      </c>
      <c r="E34" s="3" t="s">
        <v>142</v>
      </c>
      <c r="F34" s="2" t="s">
        <v>26</v>
      </c>
      <c r="G34" s="4" t="n">
        <v>4800000</v>
      </c>
      <c r="H34" s="4" t="n">
        <v>350000</v>
      </c>
      <c r="I34" s="4" t="n">
        <v>250000</v>
      </c>
      <c r="J34" s="2" t="n">
        <v>19</v>
      </c>
      <c r="K34" s="2" t="n">
        <v>2</v>
      </c>
      <c r="L34" s="2" t="n">
        <v>3</v>
      </c>
      <c r="M34" s="2" t="n">
        <v>0</v>
      </c>
      <c r="N34" s="4" t="n">
        <v>48000</v>
      </c>
      <c r="O34" s="4" t="n">
        <v>96000</v>
      </c>
      <c r="P34" s="4" t="n">
        <f aca="false">H34+I34</f>
        <v>600000</v>
      </c>
      <c r="Q34" s="4" t="n">
        <f aca="false">N34+O34</f>
        <v>144000</v>
      </c>
      <c r="R34" s="4" t="n">
        <f aca="false">G34+P34-Q34</f>
        <v>5256000</v>
      </c>
      <c r="S34" s="2" t="n">
        <f aca="false">DATEDIF(E34,$Y$1,"y")</f>
        <v>4</v>
      </c>
      <c r="T34" s="2" t="str">
        <f aca="false">IF(S34&gt;=5,"Senior",IF(S34&gt;=1,"Menengah","Baru"))</f>
        <v>Menengah</v>
      </c>
      <c r="U34" s="9" t="n">
        <f aca="false">J34/(J34+K34+L34+M34)*100</f>
        <v>79.1666666666667</v>
      </c>
      <c r="V34" s="2" t="str">
        <f aca="false">IF(U34&gt;=95,"Baik",IF(U34&gt;=85,"Cukup","Perlu Perhatian"))</f>
        <v>Perlu Perhatian</v>
      </c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57</v>
      </c>
      <c r="D35" s="2" t="s">
        <v>58</v>
      </c>
      <c r="E35" s="3" t="s">
        <v>145</v>
      </c>
      <c r="F35" s="2" t="s">
        <v>26</v>
      </c>
      <c r="G35" s="4" t="n">
        <v>4200000</v>
      </c>
      <c r="H35" s="4" t="n">
        <v>350000</v>
      </c>
      <c r="I35" s="4" t="n">
        <v>250000</v>
      </c>
      <c r="J35" s="2" t="n">
        <v>19</v>
      </c>
      <c r="K35" s="2" t="n">
        <v>3</v>
      </c>
      <c r="L35" s="2" t="n">
        <v>2</v>
      </c>
      <c r="M35" s="2" t="n">
        <v>0</v>
      </c>
      <c r="N35" s="4" t="n">
        <v>42000</v>
      </c>
      <c r="O35" s="4" t="n">
        <v>84000</v>
      </c>
      <c r="P35" s="4" t="n">
        <f aca="false">H35+I35</f>
        <v>600000</v>
      </c>
      <c r="Q35" s="4" t="n">
        <f aca="false">N35+O35</f>
        <v>126000</v>
      </c>
      <c r="R35" s="4" t="n">
        <f aca="false">G35+P35-Q35</f>
        <v>4674000</v>
      </c>
      <c r="S35" s="2" t="n">
        <f aca="false">DATEDIF(E35,$Y$1,"y")</f>
        <v>6</v>
      </c>
      <c r="T35" s="2" t="str">
        <f aca="false">IF(S35&gt;=5,"Senior",IF(S35&gt;=1,"Menengah","Baru"))</f>
        <v>Senior</v>
      </c>
      <c r="U35" s="9" t="n">
        <f aca="false">J35/(J35+K35+L35+M35)*100</f>
        <v>79.1666666666667</v>
      </c>
      <c r="V35" s="2" t="str">
        <f aca="false">IF(U35&gt;=95,"Baik",IF(U35&gt;=85,"Cukup","Perlu Perhatian"))</f>
        <v>Perlu Perhatian</v>
      </c>
    </row>
    <row r="36" customFormat="false" ht="15" hidden="false" customHeight="false" outlineLevel="0" collapsed="false">
      <c r="A36" s="2" t="s">
        <v>146</v>
      </c>
      <c r="B36" s="2" t="s">
        <v>147</v>
      </c>
      <c r="C36" s="2" t="s">
        <v>47</v>
      </c>
      <c r="D36" s="2" t="s">
        <v>48</v>
      </c>
      <c r="E36" s="3" t="s">
        <v>148</v>
      </c>
      <c r="F36" s="2" t="s">
        <v>26</v>
      </c>
      <c r="G36" s="4" t="n">
        <v>5800000</v>
      </c>
      <c r="H36" s="4" t="n">
        <v>300000</v>
      </c>
      <c r="I36" s="4" t="n">
        <v>300000</v>
      </c>
      <c r="J36" s="2" t="n">
        <v>20</v>
      </c>
      <c r="K36" s="2" t="n">
        <v>3</v>
      </c>
      <c r="L36" s="2" t="n">
        <v>2</v>
      </c>
      <c r="M36" s="2" t="n">
        <v>0</v>
      </c>
      <c r="N36" s="4" t="n">
        <v>58000</v>
      </c>
      <c r="O36" s="4" t="n">
        <v>116000</v>
      </c>
      <c r="P36" s="4" t="n">
        <f aca="false">H36+I36</f>
        <v>600000</v>
      </c>
      <c r="Q36" s="4" t="n">
        <f aca="false">N36+O36</f>
        <v>174000</v>
      </c>
      <c r="R36" s="4" t="n">
        <f aca="false">G36+P36-Q36</f>
        <v>6226000</v>
      </c>
      <c r="S36" s="2" t="n">
        <f aca="false">DATEDIF(E36,$Y$1,"y")</f>
        <v>5</v>
      </c>
      <c r="T36" s="2" t="str">
        <f aca="false">IF(S36&gt;=5,"Senior",IF(S36&gt;=1,"Menengah","Baru"))</f>
        <v>Senior</v>
      </c>
      <c r="U36" s="9" t="n">
        <f aca="false">J36/(J36+K36+L36+M36)*100</f>
        <v>80</v>
      </c>
      <c r="V36" s="2" t="str">
        <f aca="false">IF(U36&gt;=95,"Baik",IF(U36&gt;=85,"Cukup","Perlu Perhatian"))</f>
        <v>Perlu Perhatian</v>
      </c>
    </row>
    <row r="37" customFormat="false" ht="15" hidden="false" customHeight="false" outlineLevel="0" collapsed="false">
      <c r="A37" s="2" t="s">
        <v>149</v>
      </c>
      <c r="B37" s="2" t="s">
        <v>150</v>
      </c>
      <c r="C37" s="2" t="s">
        <v>17</v>
      </c>
      <c r="D37" s="2" t="s">
        <v>18</v>
      </c>
      <c r="E37" s="3" t="s">
        <v>151</v>
      </c>
      <c r="F37" s="2" t="s">
        <v>65</v>
      </c>
      <c r="G37" s="4" t="n">
        <v>5800000</v>
      </c>
      <c r="H37" s="4" t="n">
        <v>300000</v>
      </c>
      <c r="I37" s="4" t="n">
        <v>250000</v>
      </c>
      <c r="J37" s="2" t="n">
        <v>22</v>
      </c>
      <c r="K37" s="2" t="n">
        <v>3</v>
      </c>
      <c r="L37" s="2" t="n">
        <v>2</v>
      </c>
      <c r="M37" s="2" t="n">
        <v>0</v>
      </c>
      <c r="N37" s="4" t="n">
        <v>58000</v>
      </c>
      <c r="O37" s="4" t="n">
        <v>116000</v>
      </c>
      <c r="P37" s="4" t="n">
        <f aca="false">H37+I37</f>
        <v>550000</v>
      </c>
      <c r="Q37" s="4" t="n">
        <f aca="false">N37+O37</f>
        <v>174000</v>
      </c>
      <c r="R37" s="4" t="n">
        <f aca="false">G37+P37-Q37</f>
        <v>6176000</v>
      </c>
      <c r="S37" s="2" t="n">
        <f aca="false">DATEDIF(E37,$Y$1,"y")</f>
        <v>0</v>
      </c>
      <c r="T37" s="2" t="str">
        <f aca="false">IF(S37&gt;=5,"Senior",IF(S37&gt;=1,"Menengah","Baru"))</f>
        <v>Baru</v>
      </c>
      <c r="U37" s="9" t="n">
        <f aca="false">J37/(J37+K37+L37+M37)*100</f>
        <v>81.4814814814815</v>
      </c>
      <c r="V37" s="2" t="str">
        <f aca="false">IF(U37&gt;=95,"Baik",IF(U37&gt;=85,"Cukup","Perlu Perhatian"))</f>
        <v>Perlu Perhatian</v>
      </c>
    </row>
    <row r="38" customFormat="false" ht="15" hidden="false" customHeight="false" outlineLevel="0" collapsed="false">
      <c r="A38" s="2" t="s">
        <v>152</v>
      </c>
      <c r="B38" s="2" t="s">
        <v>153</v>
      </c>
      <c r="C38" s="2" t="s">
        <v>86</v>
      </c>
      <c r="D38" s="2" t="s">
        <v>87</v>
      </c>
      <c r="E38" s="3" t="s">
        <v>154</v>
      </c>
      <c r="F38" s="2" t="s">
        <v>26</v>
      </c>
      <c r="G38" s="4" t="n">
        <v>5200000</v>
      </c>
      <c r="H38" s="4" t="n">
        <v>350000</v>
      </c>
      <c r="I38" s="4" t="n">
        <v>250000</v>
      </c>
      <c r="J38" s="2" t="n">
        <v>23</v>
      </c>
      <c r="K38" s="2" t="n">
        <v>3</v>
      </c>
      <c r="L38" s="2" t="n">
        <v>0</v>
      </c>
      <c r="M38" s="2" t="n">
        <v>0</v>
      </c>
      <c r="N38" s="4" t="n">
        <v>52000</v>
      </c>
      <c r="O38" s="4" t="n">
        <v>104000</v>
      </c>
      <c r="P38" s="4" t="n">
        <f aca="false">H38+I38</f>
        <v>600000</v>
      </c>
      <c r="Q38" s="4" t="n">
        <f aca="false">N38+O38</f>
        <v>156000</v>
      </c>
      <c r="R38" s="4" t="n">
        <f aca="false">G38+P38-Q38</f>
        <v>5644000</v>
      </c>
      <c r="S38" s="2" t="n">
        <f aca="false">DATEDIF(E38,$Y$1,"y")</f>
        <v>3</v>
      </c>
      <c r="T38" s="2" t="str">
        <f aca="false">IF(S38&gt;=5,"Senior",IF(S38&gt;=1,"Menengah","Baru"))</f>
        <v>Menengah</v>
      </c>
      <c r="U38" s="9" t="n">
        <f aca="false">J38/(J38+K38+L38+M38)*100</f>
        <v>88.4615384615385</v>
      </c>
      <c r="V38" s="2" t="str">
        <f aca="false">IF(U38&gt;=95,"Baik",IF(U38&gt;=85,"Cukup","Perlu Perhatian"))</f>
        <v>Cukup</v>
      </c>
    </row>
    <row r="39" customFormat="false" ht="15" hidden="false" customHeight="false" outlineLevel="0" collapsed="false">
      <c r="A39" s="2" t="s">
        <v>155</v>
      </c>
      <c r="B39" s="2" t="s">
        <v>156</v>
      </c>
      <c r="C39" s="2" t="s">
        <v>47</v>
      </c>
      <c r="D39" s="2" t="s">
        <v>117</v>
      </c>
      <c r="E39" s="3" t="s">
        <v>157</v>
      </c>
      <c r="F39" s="2" t="s">
        <v>20</v>
      </c>
      <c r="G39" s="4" t="n">
        <v>6500000</v>
      </c>
      <c r="H39" s="4" t="n">
        <v>400000</v>
      </c>
      <c r="I39" s="4" t="n">
        <v>300000</v>
      </c>
      <c r="J39" s="2" t="n">
        <v>23</v>
      </c>
      <c r="K39" s="2" t="n">
        <v>0</v>
      </c>
      <c r="L39" s="2" t="n">
        <v>2</v>
      </c>
      <c r="M39" s="2" t="n">
        <v>0</v>
      </c>
      <c r="N39" s="4" t="n">
        <v>65000</v>
      </c>
      <c r="O39" s="4" t="n">
        <v>130000</v>
      </c>
      <c r="P39" s="4" t="n">
        <f aca="false">H39+I39</f>
        <v>700000</v>
      </c>
      <c r="Q39" s="4" t="n">
        <f aca="false">N39+O39</f>
        <v>195000</v>
      </c>
      <c r="R39" s="4" t="n">
        <f aca="false">G39+P39-Q39</f>
        <v>7005000</v>
      </c>
      <c r="S39" s="2" t="n">
        <f aca="false">DATEDIF(E39,$Y$1,"y")</f>
        <v>2</v>
      </c>
      <c r="T39" s="2" t="str">
        <f aca="false">IF(S39&gt;=5,"Senior",IF(S39&gt;=1,"Menengah","Baru"))</f>
        <v>Menengah</v>
      </c>
      <c r="U39" s="9" t="n">
        <f aca="false">J39/(J39+K39+L39+M39)*100</f>
        <v>92</v>
      </c>
      <c r="V39" s="2" t="str">
        <f aca="false">IF(U39&gt;=95,"Baik",IF(U39&gt;=85,"Cukup","Perlu Perhatian"))</f>
        <v>Cukup</v>
      </c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62</v>
      </c>
      <c r="D40" s="2" t="s">
        <v>63</v>
      </c>
      <c r="E40" s="3" t="s">
        <v>160</v>
      </c>
      <c r="F40" s="2" t="s">
        <v>26</v>
      </c>
      <c r="G40" s="4" t="n">
        <v>9500000</v>
      </c>
      <c r="H40" s="4" t="n">
        <v>300000</v>
      </c>
      <c r="I40" s="4" t="n">
        <v>250000</v>
      </c>
      <c r="J40" s="2" t="n">
        <v>21</v>
      </c>
      <c r="K40" s="2" t="n">
        <v>3</v>
      </c>
      <c r="L40" s="2" t="n">
        <v>1</v>
      </c>
      <c r="M40" s="2" t="n">
        <v>0</v>
      </c>
      <c r="N40" s="4" t="n">
        <v>95000</v>
      </c>
      <c r="O40" s="4" t="n">
        <v>190000</v>
      </c>
      <c r="P40" s="4" t="n">
        <f aca="false">H40+I40</f>
        <v>550000</v>
      </c>
      <c r="Q40" s="4" t="n">
        <f aca="false">N40+O40</f>
        <v>285000</v>
      </c>
      <c r="R40" s="4" t="n">
        <f aca="false">G40+P40-Q40</f>
        <v>9765000</v>
      </c>
      <c r="S40" s="2" t="n">
        <f aca="false">DATEDIF(E40,$Y$1,"y")</f>
        <v>2</v>
      </c>
      <c r="T40" s="2" t="str">
        <f aca="false">IF(S40&gt;=5,"Senior",IF(S40&gt;=1,"Menengah","Baru"))</f>
        <v>Menengah</v>
      </c>
      <c r="U40" s="9" t="n">
        <f aca="false">J40/(J40+K40+L40+M40)*100</f>
        <v>84</v>
      </c>
      <c r="V40" s="2" t="str">
        <f aca="false">IF(U40&gt;=95,"Baik",IF(U40&gt;=85,"Cukup","Perlu Perhatian"))</f>
        <v>Perlu Perhatian</v>
      </c>
    </row>
    <row r="41" customFormat="false" ht="15" hidden="false" customHeight="false" outlineLevel="0" collapsed="false">
      <c r="A41" s="2" t="s">
        <v>161</v>
      </c>
      <c r="B41" s="2" t="s">
        <v>162</v>
      </c>
      <c r="C41" s="2" t="s">
        <v>17</v>
      </c>
      <c r="D41" s="2" t="s">
        <v>82</v>
      </c>
      <c r="E41" s="3" t="s">
        <v>163</v>
      </c>
      <c r="F41" s="2" t="s">
        <v>26</v>
      </c>
      <c r="G41" s="4" t="n">
        <v>5800000</v>
      </c>
      <c r="H41" s="4" t="n">
        <v>350000</v>
      </c>
      <c r="I41" s="4" t="n">
        <v>250000</v>
      </c>
      <c r="J41" s="2" t="n">
        <v>21</v>
      </c>
      <c r="K41" s="2" t="n">
        <v>2</v>
      </c>
      <c r="L41" s="2" t="n">
        <v>3</v>
      </c>
      <c r="M41" s="2" t="n">
        <v>0</v>
      </c>
      <c r="N41" s="4" t="n">
        <v>58000</v>
      </c>
      <c r="O41" s="4" t="n">
        <v>116000</v>
      </c>
      <c r="P41" s="4" t="n">
        <f aca="false">H41+I41</f>
        <v>600000</v>
      </c>
      <c r="Q41" s="4" t="n">
        <f aca="false">N41+O41</f>
        <v>174000</v>
      </c>
      <c r="R41" s="4" t="n">
        <f aca="false">G41+P41-Q41</f>
        <v>6226000</v>
      </c>
      <c r="S41" s="2" t="n">
        <f aca="false">DATEDIF(E41,$Y$1,"y")</f>
        <v>1</v>
      </c>
      <c r="T41" s="2" t="str">
        <f aca="false">IF(S41&gt;=5,"Senior",IF(S41&gt;=1,"Menengah","Baru"))</f>
        <v>Menengah</v>
      </c>
      <c r="U41" s="9" t="n">
        <f aca="false">J41/(J41+K41+L41+M41)*100</f>
        <v>80.7692307692308</v>
      </c>
      <c r="V41" s="2" t="str">
        <f aca="false">IF(U41&gt;=95,"Baik",IF(U41&gt;=85,"Cukup","Perlu Perhatian"))</f>
        <v>Perlu Perhatian</v>
      </c>
    </row>
    <row r="42" customFormat="false" ht="15" hidden="false" customHeight="false" outlineLevel="0" collapsed="false">
      <c r="A42" s="2" t="s">
        <v>164</v>
      </c>
      <c r="B42" s="2" t="s">
        <v>165</v>
      </c>
      <c r="C42" s="2" t="s">
        <v>47</v>
      </c>
      <c r="D42" s="2" t="s">
        <v>113</v>
      </c>
      <c r="E42" s="3" t="s">
        <v>166</v>
      </c>
      <c r="F42" s="2" t="s">
        <v>26</v>
      </c>
      <c r="G42" s="4" t="n">
        <v>4800000</v>
      </c>
      <c r="H42" s="4" t="n">
        <v>400000</v>
      </c>
      <c r="I42" s="4" t="n">
        <v>250000</v>
      </c>
      <c r="J42" s="2" t="n">
        <v>20</v>
      </c>
      <c r="K42" s="2" t="n">
        <v>2</v>
      </c>
      <c r="L42" s="2" t="n">
        <v>0</v>
      </c>
      <c r="M42" s="2" t="n">
        <v>2</v>
      </c>
      <c r="N42" s="4" t="n">
        <v>48000</v>
      </c>
      <c r="O42" s="4" t="n">
        <v>96000</v>
      </c>
      <c r="P42" s="4" t="n">
        <f aca="false">H42+I42</f>
        <v>650000</v>
      </c>
      <c r="Q42" s="4" t="n">
        <f aca="false">N42+O42</f>
        <v>144000</v>
      </c>
      <c r="R42" s="4" t="n">
        <f aca="false">G42+P42-Q42</f>
        <v>5306000</v>
      </c>
      <c r="S42" s="2" t="n">
        <f aca="false">DATEDIF(E42,$Y$1,"y")</f>
        <v>2</v>
      </c>
      <c r="T42" s="2" t="str">
        <f aca="false">IF(S42&gt;=5,"Senior",IF(S42&gt;=1,"Menengah","Baru"))</f>
        <v>Menengah</v>
      </c>
      <c r="U42" s="9" t="n">
        <f aca="false">J42/(J42+K42+L42+M42)*100</f>
        <v>83.3333333333333</v>
      </c>
      <c r="V42" s="2" t="str">
        <f aca="false">IF(U42&gt;=95,"Baik",IF(U42&gt;=85,"Cukup","Perlu Perhatian"))</f>
        <v>Perlu Perhatian</v>
      </c>
    </row>
    <row r="43" customFormat="false" ht="15" hidden="false" customHeight="false" outlineLevel="0" collapsed="false">
      <c r="A43" s="2" t="s">
        <v>167</v>
      </c>
      <c r="B43" s="2" t="s">
        <v>168</v>
      </c>
      <c r="C43" s="2" t="s">
        <v>47</v>
      </c>
      <c r="D43" s="2" t="s">
        <v>48</v>
      </c>
      <c r="E43" s="3" t="s">
        <v>169</v>
      </c>
      <c r="F43" s="2" t="s">
        <v>20</v>
      </c>
      <c r="G43" s="4" t="n">
        <v>5200000</v>
      </c>
      <c r="H43" s="4" t="n">
        <v>350000</v>
      </c>
      <c r="I43" s="4" t="n">
        <v>330000</v>
      </c>
      <c r="J43" s="2" t="n">
        <v>24</v>
      </c>
      <c r="K43" s="2" t="n">
        <v>0</v>
      </c>
      <c r="L43" s="2" t="n">
        <v>3</v>
      </c>
      <c r="M43" s="2" t="n">
        <v>0</v>
      </c>
      <c r="N43" s="4" t="n">
        <v>52000</v>
      </c>
      <c r="O43" s="4" t="n">
        <v>104000</v>
      </c>
      <c r="P43" s="4" t="n">
        <f aca="false">H43+I43</f>
        <v>680000</v>
      </c>
      <c r="Q43" s="4" t="n">
        <f aca="false">N43+O43</f>
        <v>156000</v>
      </c>
      <c r="R43" s="4" t="n">
        <f aca="false">G43+P43-Q43</f>
        <v>5724000</v>
      </c>
      <c r="S43" s="2" t="n">
        <f aca="false">DATEDIF(E43,$Y$1,"y")</f>
        <v>5</v>
      </c>
      <c r="T43" s="2" t="str">
        <f aca="false">IF(S43&gt;=5,"Senior",IF(S43&gt;=1,"Menengah","Baru"))</f>
        <v>Senior</v>
      </c>
      <c r="U43" s="9" t="n">
        <f aca="false">J43/(J43+K43+L43+M43)*100</f>
        <v>88.8888888888889</v>
      </c>
      <c r="V43" s="2" t="str">
        <f aca="false">IF(U43&gt;=95,"Baik",IF(U43&gt;=85,"Cukup","Perlu Perhatian"))</f>
        <v>Cukup</v>
      </c>
    </row>
    <row r="44" customFormat="false" ht="15" hidden="false" customHeight="false" outlineLevel="0" collapsed="false">
      <c r="A44" s="2" t="s">
        <v>170</v>
      </c>
      <c r="B44" s="2" t="s">
        <v>171</v>
      </c>
      <c r="C44" s="2" t="s">
        <v>47</v>
      </c>
      <c r="D44" s="2" t="s">
        <v>113</v>
      </c>
      <c r="E44" s="3" t="s">
        <v>172</v>
      </c>
      <c r="F44" s="2" t="s">
        <v>26</v>
      </c>
      <c r="G44" s="4" t="n">
        <v>5200000</v>
      </c>
      <c r="H44" s="4" t="n">
        <v>300000</v>
      </c>
      <c r="I44" s="4" t="n">
        <v>330000</v>
      </c>
      <c r="J44" s="2" t="n">
        <v>23</v>
      </c>
      <c r="K44" s="2" t="n">
        <v>0</v>
      </c>
      <c r="L44" s="2" t="n">
        <v>0</v>
      </c>
      <c r="M44" s="2" t="n">
        <v>1</v>
      </c>
      <c r="N44" s="4" t="n">
        <v>52000</v>
      </c>
      <c r="O44" s="4" t="n">
        <v>104000</v>
      </c>
      <c r="P44" s="4" t="n">
        <f aca="false">H44+I44</f>
        <v>630000</v>
      </c>
      <c r="Q44" s="4" t="n">
        <f aca="false">N44+O44</f>
        <v>156000</v>
      </c>
      <c r="R44" s="4" t="n">
        <f aca="false">G44+P44-Q44</f>
        <v>5674000</v>
      </c>
      <c r="S44" s="2" t="n">
        <f aca="false">DATEDIF(E44,$Y$1,"y")</f>
        <v>3</v>
      </c>
      <c r="T44" s="2" t="str">
        <f aca="false">IF(S44&gt;=5,"Senior",IF(S44&gt;=1,"Menengah","Baru"))</f>
        <v>Menengah</v>
      </c>
      <c r="U44" s="9" t="n">
        <f aca="false">J44/(J44+K44+L44+M44)*100</f>
        <v>95.8333333333333</v>
      </c>
      <c r="V44" s="2" t="str">
        <f aca="false">IF(U44&gt;=95,"Baik",IF(U44&gt;=85,"Cukup","Perlu Perhatian"))</f>
        <v>Baik</v>
      </c>
    </row>
    <row r="45" customFormat="false" ht="15" hidden="false" customHeight="false" outlineLevel="0" collapsed="false">
      <c r="A45" s="2" t="s">
        <v>173</v>
      </c>
      <c r="B45" s="2" t="s">
        <v>174</v>
      </c>
      <c r="C45" s="2" t="s">
        <v>57</v>
      </c>
      <c r="D45" s="2" t="s">
        <v>58</v>
      </c>
      <c r="E45" s="3" t="s">
        <v>175</v>
      </c>
      <c r="F45" s="2" t="s">
        <v>26</v>
      </c>
      <c r="G45" s="4" t="n">
        <v>9500000</v>
      </c>
      <c r="H45" s="4" t="n">
        <v>300000</v>
      </c>
      <c r="I45" s="4" t="n">
        <v>250000</v>
      </c>
      <c r="J45" s="2" t="n">
        <v>21</v>
      </c>
      <c r="K45" s="2" t="n">
        <v>1</v>
      </c>
      <c r="L45" s="2" t="n">
        <v>3</v>
      </c>
      <c r="M45" s="2" t="n">
        <v>0</v>
      </c>
      <c r="N45" s="4" t="n">
        <v>95000</v>
      </c>
      <c r="O45" s="4" t="n">
        <v>190000</v>
      </c>
      <c r="P45" s="4" t="n">
        <f aca="false">H45+I45</f>
        <v>550000</v>
      </c>
      <c r="Q45" s="4" t="n">
        <f aca="false">N45+O45</f>
        <v>285000</v>
      </c>
      <c r="R45" s="4" t="n">
        <f aca="false">G45+P45-Q45</f>
        <v>9765000</v>
      </c>
      <c r="S45" s="2" t="n">
        <f aca="false">DATEDIF(E45,$Y$1,"y")</f>
        <v>1</v>
      </c>
      <c r="T45" s="2" t="str">
        <f aca="false">IF(S45&gt;=5,"Senior",IF(S45&gt;=1,"Menengah","Baru"))</f>
        <v>Menengah</v>
      </c>
      <c r="U45" s="9" t="n">
        <f aca="false">J45/(J45+K45+L45+M45)*100</f>
        <v>84</v>
      </c>
      <c r="V45" s="2" t="str">
        <f aca="false">IF(U45&gt;=95,"Baik",IF(U45&gt;=85,"Cukup","Perlu Perhatian"))</f>
        <v>Perlu Perhatian</v>
      </c>
    </row>
    <row r="46" customFormat="false" ht="15" hidden="false" customHeight="false" outlineLevel="0" collapsed="false">
      <c r="A46" s="2" t="s">
        <v>176</v>
      </c>
      <c r="B46" s="2" t="s">
        <v>156</v>
      </c>
      <c r="C46" s="2" t="s">
        <v>68</v>
      </c>
      <c r="D46" s="2" t="s">
        <v>177</v>
      </c>
      <c r="E46" s="3" t="s">
        <v>178</v>
      </c>
      <c r="F46" s="2" t="s">
        <v>26</v>
      </c>
      <c r="G46" s="4" t="n">
        <v>9500000</v>
      </c>
      <c r="H46" s="4" t="n">
        <v>350000</v>
      </c>
      <c r="I46" s="4" t="n">
        <v>330000</v>
      </c>
      <c r="J46" s="2" t="n">
        <v>21</v>
      </c>
      <c r="K46" s="2" t="n">
        <v>1</v>
      </c>
      <c r="L46" s="2" t="n">
        <v>3</v>
      </c>
      <c r="M46" s="2" t="n">
        <v>0</v>
      </c>
      <c r="N46" s="4" t="n">
        <v>95000</v>
      </c>
      <c r="O46" s="4" t="n">
        <v>190000</v>
      </c>
      <c r="P46" s="4" t="n">
        <f aca="false">H46+I46</f>
        <v>680000</v>
      </c>
      <c r="Q46" s="4" t="n">
        <f aca="false">N46+O46</f>
        <v>285000</v>
      </c>
      <c r="R46" s="4" t="n">
        <f aca="false">G46+P46-Q46</f>
        <v>9895000</v>
      </c>
      <c r="S46" s="2" t="n">
        <f aca="false">DATEDIF(E46,$Y$1,"y")</f>
        <v>0</v>
      </c>
      <c r="T46" s="2" t="str">
        <f aca="false">IF(S46&gt;=5,"Senior",IF(S46&gt;=1,"Menengah","Baru"))</f>
        <v>Baru</v>
      </c>
      <c r="U46" s="9" t="n">
        <f aca="false">J46/(J46+K46+L46+M46)*100</f>
        <v>84</v>
      </c>
      <c r="V46" s="2" t="str">
        <f aca="false">IF(U46&gt;=95,"Baik",IF(U46&gt;=85,"Cukup","Perlu Perhatian"))</f>
        <v>Perlu Perhatian</v>
      </c>
    </row>
    <row r="47" customFormat="false" ht="15" hidden="false" customHeight="false" outlineLevel="0" collapsed="false">
      <c r="A47" s="2" t="s">
        <v>179</v>
      </c>
      <c r="B47" s="2" t="s">
        <v>180</v>
      </c>
      <c r="C47" s="2" t="s">
        <v>47</v>
      </c>
      <c r="D47" s="2" t="s">
        <v>113</v>
      </c>
      <c r="E47" s="3" t="s">
        <v>181</v>
      </c>
      <c r="F47" s="2" t="s">
        <v>26</v>
      </c>
      <c r="G47" s="4" t="n">
        <v>9500000</v>
      </c>
      <c r="H47" s="4" t="n">
        <v>350000</v>
      </c>
      <c r="I47" s="4" t="n">
        <v>330000</v>
      </c>
      <c r="J47" s="2" t="n">
        <v>19</v>
      </c>
      <c r="K47" s="2" t="n">
        <v>2</v>
      </c>
      <c r="L47" s="2" t="n">
        <v>3</v>
      </c>
      <c r="M47" s="2" t="n">
        <v>0</v>
      </c>
      <c r="N47" s="4" t="n">
        <v>95000</v>
      </c>
      <c r="O47" s="4" t="n">
        <v>190000</v>
      </c>
      <c r="P47" s="4" t="n">
        <f aca="false">H47+I47</f>
        <v>680000</v>
      </c>
      <c r="Q47" s="4" t="n">
        <f aca="false">N47+O47</f>
        <v>285000</v>
      </c>
      <c r="R47" s="4" t="n">
        <f aca="false">G47+P47-Q47</f>
        <v>9895000</v>
      </c>
      <c r="S47" s="2" t="n">
        <f aca="false">DATEDIF(E47,$Y$1,"y")</f>
        <v>4</v>
      </c>
      <c r="T47" s="2" t="str">
        <f aca="false">IF(S47&gt;=5,"Senior",IF(S47&gt;=1,"Menengah","Baru"))</f>
        <v>Menengah</v>
      </c>
      <c r="U47" s="9" t="n">
        <f aca="false">J47/(J47+K47+L47+M47)*100</f>
        <v>79.1666666666667</v>
      </c>
      <c r="V47" s="2" t="str">
        <f aca="false">IF(U47&gt;=95,"Baik",IF(U47&gt;=85,"Cukup","Perlu Perhatian"))</f>
        <v>Perlu Perhatian</v>
      </c>
    </row>
    <row r="48" customFormat="false" ht="15" hidden="false" customHeight="false" outlineLevel="0" collapsed="false">
      <c r="A48" s="2" t="s">
        <v>182</v>
      </c>
      <c r="B48" s="2" t="s">
        <v>183</v>
      </c>
      <c r="C48" s="2" t="s">
        <v>47</v>
      </c>
      <c r="D48" s="2" t="s">
        <v>117</v>
      </c>
      <c r="E48" s="3" t="s">
        <v>184</v>
      </c>
      <c r="F48" s="2" t="s">
        <v>20</v>
      </c>
      <c r="G48" s="4" t="n">
        <v>9500000</v>
      </c>
      <c r="H48" s="4" t="n">
        <v>300000</v>
      </c>
      <c r="I48" s="4" t="n">
        <v>250000</v>
      </c>
      <c r="J48" s="2" t="n">
        <v>19</v>
      </c>
      <c r="K48" s="2" t="n">
        <v>1</v>
      </c>
      <c r="L48" s="2" t="n">
        <v>3</v>
      </c>
      <c r="M48" s="2" t="n">
        <v>1</v>
      </c>
      <c r="N48" s="4" t="n">
        <v>95000</v>
      </c>
      <c r="O48" s="4" t="n">
        <v>190000</v>
      </c>
      <c r="P48" s="4" t="n">
        <f aca="false">H48+I48</f>
        <v>550000</v>
      </c>
      <c r="Q48" s="4" t="n">
        <f aca="false">N48+O48</f>
        <v>285000</v>
      </c>
      <c r="R48" s="4" t="n">
        <f aca="false">G48+P48-Q48</f>
        <v>9765000</v>
      </c>
      <c r="S48" s="2" t="n">
        <f aca="false">DATEDIF(E48,$Y$1,"y")</f>
        <v>3</v>
      </c>
      <c r="T48" s="2" t="str">
        <f aca="false">IF(S48&gt;=5,"Senior",IF(S48&gt;=1,"Menengah","Baru"))</f>
        <v>Menengah</v>
      </c>
      <c r="U48" s="9" t="n">
        <f aca="false">J48/(J48+K48+L48+M48)*100</f>
        <v>79.1666666666667</v>
      </c>
      <c r="V48" s="2" t="str">
        <f aca="false">IF(U48&gt;=95,"Baik",IF(U48&gt;=85,"Cukup","Perlu Perhatian"))</f>
        <v>Perlu Perhatian</v>
      </c>
    </row>
    <row r="49" customFormat="false" ht="15" hidden="false" customHeight="false" outlineLevel="0" collapsed="false">
      <c r="A49" s="2" t="s">
        <v>185</v>
      </c>
      <c r="B49" s="2" t="s">
        <v>186</v>
      </c>
      <c r="C49" s="2" t="s">
        <v>23</v>
      </c>
      <c r="D49" s="2" t="s">
        <v>32</v>
      </c>
      <c r="E49" s="3" t="s">
        <v>187</v>
      </c>
      <c r="F49" s="2" t="s">
        <v>20</v>
      </c>
      <c r="G49" s="4" t="n">
        <v>8500000</v>
      </c>
      <c r="H49" s="4" t="n">
        <v>350000</v>
      </c>
      <c r="I49" s="4" t="n">
        <v>250000</v>
      </c>
      <c r="J49" s="2" t="n">
        <v>19</v>
      </c>
      <c r="K49" s="2" t="n">
        <v>3</v>
      </c>
      <c r="L49" s="2" t="n">
        <v>3</v>
      </c>
      <c r="M49" s="2" t="n">
        <v>0</v>
      </c>
      <c r="N49" s="4" t="n">
        <v>85000</v>
      </c>
      <c r="O49" s="4" t="n">
        <v>170000</v>
      </c>
      <c r="P49" s="4" t="n">
        <f aca="false">H49+I49</f>
        <v>600000</v>
      </c>
      <c r="Q49" s="4" t="n">
        <f aca="false">N49+O49</f>
        <v>255000</v>
      </c>
      <c r="R49" s="4" t="n">
        <f aca="false">G49+P49-Q49</f>
        <v>8845000</v>
      </c>
      <c r="S49" s="2" t="n">
        <f aca="false">DATEDIF(E49,$Y$1,"y")</f>
        <v>2</v>
      </c>
      <c r="T49" s="2" t="str">
        <f aca="false">IF(S49&gt;=5,"Senior",IF(S49&gt;=1,"Menengah","Baru"))</f>
        <v>Menengah</v>
      </c>
      <c r="U49" s="9" t="n">
        <f aca="false">J49/(J49+K49+L49+M49)*100</f>
        <v>76</v>
      </c>
      <c r="V49" s="2" t="str">
        <f aca="false">IF(U49&gt;=95,"Baik",IF(U49&gt;=85,"Cukup","Perlu Perhatian"))</f>
        <v>Perlu Perhatian</v>
      </c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62</v>
      </c>
      <c r="D50" s="2" t="s">
        <v>63</v>
      </c>
      <c r="E50" s="3" t="s">
        <v>190</v>
      </c>
      <c r="F50" s="2" t="s">
        <v>65</v>
      </c>
      <c r="G50" s="4" t="n">
        <v>5800000</v>
      </c>
      <c r="H50" s="4" t="n">
        <v>350000</v>
      </c>
      <c r="I50" s="4" t="n">
        <v>300000</v>
      </c>
      <c r="J50" s="2" t="n">
        <v>22</v>
      </c>
      <c r="K50" s="2" t="n">
        <v>1</v>
      </c>
      <c r="L50" s="2" t="n">
        <v>3</v>
      </c>
      <c r="M50" s="2" t="n">
        <v>0</v>
      </c>
      <c r="N50" s="4" t="n">
        <v>58000</v>
      </c>
      <c r="O50" s="4" t="n">
        <v>116000</v>
      </c>
      <c r="P50" s="4" t="n">
        <f aca="false">H50+I50</f>
        <v>650000</v>
      </c>
      <c r="Q50" s="4" t="n">
        <f aca="false">N50+O50</f>
        <v>174000</v>
      </c>
      <c r="R50" s="4" t="n">
        <f aca="false">G50+P50-Q50</f>
        <v>6276000</v>
      </c>
      <c r="S50" s="2" t="n">
        <f aca="false">DATEDIF(E50,$Y$1,"y")</f>
        <v>7</v>
      </c>
      <c r="T50" s="2" t="str">
        <f aca="false">IF(S50&gt;=5,"Senior",IF(S50&gt;=1,"Menengah","Baru"))</f>
        <v>Senior</v>
      </c>
      <c r="U50" s="9" t="n">
        <f aca="false">J50/(J50+K50+L50+M50)*100</f>
        <v>84.6153846153846</v>
      </c>
      <c r="V50" s="2" t="str">
        <f aca="false">IF(U50&gt;=95,"Baik",IF(U50&gt;=85,"Cukup","Perlu Perhatian"))</f>
        <v>Perlu Perhatian</v>
      </c>
    </row>
    <row r="51" customFormat="false" ht="15" hidden="false" customHeight="false" outlineLevel="0" collapsed="false">
      <c r="A51" s="2" t="s">
        <v>191</v>
      </c>
      <c r="B51" s="2" t="s">
        <v>192</v>
      </c>
      <c r="C51" s="2" t="s">
        <v>62</v>
      </c>
      <c r="D51" s="2" t="s">
        <v>63</v>
      </c>
      <c r="E51" s="3" t="s">
        <v>193</v>
      </c>
      <c r="F51" s="2" t="s">
        <v>26</v>
      </c>
      <c r="G51" s="4" t="n">
        <v>7200000</v>
      </c>
      <c r="H51" s="4" t="n">
        <v>400000</v>
      </c>
      <c r="I51" s="4" t="n">
        <v>250000</v>
      </c>
      <c r="J51" s="2" t="n">
        <v>24</v>
      </c>
      <c r="K51" s="2" t="n">
        <v>3</v>
      </c>
      <c r="L51" s="2" t="n">
        <v>1</v>
      </c>
      <c r="M51" s="2" t="n">
        <v>0</v>
      </c>
      <c r="N51" s="4" t="n">
        <v>72000</v>
      </c>
      <c r="O51" s="4" t="n">
        <v>144000</v>
      </c>
      <c r="P51" s="4" t="n">
        <f aca="false">H51+I51</f>
        <v>650000</v>
      </c>
      <c r="Q51" s="4" t="n">
        <f aca="false">N51+O51</f>
        <v>216000</v>
      </c>
      <c r="R51" s="4" t="n">
        <f aca="false">G51+P51-Q51</f>
        <v>7634000</v>
      </c>
      <c r="S51" s="2" t="n">
        <f aca="false">DATEDIF(E51,$Y$1,"y")</f>
        <v>7</v>
      </c>
      <c r="T51" s="2" t="str">
        <f aca="false">IF(S51&gt;=5,"Senior",IF(S51&gt;=1,"Menengah","Baru"))</f>
        <v>Senior</v>
      </c>
      <c r="U51" s="9" t="n">
        <f aca="false">J51/(J51+K51+L51+M51)*100</f>
        <v>85.7142857142857</v>
      </c>
      <c r="V51" s="2" t="str">
        <f aca="false">IF(U51&gt;=95,"Baik",IF(U51&gt;=85,"Cukup","Perlu Perhatian"))</f>
        <v>Cukup</v>
      </c>
    </row>
    <row r="52" customFormat="false" ht="15" hidden="false" customHeight="false" outlineLevel="0" collapsed="false">
      <c r="A52" s="2" t="s">
        <v>194</v>
      </c>
      <c r="B52" s="2" t="s">
        <v>195</v>
      </c>
      <c r="C52" s="2" t="s">
        <v>196</v>
      </c>
      <c r="D52" s="2" t="s">
        <v>197</v>
      </c>
      <c r="E52" s="3" t="s">
        <v>198</v>
      </c>
      <c r="F52" s="2" t="s">
        <v>26</v>
      </c>
      <c r="G52" s="4" t="n">
        <v>4200000</v>
      </c>
      <c r="H52" s="4" t="n">
        <v>300000</v>
      </c>
      <c r="I52" s="4" t="n">
        <v>330000</v>
      </c>
      <c r="J52" s="2" t="n">
        <v>21</v>
      </c>
      <c r="K52" s="2" t="n">
        <v>1</v>
      </c>
      <c r="L52" s="2" t="n">
        <v>3</v>
      </c>
      <c r="M52" s="2" t="n">
        <v>0</v>
      </c>
      <c r="N52" s="4" t="n">
        <v>42000</v>
      </c>
      <c r="O52" s="4" t="n">
        <v>84000</v>
      </c>
      <c r="P52" s="4" t="n">
        <f aca="false">H52+I52</f>
        <v>630000</v>
      </c>
      <c r="Q52" s="4" t="n">
        <f aca="false">N52+O52</f>
        <v>126000</v>
      </c>
      <c r="R52" s="4" t="n">
        <f aca="false">G52+P52-Q52</f>
        <v>4704000</v>
      </c>
      <c r="S52" s="2" t="n">
        <f aca="false">DATEDIF(E52,$Y$1,"y")</f>
        <v>0</v>
      </c>
      <c r="T52" s="2" t="str">
        <f aca="false">IF(S52&gt;=5,"Senior",IF(S52&gt;=1,"Menengah","Baru"))</f>
        <v>Baru</v>
      </c>
      <c r="U52" s="9" t="n">
        <f aca="false">J52/(J52+K52+L52+M52)*100</f>
        <v>84</v>
      </c>
      <c r="V52" s="2" t="str">
        <f aca="false">IF(U52&gt;=95,"Baik",IF(U52&gt;=85,"Cukup","Perlu Perhatian"))</f>
        <v>Perlu Perhatian</v>
      </c>
    </row>
    <row r="53" customFormat="false" ht="15" hidden="false" customHeight="false" outlineLevel="0" collapsed="false">
      <c r="A53" s="2" t="s">
        <v>199</v>
      </c>
      <c r="B53" s="2" t="s">
        <v>200</v>
      </c>
      <c r="C53" s="2" t="s">
        <v>17</v>
      </c>
      <c r="D53" s="2" t="s">
        <v>82</v>
      </c>
      <c r="E53" s="3" t="s">
        <v>201</v>
      </c>
      <c r="F53" s="2" t="s">
        <v>20</v>
      </c>
      <c r="G53" s="4" t="n">
        <v>6500000</v>
      </c>
      <c r="H53" s="4" t="n">
        <v>350000</v>
      </c>
      <c r="I53" s="4" t="n">
        <v>300000</v>
      </c>
      <c r="J53" s="2" t="n">
        <v>20</v>
      </c>
      <c r="K53" s="2" t="n">
        <v>3</v>
      </c>
      <c r="L53" s="2" t="n">
        <v>2</v>
      </c>
      <c r="M53" s="2" t="n">
        <v>0</v>
      </c>
      <c r="N53" s="4" t="n">
        <v>65000</v>
      </c>
      <c r="O53" s="4" t="n">
        <v>130000</v>
      </c>
      <c r="P53" s="4" t="n">
        <f aca="false">H53+I53</f>
        <v>650000</v>
      </c>
      <c r="Q53" s="4" t="n">
        <f aca="false">N53+O53</f>
        <v>195000</v>
      </c>
      <c r="R53" s="4" t="n">
        <f aca="false">G53+P53-Q53</f>
        <v>6955000</v>
      </c>
      <c r="S53" s="2" t="n">
        <f aca="false">DATEDIF(E53,$Y$1,"y")</f>
        <v>3</v>
      </c>
      <c r="T53" s="2" t="str">
        <f aca="false">IF(S53&gt;=5,"Senior",IF(S53&gt;=1,"Menengah","Baru"))</f>
        <v>Menengah</v>
      </c>
      <c r="U53" s="9" t="n">
        <f aca="false">J53/(J53+K53+L53+M53)*100</f>
        <v>80</v>
      </c>
      <c r="V53" s="2" t="str">
        <f aca="false">IF(U53&gt;=95,"Baik",IF(U53&gt;=85,"Cukup","Perlu Perhatian"))</f>
        <v>Perlu Perhatian</v>
      </c>
    </row>
    <row r="54" customFormat="false" ht="15" hidden="false" customHeight="false" outlineLevel="0" collapsed="false">
      <c r="A54" s="2" t="s">
        <v>202</v>
      </c>
      <c r="B54" s="2" t="s">
        <v>203</v>
      </c>
      <c r="C54" s="2" t="s">
        <v>196</v>
      </c>
      <c r="D54" s="2" t="s">
        <v>204</v>
      </c>
      <c r="E54" s="3" t="s">
        <v>205</v>
      </c>
      <c r="F54" s="2" t="s">
        <v>20</v>
      </c>
      <c r="G54" s="4" t="n">
        <v>6500000</v>
      </c>
      <c r="H54" s="4" t="n">
        <v>300000</v>
      </c>
      <c r="I54" s="4" t="n">
        <v>330000</v>
      </c>
      <c r="J54" s="2" t="n">
        <v>18</v>
      </c>
      <c r="K54" s="2" t="n">
        <v>0</v>
      </c>
      <c r="L54" s="2" t="n">
        <v>0</v>
      </c>
      <c r="M54" s="2" t="n">
        <v>6</v>
      </c>
      <c r="N54" s="4" t="n">
        <v>65000</v>
      </c>
      <c r="O54" s="4" t="n">
        <v>130000</v>
      </c>
      <c r="P54" s="4" t="n">
        <f aca="false">H54+I54</f>
        <v>630000</v>
      </c>
      <c r="Q54" s="4" t="n">
        <f aca="false">N54+O54</f>
        <v>195000</v>
      </c>
      <c r="R54" s="4" t="n">
        <f aca="false">G54+P54-Q54</f>
        <v>6935000</v>
      </c>
      <c r="S54" s="2" t="n">
        <f aca="false">DATEDIF(E54,$Y$1,"y")</f>
        <v>1</v>
      </c>
      <c r="T54" s="2" t="str">
        <f aca="false">IF(S54&gt;=5,"Senior",IF(S54&gt;=1,"Menengah","Baru"))</f>
        <v>Menengah</v>
      </c>
      <c r="U54" s="9" t="n">
        <f aca="false">J54/(J54+K54+L54+M54)*100</f>
        <v>75</v>
      </c>
      <c r="V54" s="2" t="str">
        <f aca="false">IF(U54&gt;=95,"Baik",IF(U54&gt;=85,"Cukup","Perlu Perhatian"))</f>
        <v>Perlu Perhatian</v>
      </c>
    </row>
    <row r="55" customFormat="false" ht="15" hidden="false" customHeight="false" outlineLevel="0" collapsed="false">
      <c r="A55" s="2" t="s">
        <v>206</v>
      </c>
      <c r="B55" s="2" t="s">
        <v>207</v>
      </c>
      <c r="C55" s="2" t="s">
        <v>196</v>
      </c>
      <c r="D55" s="2" t="s">
        <v>204</v>
      </c>
      <c r="E55" s="3" t="s">
        <v>208</v>
      </c>
      <c r="F55" s="2" t="s">
        <v>20</v>
      </c>
      <c r="G55" s="4" t="n">
        <v>8500000</v>
      </c>
      <c r="H55" s="4" t="n">
        <v>400000</v>
      </c>
      <c r="I55" s="4" t="n">
        <v>250000</v>
      </c>
      <c r="J55" s="2" t="n">
        <v>22</v>
      </c>
      <c r="K55" s="2" t="n">
        <v>1</v>
      </c>
      <c r="L55" s="2" t="n">
        <v>3</v>
      </c>
      <c r="M55" s="2" t="n">
        <v>0</v>
      </c>
      <c r="N55" s="4" t="n">
        <v>85000</v>
      </c>
      <c r="O55" s="4" t="n">
        <v>170000</v>
      </c>
      <c r="P55" s="4" t="n">
        <f aca="false">H55+I55</f>
        <v>650000</v>
      </c>
      <c r="Q55" s="4" t="n">
        <f aca="false">N55+O55</f>
        <v>255000</v>
      </c>
      <c r="R55" s="4" t="n">
        <f aca="false">G55+P55-Q55</f>
        <v>8895000</v>
      </c>
      <c r="S55" s="2" t="n">
        <f aca="false">DATEDIF(E55,$Y$1,"y")</f>
        <v>5</v>
      </c>
      <c r="T55" s="2" t="str">
        <f aca="false">IF(S55&gt;=5,"Senior",IF(S55&gt;=1,"Menengah","Baru"))</f>
        <v>Senior</v>
      </c>
      <c r="U55" s="9" t="n">
        <f aca="false">J55/(J55+K55+L55+M55)*100</f>
        <v>84.6153846153846</v>
      </c>
      <c r="V55" s="2" t="str">
        <f aca="false">IF(U55&gt;=95,"Baik",IF(U55&gt;=85,"Cukup","Perlu Perhatian"))</f>
        <v>Perlu Perhatian</v>
      </c>
    </row>
    <row r="56" customFormat="false" ht="15" hidden="false" customHeight="false" outlineLevel="0" collapsed="false">
      <c r="A56" s="2" t="s">
        <v>209</v>
      </c>
      <c r="B56" s="2" t="s">
        <v>210</v>
      </c>
      <c r="C56" s="2" t="s">
        <v>57</v>
      </c>
      <c r="D56" s="2" t="s">
        <v>58</v>
      </c>
      <c r="E56" s="3" t="s">
        <v>211</v>
      </c>
      <c r="F56" s="2" t="s">
        <v>65</v>
      </c>
      <c r="G56" s="4" t="n">
        <v>4500000</v>
      </c>
      <c r="H56" s="4" t="n">
        <v>300000</v>
      </c>
      <c r="I56" s="4" t="n">
        <v>300000</v>
      </c>
      <c r="J56" s="2" t="n">
        <v>18</v>
      </c>
      <c r="K56" s="2" t="n">
        <v>0</v>
      </c>
      <c r="L56" s="2" t="n">
        <v>2</v>
      </c>
      <c r="M56" s="2" t="n">
        <v>4</v>
      </c>
      <c r="N56" s="4" t="n">
        <v>45000</v>
      </c>
      <c r="O56" s="4" t="n">
        <v>90000</v>
      </c>
      <c r="P56" s="4" t="n">
        <f aca="false">H56+I56</f>
        <v>600000</v>
      </c>
      <c r="Q56" s="4" t="n">
        <f aca="false">N56+O56</f>
        <v>135000</v>
      </c>
      <c r="R56" s="4" t="n">
        <f aca="false">G56+P56-Q56</f>
        <v>4965000</v>
      </c>
      <c r="S56" s="2" t="n">
        <f aca="false">DATEDIF(E56,$Y$1,"y")</f>
        <v>0</v>
      </c>
      <c r="T56" s="2" t="str">
        <f aca="false">IF(S56&gt;=5,"Senior",IF(S56&gt;=1,"Menengah","Baru"))</f>
        <v>Baru</v>
      </c>
      <c r="U56" s="9" t="n">
        <f aca="false">J56/(J56+K56+L56+M56)*100</f>
        <v>75</v>
      </c>
      <c r="V56" s="2" t="str">
        <f aca="false">IF(U56&gt;=95,"Baik",IF(U56&gt;=85,"Cukup","Perlu Perhatian"))</f>
        <v>Perlu Perhatian</v>
      </c>
    </row>
    <row r="57" customFormat="false" ht="15" hidden="false" customHeight="false" outlineLevel="0" collapsed="false">
      <c r="A57" s="2" t="s">
        <v>212</v>
      </c>
      <c r="B57" s="2" t="s">
        <v>213</v>
      </c>
      <c r="C57" s="2" t="s">
        <v>62</v>
      </c>
      <c r="D57" s="2" t="s">
        <v>141</v>
      </c>
      <c r="E57" s="3" t="s">
        <v>214</v>
      </c>
      <c r="F57" s="2" t="s">
        <v>26</v>
      </c>
      <c r="G57" s="4" t="n">
        <v>5200000</v>
      </c>
      <c r="H57" s="4" t="n">
        <v>300000</v>
      </c>
      <c r="I57" s="4" t="n">
        <v>330000</v>
      </c>
      <c r="J57" s="2" t="n">
        <v>24</v>
      </c>
      <c r="K57" s="2" t="n">
        <v>2</v>
      </c>
      <c r="L57" s="2" t="n">
        <v>0</v>
      </c>
      <c r="M57" s="2" t="n">
        <v>0</v>
      </c>
      <c r="N57" s="4" t="n">
        <v>52000</v>
      </c>
      <c r="O57" s="4" t="n">
        <v>104000</v>
      </c>
      <c r="P57" s="4" t="n">
        <f aca="false">H57+I57</f>
        <v>630000</v>
      </c>
      <c r="Q57" s="4" t="n">
        <f aca="false">N57+O57</f>
        <v>156000</v>
      </c>
      <c r="R57" s="4" t="n">
        <f aca="false">G57+P57-Q57</f>
        <v>5674000</v>
      </c>
      <c r="S57" s="2" t="n">
        <f aca="false">DATEDIF(E57,$Y$1,"y")</f>
        <v>6</v>
      </c>
      <c r="T57" s="2" t="str">
        <f aca="false">IF(S57&gt;=5,"Senior",IF(S57&gt;=1,"Menengah","Baru"))</f>
        <v>Senior</v>
      </c>
      <c r="U57" s="9" t="n">
        <f aca="false">J57/(J57+K57+L57+M57)*100</f>
        <v>92.3076923076923</v>
      </c>
      <c r="V57" s="2" t="str">
        <f aca="false">IF(U57&gt;=95,"Baik",IF(U57&gt;=85,"Cukup","Perlu Perhatian"))</f>
        <v>Cukup</v>
      </c>
    </row>
    <row r="58" customFormat="false" ht="15" hidden="false" customHeight="false" outlineLevel="0" collapsed="false">
      <c r="A58" s="2" t="s">
        <v>215</v>
      </c>
      <c r="B58" s="2" t="s">
        <v>216</v>
      </c>
      <c r="C58" s="2" t="s">
        <v>68</v>
      </c>
      <c r="D58" s="2" t="s">
        <v>217</v>
      </c>
      <c r="E58" s="3" t="s">
        <v>218</v>
      </c>
      <c r="F58" s="2" t="s">
        <v>26</v>
      </c>
      <c r="G58" s="4" t="n">
        <v>4500000</v>
      </c>
      <c r="H58" s="4" t="n">
        <v>400000</v>
      </c>
      <c r="I58" s="4" t="n">
        <v>330000</v>
      </c>
      <c r="J58" s="2" t="n">
        <v>20</v>
      </c>
      <c r="K58" s="2" t="n">
        <v>0</v>
      </c>
      <c r="L58" s="2" t="n">
        <v>3</v>
      </c>
      <c r="M58" s="2" t="n">
        <v>1</v>
      </c>
      <c r="N58" s="4" t="n">
        <v>45000</v>
      </c>
      <c r="O58" s="4" t="n">
        <v>90000</v>
      </c>
      <c r="P58" s="4" t="n">
        <f aca="false">H58+I58</f>
        <v>730000</v>
      </c>
      <c r="Q58" s="4" t="n">
        <f aca="false">N58+O58</f>
        <v>135000</v>
      </c>
      <c r="R58" s="4" t="n">
        <f aca="false">G58+P58-Q58</f>
        <v>5095000</v>
      </c>
      <c r="S58" s="2" t="n">
        <f aca="false">DATEDIF(E58,$Y$1,"y")</f>
        <v>2</v>
      </c>
      <c r="T58" s="2" t="str">
        <f aca="false">IF(S58&gt;=5,"Senior",IF(S58&gt;=1,"Menengah","Baru"))</f>
        <v>Menengah</v>
      </c>
      <c r="U58" s="9" t="n">
        <f aca="false">J58/(J58+K58+L58+M58)*100</f>
        <v>83.3333333333333</v>
      </c>
      <c r="V58" s="2" t="str">
        <f aca="false">IF(U58&gt;=95,"Baik",IF(U58&gt;=85,"Cukup","Perlu Perhatian"))</f>
        <v>Perlu Perhatian</v>
      </c>
    </row>
    <row r="59" customFormat="false" ht="15" hidden="false" customHeight="false" outlineLevel="0" collapsed="false">
      <c r="A59" s="2" t="s">
        <v>219</v>
      </c>
      <c r="B59" s="2" t="s">
        <v>220</v>
      </c>
      <c r="C59" s="2" t="s">
        <v>62</v>
      </c>
      <c r="D59" s="2" t="s">
        <v>63</v>
      </c>
      <c r="E59" s="3" t="s">
        <v>221</v>
      </c>
      <c r="F59" s="2" t="s">
        <v>26</v>
      </c>
      <c r="G59" s="4" t="n">
        <v>7200000</v>
      </c>
      <c r="H59" s="4" t="n">
        <v>300000</v>
      </c>
      <c r="I59" s="4" t="n">
        <v>330000</v>
      </c>
      <c r="J59" s="2" t="n">
        <v>22</v>
      </c>
      <c r="K59" s="2" t="n">
        <v>2</v>
      </c>
      <c r="L59" s="2" t="n">
        <v>3</v>
      </c>
      <c r="M59" s="2" t="n">
        <v>0</v>
      </c>
      <c r="N59" s="4" t="n">
        <v>72000</v>
      </c>
      <c r="O59" s="4" t="n">
        <v>144000</v>
      </c>
      <c r="P59" s="4" t="n">
        <f aca="false">H59+I59</f>
        <v>630000</v>
      </c>
      <c r="Q59" s="4" t="n">
        <f aca="false">N59+O59</f>
        <v>216000</v>
      </c>
      <c r="R59" s="4" t="n">
        <f aca="false">G59+P59-Q59</f>
        <v>7614000</v>
      </c>
      <c r="S59" s="2" t="n">
        <f aca="false">DATEDIF(E59,$Y$1,"y")</f>
        <v>2</v>
      </c>
      <c r="T59" s="2" t="str">
        <f aca="false">IF(S59&gt;=5,"Senior",IF(S59&gt;=1,"Menengah","Baru"))</f>
        <v>Menengah</v>
      </c>
      <c r="U59" s="9" t="n">
        <f aca="false">J59/(J59+K59+L59+M59)*100</f>
        <v>81.4814814814815</v>
      </c>
      <c r="V59" s="2" t="str">
        <f aca="false">IF(U59&gt;=95,"Baik",IF(U59&gt;=85,"Cukup","Perlu Perhatian"))</f>
        <v>Perlu Perhatian</v>
      </c>
    </row>
    <row r="60" customFormat="false" ht="15" hidden="false" customHeight="false" outlineLevel="0" collapsed="false">
      <c r="A60" s="2" t="s">
        <v>222</v>
      </c>
      <c r="B60" s="2" t="s">
        <v>223</v>
      </c>
      <c r="C60" s="2" t="s">
        <v>17</v>
      </c>
      <c r="D60" s="2" t="s">
        <v>82</v>
      </c>
      <c r="E60" s="3" t="s">
        <v>224</v>
      </c>
      <c r="F60" s="2" t="s">
        <v>26</v>
      </c>
      <c r="G60" s="4" t="n">
        <v>4500000</v>
      </c>
      <c r="H60" s="4" t="n">
        <v>350000</v>
      </c>
      <c r="I60" s="4" t="n">
        <v>300000</v>
      </c>
      <c r="J60" s="2" t="n">
        <v>19</v>
      </c>
      <c r="K60" s="2" t="n">
        <v>3</v>
      </c>
      <c r="L60" s="2" t="n">
        <v>3</v>
      </c>
      <c r="M60" s="2" t="n">
        <v>0</v>
      </c>
      <c r="N60" s="4" t="n">
        <v>45000</v>
      </c>
      <c r="O60" s="4" t="n">
        <v>90000</v>
      </c>
      <c r="P60" s="4" t="n">
        <f aca="false">H60+I60</f>
        <v>650000</v>
      </c>
      <c r="Q60" s="4" t="n">
        <f aca="false">N60+O60</f>
        <v>135000</v>
      </c>
      <c r="R60" s="4" t="n">
        <f aca="false">G60+P60-Q60</f>
        <v>5015000</v>
      </c>
      <c r="S60" s="2" t="n">
        <f aca="false">DATEDIF(E60,$Y$1,"y")</f>
        <v>4</v>
      </c>
      <c r="T60" s="2" t="str">
        <f aca="false">IF(S60&gt;=5,"Senior",IF(S60&gt;=1,"Menengah","Baru"))</f>
        <v>Menengah</v>
      </c>
      <c r="U60" s="9" t="n">
        <f aca="false">J60/(J60+K60+L60+M60)*100</f>
        <v>76</v>
      </c>
      <c r="V60" s="2" t="str">
        <f aca="false">IF(U60&gt;=95,"Baik",IF(U60&gt;=85,"Cukup","Perlu Perhatian"))</f>
        <v>Perlu Perhatian</v>
      </c>
    </row>
    <row r="61" customFormat="false" ht="15" hidden="false" customHeight="false" outlineLevel="0" collapsed="false">
      <c r="A61" s="2" t="s">
        <v>225</v>
      </c>
      <c r="B61" s="2" t="s">
        <v>85</v>
      </c>
      <c r="C61" s="2" t="s">
        <v>52</v>
      </c>
      <c r="D61" s="2" t="s">
        <v>124</v>
      </c>
      <c r="E61" s="3" t="s">
        <v>226</v>
      </c>
      <c r="F61" s="2" t="s">
        <v>26</v>
      </c>
      <c r="G61" s="4" t="n">
        <v>6500000</v>
      </c>
      <c r="H61" s="4" t="n">
        <v>350000</v>
      </c>
      <c r="I61" s="4" t="n">
        <v>300000</v>
      </c>
      <c r="J61" s="2" t="n">
        <v>20</v>
      </c>
      <c r="K61" s="2" t="n">
        <v>2</v>
      </c>
      <c r="L61" s="2" t="n">
        <v>0</v>
      </c>
      <c r="M61" s="2" t="n">
        <v>2</v>
      </c>
      <c r="N61" s="4" t="n">
        <v>65000</v>
      </c>
      <c r="O61" s="4" t="n">
        <v>130000</v>
      </c>
      <c r="P61" s="4" t="n">
        <f aca="false">H61+I61</f>
        <v>650000</v>
      </c>
      <c r="Q61" s="4" t="n">
        <f aca="false">N61+O61</f>
        <v>195000</v>
      </c>
      <c r="R61" s="4" t="n">
        <f aca="false">G61+P61-Q61</f>
        <v>6955000</v>
      </c>
      <c r="S61" s="2" t="n">
        <f aca="false">DATEDIF(E61,$Y$1,"y")</f>
        <v>5</v>
      </c>
      <c r="T61" s="2" t="str">
        <f aca="false">IF(S61&gt;=5,"Senior",IF(S61&gt;=1,"Menengah","Baru"))</f>
        <v>Senior</v>
      </c>
      <c r="U61" s="9" t="n">
        <f aca="false">J61/(J61+K61+L61+M61)*100</f>
        <v>83.3333333333333</v>
      </c>
      <c r="V61" s="2" t="str">
        <f aca="false">IF(U61&gt;=95,"Baik",IF(U61&gt;=85,"Cukup","Perlu Perhatian"))</f>
        <v>Perlu Perhatian</v>
      </c>
    </row>
    <row r="62" customFormat="false" ht="15" hidden="false" customHeight="false" outlineLevel="0" collapsed="false">
      <c r="A62" s="2" t="s">
        <v>227</v>
      </c>
      <c r="B62" s="2" t="s">
        <v>228</v>
      </c>
      <c r="C62" s="2" t="s">
        <v>23</v>
      </c>
      <c r="D62" s="2" t="s">
        <v>24</v>
      </c>
      <c r="E62" s="3" t="s">
        <v>229</v>
      </c>
      <c r="F62" s="2" t="s">
        <v>26</v>
      </c>
      <c r="G62" s="4" t="n">
        <v>5200000</v>
      </c>
      <c r="H62" s="4" t="n">
        <v>400000</v>
      </c>
      <c r="I62" s="4" t="n">
        <v>300000</v>
      </c>
      <c r="J62" s="2" t="n">
        <v>23</v>
      </c>
      <c r="K62" s="2" t="n">
        <v>3</v>
      </c>
      <c r="L62" s="2" t="n">
        <v>3</v>
      </c>
      <c r="M62" s="2" t="n">
        <v>0</v>
      </c>
      <c r="N62" s="4" t="n">
        <v>52000</v>
      </c>
      <c r="O62" s="4" t="n">
        <v>104000</v>
      </c>
      <c r="P62" s="4" t="n">
        <f aca="false">H62+I62</f>
        <v>700000</v>
      </c>
      <c r="Q62" s="4" t="n">
        <f aca="false">N62+O62</f>
        <v>156000</v>
      </c>
      <c r="R62" s="4" t="n">
        <f aca="false">G62+P62-Q62</f>
        <v>5744000</v>
      </c>
      <c r="S62" s="2" t="n">
        <f aca="false">DATEDIF(E62,$Y$1,"y")</f>
        <v>2</v>
      </c>
      <c r="T62" s="2" t="str">
        <f aca="false">IF(S62&gt;=5,"Senior",IF(S62&gt;=1,"Menengah","Baru"))</f>
        <v>Menengah</v>
      </c>
      <c r="U62" s="9" t="n">
        <f aca="false">J62/(J62+K62+L62+M62)*100</f>
        <v>79.3103448275862</v>
      </c>
      <c r="V62" s="2" t="str">
        <f aca="false">IF(U62&gt;=95,"Baik",IF(U62&gt;=85,"Cukup","Perlu Perhatian"))</f>
        <v>Perlu Perhatian</v>
      </c>
    </row>
    <row r="63" customFormat="false" ht="15" hidden="false" customHeight="false" outlineLevel="0" collapsed="false">
      <c r="A63" s="2" t="s">
        <v>230</v>
      </c>
      <c r="B63" s="2" t="s">
        <v>231</v>
      </c>
      <c r="C63" s="2" t="s">
        <v>17</v>
      </c>
      <c r="D63" s="2" t="s">
        <v>18</v>
      </c>
      <c r="E63" s="3" t="s">
        <v>232</v>
      </c>
      <c r="F63" s="2" t="s">
        <v>26</v>
      </c>
      <c r="G63" s="4" t="n">
        <v>5800000</v>
      </c>
      <c r="H63" s="4" t="n">
        <v>400000</v>
      </c>
      <c r="I63" s="4" t="n">
        <v>330000</v>
      </c>
      <c r="J63" s="2" t="n">
        <v>20</v>
      </c>
      <c r="K63" s="2" t="n">
        <v>3</v>
      </c>
      <c r="L63" s="2" t="n">
        <v>2</v>
      </c>
      <c r="M63" s="2" t="n">
        <v>0</v>
      </c>
      <c r="N63" s="4" t="n">
        <v>58000</v>
      </c>
      <c r="O63" s="4" t="n">
        <v>116000</v>
      </c>
      <c r="P63" s="4" t="n">
        <f aca="false">H63+I63</f>
        <v>730000</v>
      </c>
      <c r="Q63" s="4" t="n">
        <f aca="false">N63+O63</f>
        <v>174000</v>
      </c>
      <c r="R63" s="4" t="n">
        <f aca="false">G63+P63-Q63</f>
        <v>6356000</v>
      </c>
      <c r="S63" s="2" t="n">
        <f aca="false">DATEDIF(E63,$Y$1,"y")</f>
        <v>2</v>
      </c>
      <c r="T63" s="2" t="str">
        <f aca="false">IF(S63&gt;=5,"Senior",IF(S63&gt;=1,"Menengah","Baru"))</f>
        <v>Menengah</v>
      </c>
      <c r="U63" s="9" t="n">
        <f aca="false">J63/(J63+K63+L63+M63)*100</f>
        <v>80</v>
      </c>
      <c r="V63" s="2" t="str">
        <f aca="false">IF(U63&gt;=95,"Baik",IF(U63&gt;=85,"Cukup","Perlu Perhatian"))</f>
        <v>Perlu Perhatian</v>
      </c>
    </row>
    <row r="64" customFormat="false" ht="15" hidden="false" customHeight="false" outlineLevel="0" collapsed="false">
      <c r="A64" s="2" t="s">
        <v>233</v>
      </c>
      <c r="B64" s="2" t="s">
        <v>234</v>
      </c>
      <c r="C64" s="2" t="s">
        <v>68</v>
      </c>
      <c r="D64" s="2" t="s">
        <v>177</v>
      </c>
      <c r="E64" s="3" t="s">
        <v>235</v>
      </c>
      <c r="F64" s="2" t="s">
        <v>20</v>
      </c>
      <c r="G64" s="4" t="n">
        <v>5800000</v>
      </c>
      <c r="H64" s="4" t="n">
        <v>300000</v>
      </c>
      <c r="I64" s="4" t="n">
        <v>250000</v>
      </c>
      <c r="J64" s="2" t="n">
        <v>23</v>
      </c>
      <c r="K64" s="2" t="n">
        <v>1</v>
      </c>
      <c r="L64" s="2" t="n">
        <v>2</v>
      </c>
      <c r="M64" s="2" t="n">
        <v>0</v>
      </c>
      <c r="N64" s="4" t="n">
        <v>58000</v>
      </c>
      <c r="O64" s="4" t="n">
        <v>116000</v>
      </c>
      <c r="P64" s="4" t="n">
        <f aca="false">H64+I64</f>
        <v>550000</v>
      </c>
      <c r="Q64" s="4" t="n">
        <f aca="false">N64+O64</f>
        <v>174000</v>
      </c>
      <c r="R64" s="4" t="n">
        <f aca="false">G64+P64-Q64</f>
        <v>6176000</v>
      </c>
      <c r="S64" s="2" t="n">
        <f aca="false">DATEDIF(E64,$Y$1,"y")</f>
        <v>2</v>
      </c>
      <c r="T64" s="2" t="str">
        <f aca="false">IF(S64&gt;=5,"Senior",IF(S64&gt;=1,"Menengah","Baru"))</f>
        <v>Menengah</v>
      </c>
      <c r="U64" s="9" t="n">
        <f aca="false">J64/(J64+K64+L64+M64)*100</f>
        <v>88.4615384615385</v>
      </c>
      <c r="V64" s="2" t="str">
        <f aca="false">IF(U64&gt;=95,"Baik",IF(U64&gt;=85,"Cukup","Perlu Perhatian"))</f>
        <v>Cukup</v>
      </c>
    </row>
    <row r="65" customFormat="false" ht="15" hidden="false" customHeight="false" outlineLevel="0" collapsed="false">
      <c r="A65" s="2" t="s">
        <v>236</v>
      </c>
      <c r="B65" s="2" t="s">
        <v>237</v>
      </c>
      <c r="C65" s="2" t="s">
        <v>57</v>
      </c>
      <c r="D65" s="2" t="s">
        <v>238</v>
      </c>
      <c r="E65" s="3" t="s">
        <v>239</v>
      </c>
      <c r="F65" s="2" t="s">
        <v>26</v>
      </c>
      <c r="G65" s="4" t="n">
        <v>5800000</v>
      </c>
      <c r="H65" s="4" t="n">
        <v>400000</v>
      </c>
      <c r="I65" s="4" t="n">
        <v>330000</v>
      </c>
      <c r="J65" s="2" t="n">
        <v>24</v>
      </c>
      <c r="K65" s="2" t="n">
        <v>2</v>
      </c>
      <c r="L65" s="2" t="n">
        <v>0</v>
      </c>
      <c r="M65" s="2" t="n">
        <v>0</v>
      </c>
      <c r="N65" s="4" t="n">
        <v>58000</v>
      </c>
      <c r="O65" s="4" t="n">
        <v>116000</v>
      </c>
      <c r="P65" s="4" t="n">
        <f aca="false">H65+I65</f>
        <v>730000</v>
      </c>
      <c r="Q65" s="4" t="n">
        <f aca="false">N65+O65</f>
        <v>174000</v>
      </c>
      <c r="R65" s="4" t="n">
        <f aca="false">G65+P65-Q65</f>
        <v>6356000</v>
      </c>
      <c r="S65" s="2" t="n">
        <f aca="false">DATEDIF(E65,$Y$1,"y")</f>
        <v>5</v>
      </c>
      <c r="T65" s="2" t="str">
        <f aca="false">IF(S65&gt;=5,"Senior",IF(S65&gt;=1,"Menengah","Baru"))</f>
        <v>Senior</v>
      </c>
      <c r="U65" s="9" t="n">
        <f aca="false">J65/(J65+K65+L65+M65)*100</f>
        <v>92.3076923076923</v>
      </c>
      <c r="V65" s="2" t="str">
        <f aca="false">IF(U65&gt;=95,"Baik",IF(U65&gt;=85,"Cukup","Perlu Perhatian"))</f>
        <v>Cukup</v>
      </c>
    </row>
    <row r="66" customFormat="false" ht="15" hidden="false" customHeight="false" outlineLevel="0" collapsed="false">
      <c r="A66" s="2" t="s">
        <v>240</v>
      </c>
      <c r="B66" s="2" t="s">
        <v>241</v>
      </c>
      <c r="C66" s="2" t="s">
        <v>47</v>
      </c>
      <c r="D66" s="2" t="s">
        <v>117</v>
      </c>
      <c r="E66" s="3" t="s">
        <v>242</v>
      </c>
      <c r="F66" s="2" t="s">
        <v>20</v>
      </c>
      <c r="G66" s="4" t="n">
        <v>9500000</v>
      </c>
      <c r="H66" s="4" t="n">
        <v>300000</v>
      </c>
      <c r="I66" s="4" t="n">
        <v>300000</v>
      </c>
      <c r="J66" s="2" t="n">
        <v>18</v>
      </c>
      <c r="K66" s="2" t="n">
        <v>0</v>
      </c>
      <c r="L66" s="2" t="n">
        <v>2</v>
      </c>
      <c r="M66" s="2" t="n">
        <v>4</v>
      </c>
      <c r="N66" s="4" t="n">
        <v>95000</v>
      </c>
      <c r="O66" s="4" t="n">
        <v>190000</v>
      </c>
      <c r="P66" s="4" t="n">
        <f aca="false">H66+I66</f>
        <v>600000</v>
      </c>
      <c r="Q66" s="4" t="n">
        <f aca="false">N66+O66</f>
        <v>285000</v>
      </c>
      <c r="R66" s="4" t="n">
        <f aca="false">G66+P66-Q66</f>
        <v>9815000</v>
      </c>
      <c r="S66" s="2" t="n">
        <f aca="false">DATEDIF(E66,$Y$1,"y")</f>
        <v>5</v>
      </c>
      <c r="T66" s="2" t="str">
        <f aca="false">IF(S66&gt;=5,"Senior",IF(S66&gt;=1,"Menengah","Baru"))</f>
        <v>Senior</v>
      </c>
      <c r="U66" s="9" t="n">
        <f aca="false">J66/(J66+K66+L66+M66)*100</f>
        <v>75</v>
      </c>
      <c r="V66" s="2" t="str">
        <f aca="false">IF(U66&gt;=95,"Baik",IF(U66&gt;=85,"Cukup","Perlu Perhatian"))</f>
        <v>Perlu Perhatian</v>
      </c>
    </row>
    <row r="67" customFormat="false" ht="15" hidden="false" customHeight="false" outlineLevel="0" collapsed="false">
      <c r="A67" s="2" t="s">
        <v>243</v>
      </c>
      <c r="B67" s="2" t="s">
        <v>244</v>
      </c>
      <c r="C67" s="2" t="s">
        <v>23</v>
      </c>
      <c r="D67" s="2" t="s">
        <v>24</v>
      </c>
      <c r="E67" s="3" t="s">
        <v>245</v>
      </c>
      <c r="F67" s="2" t="s">
        <v>20</v>
      </c>
      <c r="G67" s="4" t="n">
        <v>8500000</v>
      </c>
      <c r="H67" s="4" t="n">
        <v>350000</v>
      </c>
      <c r="I67" s="4" t="n">
        <v>300000</v>
      </c>
      <c r="J67" s="2" t="n">
        <v>19</v>
      </c>
      <c r="K67" s="2" t="n">
        <v>0</v>
      </c>
      <c r="L67" s="2" t="n">
        <v>2</v>
      </c>
      <c r="M67" s="2" t="n">
        <v>3</v>
      </c>
      <c r="N67" s="4" t="n">
        <v>85000</v>
      </c>
      <c r="O67" s="4" t="n">
        <v>170000</v>
      </c>
      <c r="P67" s="4" t="n">
        <f aca="false">H67+I67</f>
        <v>650000</v>
      </c>
      <c r="Q67" s="4" t="n">
        <f aca="false">N67+O67</f>
        <v>255000</v>
      </c>
      <c r="R67" s="4" t="n">
        <f aca="false">G67+P67-Q67</f>
        <v>8895000</v>
      </c>
      <c r="S67" s="2" t="n">
        <f aca="false">DATEDIF(E67,$Y$1,"y")</f>
        <v>1</v>
      </c>
      <c r="T67" s="2" t="str">
        <f aca="false">IF(S67&gt;=5,"Senior",IF(S67&gt;=1,"Menengah","Baru"))</f>
        <v>Menengah</v>
      </c>
      <c r="U67" s="9" t="n">
        <f aca="false">J67/(J67+K67+L67+M67)*100</f>
        <v>79.1666666666667</v>
      </c>
      <c r="V67" s="2" t="str">
        <f aca="false">IF(U67&gt;=95,"Baik",IF(U67&gt;=85,"Cukup","Perlu Perhatian"))</f>
        <v>Perlu Perhatian</v>
      </c>
    </row>
    <row r="68" customFormat="false" ht="15" hidden="false" customHeight="false" outlineLevel="0" collapsed="false">
      <c r="A68" s="2" t="s">
        <v>246</v>
      </c>
      <c r="B68" s="2" t="s">
        <v>247</v>
      </c>
      <c r="C68" s="2" t="s">
        <v>23</v>
      </c>
      <c r="D68" s="2" t="s">
        <v>32</v>
      </c>
      <c r="E68" s="3" t="s">
        <v>248</v>
      </c>
      <c r="F68" s="2" t="s">
        <v>20</v>
      </c>
      <c r="G68" s="4" t="n">
        <v>4200000</v>
      </c>
      <c r="H68" s="4" t="n">
        <v>300000</v>
      </c>
      <c r="I68" s="4" t="n">
        <v>250000</v>
      </c>
      <c r="J68" s="2" t="n">
        <v>24</v>
      </c>
      <c r="K68" s="2" t="n">
        <v>2</v>
      </c>
      <c r="L68" s="2" t="n">
        <v>0</v>
      </c>
      <c r="M68" s="2" t="n">
        <v>0</v>
      </c>
      <c r="N68" s="4" t="n">
        <v>42000</v>
      </c>
      <c r="O68" s="4" t="n">
        <v>84000</v>
      </c>
      <c r="P68" s="4" t="n">
        <f aca="false">H68+I68</f>
        <v>550000</v>
      </c>
      <c r="Q68" s="4" t="n">
        <f aca="false">N68+O68</f>
        <v>126000</v>
      </c>
      <c r="R68" s="4" t="n">
        <f aca="false">G68+P68-Q68</f>
        <v>4624000</v>
      </c>
      <c r="S68" s="2" t="n">
        <f aca="false">DATEDIF(E68,$Y$1,"y")</f>
        <v>1</v>
      </c>
      <c r="T68" s="2" t="str">
        <f aca="false">IF(S68&gt;=5,"Senior",IF(S68&gt;=1,"Menengah","Baru"))</f>
        <v>Menengah</v>
      </c>
      <c r="U68" s="9" t="n">
        <f aca="false">J68/(J68+K68+L68+M68)*100</f>
        <v>92.3076923076923</v>
      </c>
      <c r="V68" s="2" t="str">
        <f aca="false">IF(U68&gt;=95,"Baik",IF(U68&gt;=85,"Cukup","Perlu Perhatian"))</f>
        <v>Cukup</v>
      </c>
    </row>
    <row r="69" customFormat="false" ht="15" hidden="false" customHeight="false" outlineLevel="0" collapsed="false">
      <c r="A69" s="2" t="s">
        <v>249</v>
      </c>
      <c r="B69" s="2" t="s">
        <v>250</v>
      </c>
      <c r="C69" s="2" t="s">
        <v>86</v>
      </c>
      <c r="D69" s="2" t="s">
        <v>106</v>
      </c>
      <c r="E69" s="3" t="s">
        <v>251</v>
      </c>
      <c r="F69" s="2" t="s">
        <v>26</v>
      </c>
      <c r="G69" s="4" t="n">
        <v>5200000</v>
      </c>
      <c r="H69" s="4" t="n">
        <v>400000</v>
      </c>
      <c r="I69" s="4" t="n">
        <v>300000</v>
      </c>
      <c r="J69" s="2" t="n">
        <v>21</v>
      </c>
      <c r="K69" s="2" t="n">
        <v>3</v>
      </c>
      <c r="L69" s="2" t="n">
        <v>2</v>
      </c>
      <c r="M69" s="2" t="n">
        <v>0</v>
      </c>
      <c r="N69" s="4" t="n">
        <v>52000</v>
      </c>
      <c r="O69" s="4" t="n">
        <v>104000</v>
      </c>
      <c r="P69" s="4" t="n">
        <f aca="false">H69+I69</f>
        <v>700000</v>
      </c>
      <c r="Q69" s="4" t="n">
        <f aca="false">N69+O69</f>
        <v>156000</v>
      </c>
      <c r="R69" s="4" t="n">
        <f aca="false">G69+P69-Q69</f>
        <v>5744000</v>
      </c>
      <c r="S69" s="2" t="n">
        <f aca="false">DATEDIF(E69,$Y$1,"y")</f>
        <v>0</v>
      </c>
      <c r="T69" s="2" t="str">
        <f aca="false">IF(S69&gt;=5,"Senior",IF(S69&gt;=1,"Menengah","Baru"))</f>
        <v>Baru</v>
      </c>
      <c r="U69" s="9" t="n">
        <f aca="false">J69/(J69+K69+L69+M69)*100</f>
        <v>80.7692307692308</v>
      </c>
      <c r="V69" s="2" t="str">
        <f aca="false">IF(U69&gt;=95,"Baik",IF(U69&gt;=85,"Cukup","Perlu Perhatian"))</f>
        <v>Perlu Perhatian</v>
      </c>
    </row>
    <row r="70" customFormat="false" ht="15" hidden="false" customHeight="false" outlineLevel="0" collapsed="false">
      <c r="A70" s="2" t="s">
        <v>252</v>
      </c>
      <c r="B70" s="2" t="s">
        <v>253</v>
      </c>
      <c r="C70" s="2" t="s">
        <v>17</v>
      </c>
      <c r="D70" s="2" t="s">
        <v>36</v>
      </c>
      <c r="E70" s="3" t="s">
        <v>254</v>
      </c>
      <c r="F70" s="2" t="s">
        <v>20</v>
      </c>
      <c r="G70" s="4" t="n">
        <v>4500000</v>
      </c>
      <c r="H70" s="4" t="n">
        <v>300000</v>
      </c>
      <c r="I70" s="4" t="n">
        <v>330000</v>
      </c>
      <c r="J70" s="2" t="n">
        <v>19</v>
      </c>
      <c r="K70" s="2" t="n">
        <v>2</v>
      </c>
      <c r="L70" s="2" t="n">
        <v>0</v>
      </c>
      <c r="M70" s="2" t="n">
        <v>3</v>
      </c>
      <c r="N70" s="4" t="n">
        <v>45000</v>
      </c>
      <c r="O70" s="4" t="n">
        <v>90000</v>
      </c>
      <c r="P70" s="4" t="n">
        <f aca="false">H70+I70</f>
        <v>630000</v>
      </c>
      <c r="Q70" s="4" t="n">
        <f aca="false">N70+O70</f>
        <v>135000</v>
      </c>
      <c r="R70" s="4" t="n">
        <f aca="false">G70+P70-Q70</f>
        <v>4995000</v>
      </c>
      <c r="S70" s="2" t="n">
        <f aca="false">DATEDIF(E70,$Y$1,"y")</f>
        <v>0</v>
      </c>
      <c r="T70" s="2" t="str">
        <f aca="false">IF(S70&gt;=5,"Senior",IF(S70&gt;=1,"Menengah","Baru"))</f>
        <v>Baru</v>
      </c>
      <c r="U70" s="9" t="n">
        <f aca="false">J70/(J70+K70+L70+M70)*100</f>
        <v>79.1666666666667</v>
      </c>
      <c r="V70" s="2" t="str">
        <f aca="false">IF(U70&gt;=95,"Baik",IF(U70&gt;=85,"Cukup","Perlu Perhatian"))</f>
        <v>Perlu Perhatian</v>
      </c>
    </row>
    <row r="71" customFormat="false" ht="15" hidden="false" customHeight="false" outlineLevel="0" collapsed="false">
      <c r="A71" s="2" t="s">
        <v>255</v>
      </c>
      <c r="B71" s="2" t="s">
        <v>256</v>
      </c>
      <c r="C71" s="2" t="s">
        <v>57</v>
      </c>
      <c r="D71" s="2" t="s">
        <v>58</v>
      </c>
      <c r="E71" s="3" t="s">
        <v>257</v>
      </c>
      <c r="F71" s="2" t="s">
        <v>20</v>
      </c>
      <c r="G71" s="4" t="n">
        <v>7200000</v>
      </c>
      <c r="H71" s="4" t="n">
        <v>350000</v>
      </c>
      <c r="I71" s="4" t="n">
        <v>330000</v>
      </c>
      <c r="J71" s="2" t="n">
        <v>22</v>
      </c>
      <c r="K71" s="2" t="n">
        <v>3</v>
      </c>
      <c r="L71" s="2" t="n">
        <v>2</v>
      </c>
      <c r="M71" s="2" t="n">
        <v>0</v>
      </c>
      <c r="N71" s="4" t="n">
        <v>72000</v>
      </c>
      <c r="O71" s="4" t="n">
        <v>144000</v>
      </c>
      <c r="P71" s="4" t="n">
        <f aca="false">H71+I71</f>
        <v>680000</v>
      </c>
      <c r="Q71" s="4" t="n">
        <f aca="false">N71+O71</f>
        <v>216000</v>
      </c>
      <c r="R71" s="4" t="n">
        <f aca="false">G71+P71-Q71</f>
        <v>7664000</v>
      </c>
      <c r="S71" s="2" t="n">
        <f aca="false">DATEDIF(E71,$Y$1,"y")</f>
        <v>6</v>
      </c>
      <c r="T71" s="2" t="str">
        <f aca="false">IF(S71&gt;=5,"Senior",IF(S71&gt;=1,"Menengah","Baru"))</f>
        <v>Senior</v>
      </c>
      <c r="U71" s="9" t="n">
        <f aca="false">J71/(J71+K71+L71+M71)*100</f>
        <v>81.4814814814815</v>
      </c>
      <c r="V71" s="2" t="str">
        <f aca="false">IF(U71&gt;=95,"Baik",IF(U71&gt;=85,"Cukup","Perlu Perhatian"))</f>
        <v>Perlu Perhatian</v>
      </c>
    </row>
    <row r="72" customFormat="false" ht="15" hidden="false" customHeight="false" outlineLevel="0" collapsed="false">
      <c r="A72" s="2" t="s">
        <v>258</v>
      </c>
      <c r="B72" s="2" t="s">
        <v>259</v>
      </c>
      <c r="C72" s="2" t="s">
        <v>17</v>
      </c>
      <c r="D72" s="2" t="s">
        <v>36</v>
      </c>
      <c r="E72" s="3" t="s">
        <v>260</v>
      </c>
      <c r="F72" s="2" t="s">
        <v>26</v>
      </c>
      <c r="G72" s="4" t="n">
        <v>8500000</v>
      </c>
      <c r="H72" s="4" t="n">
        <v>300000</v>
      </c>
      <c r="I72" s="4" t="n">
        <v>330000</v>
      </c>
      <c r="J72" s="2" t="n">
        <v>19</v>
      </c>
      <c r="K72" s="2" t="n">
        <v>2</v>
      </c>
      <c r="L72" s="2" t="n">
        <v>1</v>
      </c>
      <c r="M72" s="2" t="n">
        <v>2</v>
      </c>
      <c r="N72" s="4" t="n">
        <v>85000</v>
      </c>
      <c r="O72" s="4" t="n">
        <v>170000</v>
      </c>
      <c r="P72" s="4" t="n">
        <f aca="false">H72+I72</f>
        <v>630000</v>
      </c>
      <c r="Q72" s="4" t="n">
        <f aca="false">N72+O72</f>
        <v>255000</v>
      </c>
      <c r="R72" s="4" t="n">
        <f aca="false">G72+P72-Q72</f>
        <v>8875000</v>
      </c>
      <c r="S72" s="2" t="n">
        <f aca="false">DATEDIF(E72,$Y$1,"y")</f>
        <v>4</v>
      </c>
      <c r="T72" s="2" t="str">
        <f aca="false">IF(S72&gt;=5,"Senior",IF(S72&gt;=1,"Menengah","Baru"))</f>
        <v>Menengah</v>
      </c>
      <c r="U72" s="9" t="n">
        <f aca="false">J72/(J72+K72+L72+M72)*100</f>
        <v>79.1666666666667</v>
      </c>
      <c r="V72" s="2" t="str">
        <f aca="false">IF(U72&gt;=95,"Baik",IF(U72&gt;=85,"Cukup","Perlu Perhatian"))</f>
        <v>Perlu Perhatian</v>
      </c>
    </row>
    <row r="73" customFormat="false" ht="15" hidden="false" customHeight="false" outlineLevel="0" collapsed="false">
      <c r="A73" s="2" t="s">
        <v>261</v>
      </c>
      <c r="B73" s="2" t="s">
        <v>262</v>
      </c>
      <c r="C73" s="2" t="s">
        <v>86</v>
      </c>
      <c r="D73" s="2" t="s">
        <v>87</v>
      </c>
      <c r="E73" s="3" t="s">
        <v>263</v>
      </c>
      <c r="F73" s="2" t="s">
        <v>65</v>
      </c>
      <c r="G73" s="4" t="n">
        <v>4800000</v>
      </c>
      <c r="H73" s="4" t="n">
        <v>300000</v>
      </c>
      <c r="I73" s="4" t="n">
        <v>250000</v>
      </c>
      <c r="J73" s="2" t="n">
        <v>19</v>
      </c>
      <c r="K73" s="2" t="n">
        <v>2</v>
      </c>
      <c r="L73" s="2" t="n">
        <v>2</v>
      </c>
      <c r="M73" s="2" t="n">
        <v>1</v>
      </c>
      <c r="N73" s="4" t="n">
        <v>48000</v>
      </c>
      <c r="O73" s="4" t="n">
        <v>96000</v>
      </c>
      <c r="P73" s="4" t="n">
        <f aca="false">H73+I73</f>
        <v>550000</v>
      </c>
      <c r="Q73" s="4" t="n">
        <f aca="false">N73+O73</f>
        <v>144000</v>
      </c>
      <c r="R73" s="4" t="n">
        <f aca="false">G73+P73-Q73</f>
        <v>5206000</v>
      </c>
      <c r="S73" s="2" t="n">
        <f aca="false">DATEDIF(E73,$Y$1,"y")</f>
        <v>5</v>
      </c>
      <c r="T73" s="2" t="str">
        <f aca="false">IF(S73&gt;=5,"Senior",IF(S73&gt;=1,"Menengah","Baru"))</f>
        <v>Senior</v>
      </c>
      <c r="U73" s="9" t="n">
        <f aca="false">J73/(J73+K73+L73+M73)*100</f>
        <v>79.1666666666667</v>
      </c>
      <c r="V73" s="2" t="str">
        <f aca="false">IF(U73&gt;=95,"Baik",IF(U73&gt;=85,"Cukup","Perlu Perhatian"))</f>
        <v>Perlu Perhatian</v>
      </c>
    </row>
    <row r="74" customFormat="false" ht="15" hidden="false" customHeight="false" outlineLevel="0" collapsed="false">
      <c r="A74" s="2" t="s">
        <v>264</v>
      </c>
      <c r="B74" s="2" t="s">
        <v>265</v>
      </c>
      <c r="C74" s="2" t="s">
        <v>52</v>
      </c>
      <c r="D74" s="2" t="s">
        <v>124</v>
      </c>
      <c r="E74" s="3" t="s">
        <v>160</v>
      </c>
      <c r="F74" s="2" t="s">
        <v>65</v>
      </c>
      <c r="G74" s="4" t="n">
        <v>9500000</v>
      </c>
      <c r="H74" s="4" t="n">
        <v>400000</v>
      </c>
      <c r="I74" s="4" t="n">
        <v>300000</v>
      </c>
      <c r="J74" s="2" t="n">
        <v>21</v>
      </c>
      <c r="K74" s="2" t="n">
        <v>0</v>
      </c>
      <c r="L74" s="2" t="n">
        <v>0</v>
      </c>
      <c r="M74" s="2" t="n">
        <v>3</v>
      </c>
      <c r="N74" s="4" t="n">
        <v>95000</v>
      </c>
      <c r="O74" s="4" t="n">
        <v>190000</v>
      </c>
      <c r="P74" s="4" t="n">
        <f aca="false">H74+I74</f>
        <v>700000</v>
      </c>
      <c r="Q74" s="4" t="n">
        <f aca="false">N74+O74</f>
        <v>285000</v>
      </c>
      <c r="R74" s="4" t="n">
        <f aca="false">G74+P74-Q74</f>
        <v>9915000</v>
      </c>
      <c r="S74" s="2" t="n">
        <f aca="false">DATEDIF(E74,$Y$1,"y")</f>
        <v>2</v>
      </c>
      <c r="T74" s="2" t="str">
        <f aca="false">IF(S74&gt;=5,"Senior",IF(S74&gt;=1,"Menengah","Baru"))</f>
        <v>Menengah</v>
      </c>
      <c r="U74" s="9" t="n">
        <f aca="false">J74/(J74+K74+L74+M74)*100</f>
        <v>87.5</v>
      </c>
      <c r="V74" s="2" t="str">
        <f aca="false">IF(U74&gt;=95,"Baik",IF(U74&gt;=85,"Cukup","Perlu Perhatian"))</f>
        <v>Cukup</v>
      </c>
    </row>
    <row r="75" customFormat="false" ht="15" hidden="false" customHeight="false" outlineLevel="0" collapsed="false">
      <c r="A75" s="2" t="s">
        <v>266</v>
      </c>
      <c r="B75" s="2" t="s">
        <v>267</v>
      </c>
      <c r="C75" s="2" t="s">
        <v>17</v>
      </c>
      <c r="D75" s="2" t="s">
        <v>18</v>
      </c>
      <c r="E75" s="3" t="s">
        <v>268</v>
      </c>
      <c r="F75" s="2" t="s">
        <v>20</v>
      </c>
      <c r="G75" s="4" t="n">
        <v>4200000</v>
      </c>
      <c r="H75" s="4" t="n">
        <v>400000</v>
      </c>
      <c r="I75" s="4" t="n">
        <v>300000</v>
      </c>
      <c r="J75" s="2" t="n">
        <v>22</v>
      </c>
      <c r="K75" s="2" t="n">
        <v>0</v>
      </c>
      <c r="L75" s="2" t="n">
        <v>1</v>
      </c>
      <c r="M75" s="2" t="n">
        <v>1</v>
      </c>
      <c r="N75" s="4" t="n">
        <v>42000</v>
      </c>
      <c r="O75" s="4" t="n">
        <v>84000</v>
      </c>
      <c r="P75" s="4" t="n">
        <f aca="false">H75+I75</f>
        <v>700000</v>
      </c>
      <c r="Q75" s="4" t="n">
        <f aca="false">N75+O75</f>
        <v>126000</v>
      </c>
      <c r="R75" s="4" t="n">
        <f aca="false">G75+P75-Q75</f>
        <v>4774000</v>
      </c>
      <c r="S75" s="2" t="n">
        <f aca="false">DATEDIF(E75,$Y$1,"y")</f>
        <v>6</v>
      </c>
      <c r="T75" s="2" t="str">
        <f aca="false">IF(S75&gt;=5,"Senior",IF(S75&gt;=1,"Menengah","Baru"))</f>
        <v>Senior</v>
      </c>
      <c r="U75" s="9" t="n">
        <f aca="false">J75/(J75+K75+L75+M75)*100</f>
        <v>91.6666666666667</v>
      </c>
      <c r="V75" s="2" t="str">
        <f aca="false">IF(U75&gt;=95,"Baik",IF(U75&gt;=85,"Cukup","Perlu Perhatian"))</f>
        <v>Cukup</v>
      </c>
    </row>
    <row r="76" customFormat="false" ht="15" hidden="false" customHeight="false" outlineLevel="0" collapsed="false">
      <c r="A76" s="2" t="s">
        <v>269</v>
      </c>
      <c r="B76" s="2" t="s">
        <v>270</v>
      </c>
      <c r="C76" s="2" t="s">
        <v>52</v>
      </c>
      <c r="D76" s="2" t="s">
        <v>124</v>
      </c>
      <c r="E76" s="3" t="s">
        <v>271</v>
      </c>
      <c r="F76" s="2" t="s">
        <v>65</v>
      </c>
      <c r="G76" s="4" t="n">
        <v>7200000</v>
      </c>
      <c r="H76" s="4" t="n">
        <v>400000</v>
      </c>
      <c r="I76" s="4" t="n">
        <v>300000</v>
      </c>
      <c r="J76" s="2" t="n">
        <v>18</v>
      </c>
      <c r="K76" s="2" t="n">
        <v>3</v>
      </c>
      <c r="L76" s="2" t="n">
        <v>2</v>
      </c>
      <c r="M76" s="2" t="n">
        <v>1</v>
      </c>
      <c r="N76" s="4" t="n">
        <v>72000</v>
      </c>
      <c r="O76" s="4" t="n">
        <v>144000</v>
      </c>
      <c r="P76" s="4" t="n">
        <f aca="false">H76+I76</f>
        <v>700000</v>
      </c>
      <c r="Q76" s="4" t="n">
        <f aca="false">N76+O76</f>
        <v>216000</v>
      </c>
      <c r="R76" s="4" t="n">
        <f aca="false">G76+P76-Q76</f>
        <v>7684000</v>
      </c>
      <c r="S76" s="2" t="n">
        <f aca="false">DATEDIF(E76,$Y$1,"y")</f>
        <v>5</v>
      </c>
      <c r="T76" s="2" t="str">
        <f aca="false">IF(S76&gt;=5,"Senior",IF(S76&gt;=1,"Menengah","Baru"))</f>
        <v>Senior</v>
      </c>
      <c r="U76" s="9" t="n">
        <f aca="false">J76/(J76+K76+L76+M76)*100</f>
        <v>75</v>
      </c>
      <c r="V76" s="2" t="str">
        <f aca="false">IF(U76&gt;=95,"Baik",IF(U76&gt;=85,"Cukup","Perlu Perhatian"))</f>
        <v>Perlu Perhatian</v>
      </c>
    </row>
    <row r="77" customFormat="false" ht="15" hidden="false" customHeight="false" outlineLevel="0" collapsed="false">
      <c r="A77" s="2" t="s">
        <v>272</v>
      </c>
      <c r="B77" s="2" t="s">
        <v>273</v>
      </c>
      <c r="C77" s="2" t="s">
        <v>68</v>
      </c>
      <c r="D77" s="2" t="s">
        <v>217</v>
      </c>
      <c r="E77" s="3" t="s">
        <v>274</v>
      </c>
      <c r="F77" s="2" t="s">
        <v>26</v>
      </c>
      <c r="G77" s="4" t="n">
        <v>6500000</v>
      </c>
      <c r="H77" s="4" t="n">
        <v>350000</v>
      </c>
      <c r="I77" s="4" t="n">
        <v>330000</v>
      </c>
      <c r="J77" s="2" t="n">
        <v>21</v>
      </c>
      <c r="K77" s="2" t="n">
        <v>2</v>
      </c>
      <c r="L77" s="2" t="n">
        <v>3</v>
      </c>
      <c r="M77" s="2" t="n">
        <v>0</v>
      </c>
      <c r="N77" s="4" t="n">
        <v>65000</v>
      </c>
      <c r="O77" s="4" t="n">
        <v>130000</v>
      </c>
      <c r="P77" s="4" t="n">
        <f aca="false">H77+I77</f>
        <v>680000</v>
      </c>
      <c r="Q77" s="4" t="n">
        <f aca="false">N77+O77</f>
        <v>195000</v>
      </c>
      <c r="R77" s="4" t="n">
        <f aca="false">G77+P77-Q77</f>
        <v>6985000</v>
      </c>
      <c r="S77" s="2" t="n">
        <f aca="false">DATEDIF(E77,$Y$1,"y")</f>
        <v>6</v>
      </c>
      <c r="T77" s="2" t="str">
        <f aca="false">IF(S77&gt;=5,"Senior",IF(S77&gt;=1,"Menengah","Baru"))</f>
        <v>Senior</v>
      </c>
      <c r="U77" s="9" t="n">
        <f aca="false">J77/(J77+K77+L77+M77)*100</f>
        <v>80.7692307692308</v>
      </c>
      <c r="V77" s="2" t="str">
        <f aca="false">IF(U77&gt;=95,"Baik",IF(U77&gt;=85,"Cukup","Perlu Perhatian"))</f>
        <v>Perlu Perhatian</v>
      </c>
    </row>
    <row r="78" customFormat="false" ht="15" hidden="false" customHeight="false" outlineLevel="0" collapsed="false">
      <c r="A78" s="2" t="s">
        <v>275</v>
      </c>
      <c r="B78" s="2" t="s">
        <v>276</v>
      </c>
      <c r="C78" s="2" t="s">
        <v>52</v>
      </c>
      <c r="D78" s="2" t="s">
        <v>53</v>
      </c>
      <c r="E78" s="3" t="s">
        <v>277</v>
      </c>
      <c r="F78" s="2" t="s">
        <v>20</v>
      </c>
      <c r="G78" s="4" t="n">
        <v>4500000</v>
      </c>
      <c r="H78" s="4" t="n">
        <v>350000</v>
      </c>
      <c r="I78" s="4" t="n">
        <v>330000</v>
      </c>
      <c r="J78" s="2" t="n">
        <v>24</v>
      </c>
      <c r="K78" s="2" t="n">
        <v>0</v>
      </c>
      <c r="L78" s="2" t="n">
        <v>3</v>
      </c>
      <c r="M78" s="2" t="n">
        <v>0</v>
      </c>
      <c r="N78" s="4" t="n">
        <v>45000</v>
      </c>
      <c r="O78" s="4" t="n">
        <v>90000</v>
      </c>
      <c r="P78" s="4" t="n">
        <f aca="false">H78+I78</f>
        <v>680000</v>
      </c>
      <c r="Q78" s="4" t="n">
        <f aca="false">N78+O78</f>
        <v>135000</v>
      </c>
      <c r="R78" s="4" t="n">
        <f aca="false">G78+P78-Q78</f>
        <v>5045000</v>
      </c>
      <c r="S78" s="2" t="n">
        <f aca="false">DATEDIF(E78,$Y$1,"y")</f>
        <v>3</v>
      </c>
      <c r="T78" s="2" t="str">
        <f aca="false">IF(S78&gt;=5,"Senior",IF(S78&gt;=1,"Menengah","Baru"))</f>
        <v>Menengah</v>
      </c>
      <c r="U78" s="9" t="n">
        <f aca="false">J78/(J78+K78+L78+M78)*100</f>
        <v>88.8888888888889</v>
      </c>
      <c r="V78" s="2" t="str">
        <f aca="false">IF(U78&gt;=95,"Baik",IF(U78&gt;=85,"Cukup","Perlu Perhatian"))</f>
        <v>Cukup</v>
      </c>
    </row>
    <row r="79" customFormat="false" ht="15" hidden="false" customHeight="false" outlineLevel="0" collapsed="false">
      <c r="A79" s="2" t="s">
        <v>278</v>
      </c>
      <c r="B79" s="2" t="s">
        <v>279</v>
      </c>
      <c r="C79" s="2" t="s">
        <v>47</v>
      </c>
      <c r="D79" s="2" t="s">
        <v>113</v>
      </c>
      <c r="E79" s="3" t="s">
        <v>280</v>
      </c>
      <c r="F79" s="2" t="s">
        <v>26</v>
      </c>
      <c r="G79" s="4" t="n">
        <v>8500000</v>
      </c>
      <c r="H79" s="4" t="n">
        <v>400000</v>
      </c>
      <c r="I79" s="4" t="n">
        <v>300000</v>
      </c>
      <c r="J79" s="2" t="n">
        <v>24</v>
      </c>
      <c r="K79" s="2" t="n">
        <v>0</v>
      </c>
      <c r="L79" s="2" t="n">
        <v>1</v>
      </c>
      <c r="M79" s="2" t="n">
        <v>0</v>
      </c>
      <c r="N79" s="4" t="n">
        <v>85000</v>
      </c>
      <c r="O79" s="4" t="n">
        <v>170000</v>
      </c>
      <c r="P79" s="4" t="n">
        <f aca="false">H79+I79</f>
        <v>700000</v>
      </c>
      <c r="Q79" s="4" t="n">
        <f aca="false">N79+O79</f>
        <v>255000</v>
      </c>
      <c r="R79" s="4" t="n">
        <f aca="false">G79+P79-Q79</f>
        <v>8945000</v>
      </c>
      <c r="S79" s="2" t="n">
        <f aca="false">DATEDIF(E79,$Y$1,"y")</f>
        <v>3</v>
      </c>
      <c r="T79" s="2" t="str">
        <f aca="false">IF(S79&gt;=5,"Senior",IF(S79&gt;=1,"Menengah","Baru"))</f>
        <v>Menengah</v>
      </c>
      <c r="U79" s="9" t="n">
        <f aca="false">J79/(J79+K79+L79+M79)*100</f>
        <v>96</v>
      </c>
      <c r="V79" s="2" t="str">
        <f aca="false">IF(U79&gt;=95,"Baik",IF(U79&gt;=85,"Cukup","Perlu Perhatian"))</f>
        <v>Baik</v>
      </c>
    </row>
    <row r="80" customFormat="false" ht="15" hidden="false" customHeight="false" outlineLevel="0" collapsed="false">
      <c r="A80" s="2" t="s">
        <v>281</v>
      </c>
      <c r="B80" s="2" t="s">
        <v>282</v>
      </c>
      <c r="C80" s="2" t="s">
        <v>57</v>
      </c>
      <c r="D80" s="2" t="s">
        <v>137</v>
      </c>
      <c r="E80" s="3" t="s">
        <v>283</v>
      </c>
      <c r="F80" s="2" t="s">
        <v>26</v>
      </c>
      <c r="G80" s="4" t="n">
        <v>8500000</v>
      </c>
      <c r="H80" s="4" t="n">
        <v>300000</v>
      </c>
      <c r="I80" s="4" t="n">
        <v>250000</v>
      </c>
      <c r="J80" s="2" t="n">
        <v>23</v>
      </c>
      <c r="K80" s="2" t="n">
        <v>1</v>
      </c>
      <c r="L80" s="2" t="n">
        <v>1</v>
      </c>
      <c r="M80" s="2" t="n">
        <v>0</v>
      </c>
      <c r="N80" s="4" t="n">
        <v>85000</v>
      </c>
      <c r="O80" s="4" t="n">
        <v>170000</v>
      </c>
      <c r="P80" s="4" t="n">
        <f aca="false">H80+I80</f>
        <v>550000</v>
      </c>
      <c r="Q80" s="4" t="n">
        <f aca="false">N80+O80</f>
        <v>255000</v>
      </c>
      <c r="R80" s="4" t="n">
        <f aca="false">G80+P80-Q80</f>
        <v>8795000</v>
      </c>
      <c r="S80" s="2" t="n">
        <f aca="false">DATEDIF(E80,$Y$1,"y")</f>
        <v>2</v>
      </c>
      <c r="T80" s="2" t="str">
        <f aca="false">IF(S80&gt;=5,"Senior",IF(S80&gt;=1,"Menengah","Baru"))</f>
        <v>Menengah</v>
      </c>
      <c r="U80" s="9" t="n">
        <f aca="false">J80/(J80+K80+L80+M80)*100</f>
        <v>92</v>
      </c>
      <c r="V80" s="2" t="str">
        <f aca="false">IF(U80&gt;=95,"Baik",IF(U80&gt;=85,"Cukup","Perlu Perhatian"))</f>
        <v>Cukup</v>
      </c>
    </row>
    <row r="81" customFormat="false" ht="15" hidden="false" customHeight="false" outlineLevel="0" collapsed="false">
      <c r="A81" s="2" t="s">
        <v>284</v>
      </c>
      <c r="B81" s="2" t="s">
        <v>285</v>
      </c>
      <c r="C81" s="2" t="s">
        <v>196</v>
      </c>
      <c r="D81" s="2" t="s">
        <v>204</v>
      </c>
      <c r="E81" s="3" t="s">
        <v>286</v>
      </c>
      <c r="F81" s="2" t="s">
        <v>20</v>
      </c>
      <c r="G81" s="4" t="n">
        <v>4500000</v>
      </c>
      <c r="H81" s="4" t="n">
        <v>350000</v>
      </c>
      <c r="I81" s="4" t="n">
        <v>250000</v>
      </c>
      <c r="J81" s="2" t="n">
        <v>23</v>
      </c>
      <c r="K81" s="2" t="n">
        <v>1</v>
      </c>
      <c r="L81" s="2" t="n">
        <v>3</v>
      </c>
      <c r="M81" s="2" t="n">
        <v>0</v>
      </c>
      <c r="N81" s="4" t="n">
        <v>45000</v>
      </c>
      <c r="O81" s="4" t="n">
        <v>90000</v>
      </c>
      <c r="P81" s="4" t="n">
        <f aca="false">H81+I81</f>
        <v>600000</v>
      </c>
      <c r="Q81" s="4" t="n">
        <f aca="false">N81+O81</f>
        <v>135000</v>
      </c>
      <c r="R81" s="4" t="n">
        <f aca="false">G81+P81-Q81</f>
        <v>4965000</v>
      </c>
      <c r="S81" s="2" t="n">
        <f aca="false">DATEDIF(E81,$Y$1,"y")</f>
        <v>2</v>
      </c>
      <c r="T81" s="2" t="str">
        <f aca="false">IF(S81&gt;=5,"Senior",IF(S81&gt;=1,"Menengah","Baru"))</f>
        <v>Menengah</v>
      </c>
      <c r="U81" s="9" t="n">
        <f aca="false">J81/(J81+K81+L81+M81)*100</f>
        <v>85.1851851851852</v>
      </c>
      <c r="V81" s="2" t="str">
        <f aca="false">IF(U81&gt;=95,"Baik",IF(U81&gt;=85,"Cukup","Perlu Perhatian"))</f>
        <v>Cukup</v>
      </c>
    </row>
    <row r="82" customFormat="false" ht="15" hidden="false" customHeight="false" outlineLevel="0" collapsed="false">
      <c r="A82" s="2" t="s">
        <v>287</v>
      </c>
      <c r="B82" s="2" t="s">
        <v>288</v>
      </c>
      <c r="C82" s="2" t="s">
        <v>17</v>
      </c>
      <c r="D82" s="2" t="s">
        <v>82</v>
      </c>
      <c r="E82" s="3" t="s">
        <v>289</v>
      </c>
      <c r="F82" s="2" t="s">
        <v>65</v>
      </c>
      <c r="G82" s="4" t="n">
        <v>5200000</v>
      </c>
      <c r="H82" s="4" t="n">
        <v>350000</v>
      </c>
      <c r="I82" s="4" t="n">
        <v>330000</v>
      </c>
      <c r="J82" s="2" t="n">
        <v>19</v>
      </c>
      <c r="K82" s="2" t="n">
        <v>3</v>
      </c>
      <c r="L82" s="2" t="n">
        <v>1</v>
      </c>
      <c r="M82" s="2" t="n">
        <v>1</v>
      </c>
      <c r="N82" s="4" t="n">
        <v>52000</v>
      </c>
      <c r="O82" s="4" t="n">
        <v>104000</v>
      </c>
      <c r="P82" s="4" t="n">
        <f aca="false">H82+I82</f>
        <v>680000</v>
      </c>
      <c r="Q82" s="4" t="n">
        <f aca="false">N82+O82</f>
        <v>156000</v>
      </c>
      <c r="R82" s="4" t="n">
        <f aca="false">G82+P82-Q82</f>
        <v>5724000</v>
      </c>
      <c r="S82" s="2" t="n">
        <f aca="false">DATEDIF(E82,$Y$1,"y")</f>
        <v>2</v>
      </c>
      <c r="T82" s="2" t="str">
        <f aca="false">IF(S82&gt;=5,"Senior",IF(S82&gt;=1,"Menengah","Baru"))</f>
        <v>Menengah</v>
      </c>
      <c r="U82" s="9" t="n">
        <f aca="false">J82/(J82+K82+L82+M82)*100</f>
        <v>79.1666666666667</v>
      </c>
      <c r="V82" s="2" t="str">
        <f aca="false">IF(U82&gt;=95,"Baik",IF(U82&gt;=85,"Cukup","Perlu Perhatian"))</f>
        <v>Perlu Perhatian</v>
      </c>
    </row>
    <row r="83" customFormat="false" ht="15" hidden="false" customHeight="false" outlineLevel="0" collapsed="false">
      <c r="A83" s="2" t="s">
        <v>290</v>
      </c>
      <c r="B83" s="2" t="s">
        <v>291</v>
      </c>
      <c r="C83" s="2" t="s">
        <v>57</v>
      </c>
      <c r="D83" s="2" t="s">
        <v>238</v>
      </c>
      <c r="E83" s="3" t="s">
        <v>292</v>
      </c>
      <c r="F83" s="2" t="s">
        <v>26</v>
      </c>
      <c r="G83" s="4" t="n">
        <v>7200000</v>
      </c>
      <c r="H83" s="4" t="n">
        <v>350000</v>
      </c>
      <c r="I83" s="4" t="n">
        <v>330000</v>
      </c>
      <c r="J83" s="2" t="n">
        <v>20</v>
      </c>
      <c r="K83" s="2" t="n">
        <v>0</v>
      </c>
      <c r="L83" s="2" t="n">
        <v>2</v>
      </c>
      <c r="M83" s="2" t="n">
        <v>2</v>
      </c>
      <c r="N83" s="4" t="n">
        <v>72000</v>
      </c>
      <c r="O83" s="4" t="n">
        <v>144000</v>
      </c>
      <c r="P83" s="4" t="n">
        <f aca="false">H83+I83</f>
        <v>680000</v>
      </c>
      <c r="Q83" s="4" t="n">
        <f aca="false">N83+O83</f>
        <v>216000</v>
      </c>
      <c r="R83" s="4" t="n">
        <f aca="false">G83+P83-Q83</f>
        <v>7664000</v>
      </c>
      <c r="S83" s="2" t="n">
        <f aca="false">DATEDIF(E83,$Y$1,"y")</f>
        <v>4</v>
      </c>
      <c r="T83" s="2" t="str">
        <f aca="false">IF(S83&gt;=5,"Senior",IF(S83&gt;=1,"Menengah","Baru"))</f>
        <v>Menengah</v>
      </c>
      <c r="U83" s="9" t="n">
        <f aca="false">J83/(J83+K83+L83+M83)*100</f>
        <v>83.3333333333333</v>
      </c>
      <c r="V83" s="2" t="str">
        <f aca="false">IF(U83&gt;=95,"Baik",IF(U83&gt;=85,"Cukup","Perlu Perhatian"))</f>
        <v>Perlu Perhatian</v>
      </c>
    </row>
    <row r="84" customFormat="false" ht="15" hidden="false" customHeight="false" outlineLevel="0" collapsed="false">
      <c r="A84" s="2" t="s">
        <v>293</v>
      </c>
      <c r="B84" s="2" t="s">
        <v>294</v>
      </c>
      <c r="C84" s="2" t="s">
        <v>52</v>
      </c>
      <c r="D84" s="2" t="s">
        <v>53</v>
      </c>
      <c r="E84" s="3" t="s">
        <v>295</v>
      </c>
      <c r="F84" s="2" t="s">
        <v>26</v>
      </c>
      <c r="G84" s="4" t="n">
        <v>6500000</v>
      </c>
      <c r="H84" s="4" t="n">
        <v>350000</v>
      </c>
      <c r="I84" s="4" t="n">
        <v>330000</v>
      </c>
      <c r="J84" s="2" t="n">
        <v>24</v>
      </c>
      <c r="K84" s="2" t="n">
        <v>3</v>
      </c>
      <c r="L84" s="2" t="n">
        <v>3</v>
      </c>
      <c r="M84" s="2" t="n">
        <v>0</v>
      </c>
      <c r="N84" s="4" t="n">
        <v>65000</v>
      </c>
      <c r="O84" s="4" t="n">
        <v>130000</v>
      </c>
      <c r="P84" s="4" t="n">
        <f aca="false">H84+I84</f>
        <v>680000</v>
      </c>
      <c r="Q84" s="4" t="n">
        <f aca="false">N84+O84</f>
        <v>195000</v>
      </c>
      <c r="R84" s="4" t="n">
        <f aca="false">G84+P84-Q84</f>
        <v>6985000</v>
      </c>
      <c r="S84" s="2" t="n">
        <f aca="false">DATEDIF(E84,$Y$1,"y")</f>
        <v>2</v>
      </c>
      <c r="T84" s="2" t="str">
        <f aca="false">IF(S84&gt;=5,"Senior",IF(S84&gt;=1,"Menengah","Baru"))</f>
        <v>Menengah</v>
      </c>
      <c r="U84" s="9" t="n">
        <f aca="false">J84/(J84+K84+L84+M84)*100</f>
        <v>80</v>
      </c>
      <c r="V84" s="2" t="str">
        <f aca="false">IF(U84&gt;=95,"Baik",IF(U84&gt;=85,"Cukup","Perlu Perhatian"))</f>
        <v>Perlu Perhatian</v>
      </c>
    </row>
    <row r="85" customFormat="false" ht="15" hidden="false" customHeight="false" outlineLevel="0" collapsed="false">
      <c r="A85" s="2" t="s">
        <v>296</v>
      </c>
      <c r="B85" s="2" t="s">
        <v>297</v>
      </c>
      <c r="C85" s="2" t="s">
        <v>47</v>
      </c>
      <c r="D85" s="2" t="s">
        <v>113</v>
      </c>
      <c r="E85" s="3" t="s">
        <v>298</v>
      </c>
      <c r="F85" s="2" t="s">
        <v>20</v>
      </c>
      <c r="G85" s="4" t="n">
        <v>7200000</v>
      </c>
      <c r="H85" s="4" t="n">
        <v>300000</v>
      </c>
      <c r="I85" s="4" t="n">
        <v>300000</v>
      </c>
      <c r="J85" s="2" t="n">
        <v>23</v>
      </c>
      <c r="K85" s="2" t="n">
        <v>3</v>
      </c>
      <c r="L85" s="2" t="n">
        <v>3</v>
      </c>
      <c r="M85" s="2" t="n">
        <v>0</v>
      </c>
      <c r="N85" s="4" t="n">
        <v>72000</v>
      </c>
      <c r="O85" s="4" t="n">
        <v>144000</v>
      </c>
      <c r="P85" s="4" t="n">
        <f aca="false">H85+I85</f>
        <v>600000</v>
      </c>
      <c r="Q85" s="4" t="n">
        <f aca="false">N85+O85</f>
        <v>216000</v>
      </c>
      <c r="R85" s="4" t="n">
        <f aca="false">G85+P85-Q85</f>
        <v>7584000</v>
      </c>
      <c r="S85" s="2" t="n">
        <f aca="false">DATEDIF(E85,$Y$1,"y")</f>
        <v>3</v>
      </c>
      <c r="T85" s="2" t="str">
        <f aca="false">IF(S85&gt;=5,"Senior",IF(S85&gt;=1,"Menengah","Baru"))</f>
        <v>Menengah</v>
      </c>
      <c r="U85" s="9" t="n">
        <f aca="false">J85/(J85+K85+L85+M85)*100</f>
        <v>79.3103448275862</v>
      </c>
      <c r="V85" s="2" t="str">
        <f aca="false">IF(U85&gt;=95,"Baik",IF(U85&gt;=85,"Cukup","Perlu Perhatian"))</f>
        <v>Perlu Perhatian</v>
      </c>
    </row>
    <row r="86" customFormat="false" ht="15" hidden="false" customHeight="false" outlineLevel="0" collapsed="false">
      <c r="A86" s="2" t="s">
        <v>299</v>
      </c>
      <c r="B86" s="2" t="s">
        <v>300</v>
      </c>
      <c r="C86" s="2" t="s">
        <v>52</v>
      </c>
      <c r="D86" s="2" t="s">
        <v>53</v>
      </c>
      <c r="E86" s="3" t="s">
        <v>301</v>
      </c>
      <c r="F86" s="2" t="s">
        <v>26</v>
      </c>
      <c r="G86" s="4" t="n">
        <v>6500000</v>
      </c>
      <c r="H86" s="4" t="n">
        <v>300000</v>
      </c>
      <c r="I86" s="4" t="n">
        <v>300000</v>
      </c>
      <c r="J86" s="2" t="n">
        <v>18</v>
      </c>
      <c r="K86" s="2" t="n">
        <v>3</v>
      </c>
      <c r="L86" s="2" t="n">
        <v>0</v>
      </c>
      <c r="M86" s="2" t="n">
        <v>3</v>
      </c>
      <c r="N86" s="4" t="n">
        <v>65000</v>
      </c>
      <c r="O86" s="4" t="n">
        <v>130000</v>
      </c>
      <c r="P86" s="4" t="n">
        <f aca="false">H86+I86</f>
        <v>600000</v>
      </c>
      <c r="Q86" s="4" t="n">
        <f aca="false">N86+O86</f>
        <v>195000</v>
      </c>
      <c r="R86" s="4" t="n">
        <f aca="false">G86+P86-Q86</f>
        <v>6905000</v>
      </c>
      <c r="S86" s="2" t="n">
        <f aca="false">DATEDIF(E86,$Y$1,"y")</f>
        <v>6</v>
      </c>
      <c r="T86" s="2" t="str">
        <f aca="false">IF(S86&gt;=5,"Senior",IF(S86&gt;=1,"Menengah","Baru"))</f>
        <v>Senior</v>
      </c>
      <c r="U86" s="9" t="n">
        <f aca="false">J86/(J86+K86+L86+M86)*100</f>
        <v>75</v>
      </c>
      <c r="V86" s="2" t="str">
        <f aca="false">IF(U86&gt;=95,"Baik",IF(U86&gt;=85,"Cukup","Perlu Perhatian"))</f>
        <v>Perlu Perhatian</v>
      </c>
    </row>
    <row r="87" customFormat="false" ht="15" hidden="false" customHeight="false" outlineLevel="0" collapsed="false">
      <c r="A87" s="2" t="s">
        <v>302</v>
      </c>
      <c r="B87" s="2" t="s">
        <v>303</v>
      </c>
      <c r="C87" s="2" t="s">
        <v>57</v>
      </c>
      <c r="D87" s="2" t="s">
        <v>238</v>
      </c>
      <c r="E87" s="3" t="s">
        <v>304</v>
      </c>
      <c r="F87" s="2" t="s">
        <v>26</v>
      </c>
      <c r="G87" s="4" t="n">
        <v>5800000</v>
      </c>
      <c r="H87" s="4" t="n">
        <v>350000</v>
      </c>
      <c r="I87" s="4" t="n">
        <v>330000</v>
      </c>
      <c r="J87" s="2" t="n">
        <v>23</v>
      </c>
      <c r="K87" s="2" t="n">
        <v>3</v>
      </c>
      <c r="L87" s="2" t="n">
        <v>0</v>
      </c>
      <c r="M87" s="2" t="n">
        <v>0</v>
      </c>
      <c r="N87" s="4" t="n">
        <v>58000</v>
      </c>
      <c r="O87" s="4" t="n">
        <v>116000</v>
      </c>
      <c r="P87" s="4" t="n">
        <f aca="false">H87+I87</f>
        <v>680000</v>
      </c>
      <c r="Q87" s="4" t="n">
        <f aca="false">N87+O87</f>
        <v>174000</v>
      </c>
      <c r="R87" s="4" t="n">
        <f aca="false">G87+P87-Q87</f>
        <v>6306000</v>
      </c>
      <c r="S87" s="2" t="n">
        <f aca="false">DATEDIF(E87,$Y$1,"y")</f>
        <v>2</v>
      </c>
      <c r="T87" s="2" t="str">
        <f aca="false">IF(S87&gt;=5,"Senior",IF(S87&gt;=1,"Menengah","Baru"))</f>
        <v>Menengah</v>
      </c>
      <c r="U87" s="9" t="n">
        <f aca="false">J87/(J87+K87+L87+M87)*100</f>
        <v>88.4615384615385</v>
      </c>
      <c r="V87" s="2" t="str">
        <f aca="false">IF(U87&gt;=95,"Baik",IF(U87&gt;=85,"Cukup","Perlu Perhatian"))</f>
        <v>Cukup</v>
      </c>
    </row>
    <row r="88" customFormat="false" ht="15" hidden="false" customHeight="false" outlineLevel="0" collapsed="false">
      <c r="A88" s="2" t="s">
        <v>305</v>
      </c>
      <c r="B88" s="2" t="s">
        <v>306</v>
      </c>
      <c r="C88" s="2" t="s">
        <v>62</v>
      </c>
      <c r="D88" s="2" t="s">
        <v>63</v>
      </c>
      <c r="E88" s="3" t="s">
        <v>307</v>
      </c>
      <c r="F88" s="2" t="s">
        <v>26</v>
      </c>
      <c r="G88" s="4" t="n">
        <v>4200000</v>
      </c>
      <c r="H88" s="4" t="n">
        <v>400000</v>
      </c>
      <c r="I88" s="4" t="n">
        <v>250000</v>
      </c>
      <c r="J88" s="2" t="n">
        <v>19</v>
      </c>
      <c r="K88" s="2" t="n">
        <v>2</v>
      </c>
      <c r="L88" s="2" t="n">
        <v>1</v>
      </c>
      <c r="M88" s="2" t="n">
        <v>2</v>
      </c>
      <c r="N88" s="4" t="n">
        <v>42000</v>
      </c>
      <c r="O88" s="4" t="n">
        <v>84000</v>
      </c>
      <c r="P88" s="4" t="n">
        <f aca="false">H88+I88</f>
        <v>650000</v>
      </c>
      <c r="Q88" s="4" t="n">
        <f aca="false">N88+O88</f>
        <v>126000</v>
      </c>
      <c r="R88" s="4" t="n">
        <f aca="false">G88+P88-Q88</f>
        <v>4724000</v>
      </c>
      <c r="S88" s="2" t="n">
        <f aca="false">DATEDIF(E88,$Y$1,"y")</f>
        <v>2</v>
      </c>
      <c r="T88" s="2" t="str">
        <f aca="false">IF(S88&gt;=5,"Senior",IF(S88&gt;=1,"Menengah","Baru"))</f>
        <v>Menengah</v>
      </c>
      <c r="U88" s="9" t="n">
        <f aca="false">J88/(J88+K88+L88+M88)*100</f>
        <v>79.1666666666667</v>
      </c>
      <c r="V88" s="2" t="str">
        <f aca="false">IF(U88&gt;=95,"Baik",IF(U88&gt;=85,"Cukup","Perlu Perhatian"))</f>
        <v>Perlu Perhatian</v>
      </c>
    </row>
    <row r="89" customFormat="false" ht="15" hidden="false" customHeight="false" outlineLevel="0" collapsed="false">
      <c r="A89" s="2" t="s">
        <v>308</v>
      </c>
      <c r="B89" s="2" t="s">
        <v>309</v>
      </c>
      <c r="C89" s="2" t="s">
        <v>23</v>
      </c>
      <c r="D89" s="2" t="s">
        <v>43</v>
      </c>
      <c r="E89" s="3" t="s">
        <v>310</v>
      </c>
      <c r="F89" s="2" t="s">
        <v>26</v>
      </c>
      <c r="G89" s="4" t="n">
        <v>5800000</v>
      </c>
      <c r="H89" s="4" t="n">
        <v>300000</v>
      </c>
      <c r="I89" s="4" t="n">
        <v>250000</v>
      </c>
      <c r="J89" s="2" t="n">
        <v>20</v>
      </c>
      <c r="K89" s="2" t="n">
        <v>0</v>
      </c>
      <c r="L89" s="2" t="n">
        <v>2</v>
      </c>
      <c r="M89" s="2" t="n">
        <v>2</v>
      </c>
      <c r="N89" s="4" t="n">
        <v>58000</v>
      </c>
      <c r="O89" s="4" t="n">
        <v>116000</v>
      </c>
      <c r="P89" s="4" t="n">
        <f aca="false">H89+I89</f>
        <v>550000</v>
      </c>
      <c r="Q89" s="4" t="n">
        <f aca="false">N89+O89</f>
        <v>174000</v>
      </c>
      <c r="R89" s="4" t="n">
        <f aca="false">G89+P89-Q89</f>
        <v>6176000</v>
      </c>
      <c r="S89" s="2" t="n">
        <f aca="false">DATEDIF(E89,$Y$1,"y")</f>
        <v>6</v>
      </c>
      <c r="T89" s="2" t="str">
        <f aca="false">IF(S89&gt;=5,"Senior",IF(S89&gt;=1,"Menengah","Baru"))</f>
        <v>Senior</v>
      </c>
      <c r="U89" s="9" t="n">
        <f aca="false">J89/(J89+K89+L89+M89)*100</f>
        <v>83.3333333333333</v>
      </c>
      <c r="V89" s="2" t="str">
        <f aca="false">IF(U89&gt;=95,"Baik",IF(U89&gt;=85,"Cukup","Perlu Perhatian"))</f>
        <v>Perlu Perhatian</v>
      </c>
    </row>
    <row r="90" customFormat="false" ht="15" hidden="false" customHeight="false" outlineLevel="0" collapsed="false">
      <c r="A90" s="2" t="s">
        <v>311</v>
      </c>
      <c r="B90" s="2" t="s">
        <v>312</v>
      </c>
      <c r="C90" s="2" t="s">
        <v>62</v>
      </c>
      <c r="D90" s="2" t="s">
        <v>141</v>
      </c>
      <c r="E90" s="3" t="s">
        <v>313</v>
      </c>
      <c r="F90" s="2" t="s">
        <v>26</v>
      </c>
      <c r="G90" s="4" t="n">
        <v>4800000</v>
      </c>
      <c r="H90" s="4" t="n">
        <v>300000</v>
      </c>
      <c r="I90" s="4" t="n">
        <v>250000</v>
      </c>
      <c r="J90" s="2" t="n">
        <v>18</v>
      </c>
      <c r="K90" s="2" t="n">
        <v>3</v>
      </c>
      <c r="L90" s="2" t="n">
        <v>1</v>
      </c>
      <c r="M90" s="2" t="n">
        <v>2</v>
      </c>
      <c r="N90" s="4" t="n">
        <v>48000</v>
      </c>
      <c r="O90" s="4" t="n">
        <v>96000</v>
      </c>
      <c r="P90" s="4" t="n">
        <f aca="false">H90+I90</f>
        <v>550000</v>
      </c>
      <c r="Q90" s="4" t="n">
        <f aca="false">N90+O90</f>
        <v>144000</v>
      </c>
      <c r="R90" s="4" t="n">
        <f aca="false">G90+P90-Q90</f>
        <v>5206000</v>
      </c>
      <c r="S90" s="2" t="n">
        <f aca="false">DATEDIF(E90,$Y$1,"y")</f>
        <v>4</v>
      </c>
      <c r="T90" s="2" t="str">
        <f aca="false">IF(S90&gt;=5,"Senior",IF(S90&gt;=1,"Menengah","Baru"))</f>
        <v>Menengah</v>
      </c>
      <c r="U90" s="9" t="n">
        <f aca="false">J90/(J90+K90+L90+M90)*100</f>
        <v>75</v>
      </c>
      <c r="V90" s="2" t="str">
        <f aca="false">IF(U90&gt;=95,"Baik",IF(U90&gt;=85,"Cukup","Perlu Perhatian"))</f>
        <v>Perlu Perhatian</v>
      </c>
    </row>
    <row r="91" customFormat="false" ht="15" hidden="false" customHeight="false" outlineLevel="0" collapsed="false">
      <c r="A91" s="2" t="s">
        <v>314</v>
      </c>
      <c r="B91" s="2" t="s">
        <v>315</v>
      </c>
      <c r="C91" s="2" t="s">
        <v>57</v>
      </c>
      <c r="D91" s="2" t="s">
        <v>238</v>
      </c>
      <c r="E91" s="3" t="s">
        <v>316</v>
      </c>
      <c r="F91" s="2" t="s">
        <v>26</v>
      </c>
      <c r="G91" s="4" t="n">
        <v>8500000</v>
      </c>
      <c r="H91" s="4" t="n">
        <v>350000</v>
      </c>
      <c r="I91" s="4" t="n">
        <v>330000</v>
      </c>
      <c r="J91" s="2" t="n">
        <v>18</v>
      </c>
      <c r="K91" s="2" t="n">
        <v>3</v>
      </c>
      <c r="L91" s="2" t="n">
        <v>2</v>
      </c>
      <c r="M91" s="2" t="n">
        <v>1</v>
      </c>
      <c r="N91" s="4" t="n">
        <v>85000</v>
      </c>
      <c r="O91" s="4" t="n">
        <v>170000</v>
      </c>
      <c r="P91" s="4" t="n">
        <f aca="false">H91+I91</f>
        <v>680000</v>
      </c>
      <c r="Q91" s="4" t="n">
        <f aca="false">N91+O91</f>
        <v>255000</v>
      </c>
      <c r="R91" s="4" t="n">
        <f aca="false">G91+P91-Q91</f>
        <v>8925000</v>
      </c>
      <c r="S91" s="2" t="n">
        <f aca="false">DATEDIF(E91,$Y$1,"y")</f>
        <v>2</v>
      </c>
      <c r="T91" s="2" t="str">
        <f aca="false">IF(S91&gt;=5,"Senior",IF(S91&gt;=1,"Menengah","Baru"))</f>
        <v>Menengah</v>
      </c>
      <c r="U91" s="9" t="n">
        <f aca="false">J91/(J91+K91+L91+M91)*100</f>
        <v>75</v>
      </c>
      <c r="V91" s="2" t="str">
        <f aca="false">IF(U91&gt;=95,"Baik",IF(U91&gt;=85,"Cukup","Perlu Perhatian"))</f>
        <v>Perlu Perhatian</v>
      </c>
    </row>
    <row r="92" customFormat="false" ht="15" hidden="false" customHeight="false" outlineLevel="0" collapsed="false">
      <c r="A92" s="2" t="s">
        <v>317</v>
      </c>
      <c r="B92" s="2" t="s">
        <v>318</v>
      </c>
      <c r="C92" s="2" t="s">
        <v>23</v>
      </c>
      <c r="D92" s="2" t="s">
        <v>32</v>
      </c>
      <c r="E92" s="3" t="s">
        <v>319</v>
      </c>
      <c r="F92" s="2" t="s">
        <v>65</v>
      </c>
      <c r="G92" s="4" t="n">
        <v>5800000</v>
      </c>
      <c r="H92" s="4" t="n">
        <v>400000</v>
      </c>
      <c r="I92" s="4" t="n">
        <v>300000</v>
      </c>
      <c r="J92" s="2" t="n">
        <v>23</v>
      </c>
      <c r="K92" s="2" t="n">
        <v>2</v>
      </c>
      <c r="L92" s="2" t="n">
        <v>3</v>
      </c>
      <c r="M92" s="2" t="n">
        <v>0</v>
      </c>
      <c r="N92" s="4" t="n">
        <v>58000</v>
      </c>
      <c r="O92" s="4" t="n">
        <v>116000</v>
      </c>
      <c r="P92" s="4" t="n">
        <f aca="false">H92+I92</f>
        <v>700000</v>
      </c>
      <c r="Q92" s="4" t="n">
        <f aca="false">N92+O92</f>
        <v>174000</v>
      </c>
      <c r="R92" s="4" t="n">
        <f aca="false">G92+P92-Q92</f>
        <v>6326000</v>
      </c>
      <c r="S92" s="2" t="n">
        <f aca="false">DATEDIF(E92,$Y$1,"y")</f>
        <v>3</v>
      </c>
      <c r="T92" s="2" t="str">
        <f aca="false">IF(S92&gt;=5,"Senior",IF(S92&gt;=1,"Menengah","Baru"))</f>
        <v>Menengah</v>
      </c>
      <c r="U92" s="9" t="n">
        <f aca="false">J92/(J92+K92+L92+M92)*100</f>
        <v>82.1428571428571</v>
      </c>
      <c r="V92" s="2" t="str">
        <f aca="false">IF(U92&gt;=95,"Baik",IF(U92&gt;=85,"Cukup","Perlu Perhatian"))</f>
        <v>Perlu Perhatian</v>
      </c>
    </row>
    <row r="93" customFormat="false" ht="15" hidden="false" customHeight="false" outlineLevel="0" collapsed="false">
      <c r="A93" s="2" t="s">
        <v>320</v>
      </c>
      <c r="B93" s="2" t="s">
        <v>321</v>
      </c>
      <c r="C93" s="2" t="s">
        <v>62</v>
      </c>
      <c r="D93" s="2" t="s">
        <v>63</v>
      </c>
      <c r="E93" s="3" t="s">
        <v>322</v>
      </c>
      <c r="F93" s="2" t="s">
        <v>20</v>
      </c>
      <c r="G93" s="4" t="n">
        <v>6500000</v>
      </c>
      <c r="H93" s="4" t="n">
        <v>400000</v>
      </c>
      <c r="I93" s="4" t="n">
        <v>300000</v>
      </c>
      <c r="J93" s="2" t="n">
        <v>23</v>
      </c>
      <c r="K93" s="2" t="n">
        <v>2</v>
      </c>
      <c r="L93" s="2" t="n">
        <v>0</v>
      </c>
      <c r="M93" s="2" t="n">
        <v>0</v>
      </c>
      <c r="N93" s="4" t="n">
        <v>65000</v>
      </c>
      <c r="O93" s="4" t="n">
        <v>130000</v>
      </c>
      <c r="P93" s="4" t="n">
        <f aca="false">H93+I93</f>
        <v>700000</v>
      </c>
      <c r="Q93" s="4" t="n">
        <f aca="false">N93+O93</f>
        <v>195000</v>
      </c>
      <c r="R93" s="4" t="n">
        <f aca="false">G93+P93-Q93</f>
        <v>7005000</v>
      </c>
      <c r="S93" s="2" t="n">
        <f aca="false">DATEDIF(E93,$Y$1,"y")</f>
        <v>6</v>
      </c>
      <c r="T93" s="2" t="str">
        <f aca="false">IF(S93&gt;=5,"Senior",IF(S93&gt;=1,"Menengah","Baru"))</f>
        <v>Senior</v>
      </c>
      <c r="U93" s="9" t="n">
        <f aca="false">J93/(J93+K93+L93+M93)*100</f>
        <v>92</v>
      </c>
      <c r="V93" s="2" t="str">
        <f aca="false">IF(U93&gt;=95,"Baik",IF(U93&gt;=85,"Cukup","Perlu Perhatian"))</f>
        <v>Cukup</v>
      </c>
    </row>
    <row r="94" customFormat="false" ht="15" hidden="false" customHeight="false" outlineLevel="0" collapsed="false">
      <c r="A94" s="2" t="s">
        <v>323</v>
      </c>
      <c r="B94" s="2" t="s">
        <v>324</v>
      </c>
      <c r="C94" s="2" t="s">
        <v>196</v>
      </c>
      <c r="D94" s="2" t="s">
        <v>204</v>
      </c>
      <c r="E94" s="3" t="s">
        <v>325</v>
      </c>
      <c r="F94" s="2" t="s">
        <v>65</v>
      </c>
      <c r="G94" s="4" t="n">
        <v>8500000</v>
      </c>
      <c r="H94" s="4" t="n">
        <v>350000</v>
      </c>
      <c r="I94" s="4" t="n">
        <v>250000</v>
      </c>
      <c r="J94" s="2" t="n">
        <v>22</v>
      </c>
      <c r="K94" s="2" t="n">
        <v>2</v>
      </c>
      <c r="L94" s="2" t="n">
        <v>1</v>
      </c>
      <c r="M94" s="2" t="n">
        <v>0</v>
      </c>
      <c r="N94" s="4" t="n">
        <v>85000</v>
      </c>
      <c r="O94" s="4" t="n">
        <v>170000</v>
      </c>
      <c r="P94" s="4" t="n">
        <f aca="false">H94+I94</f>
        <v>600000</v>
      </c>
      <c r="Q94" s="4" t="n">
        <f aca="false">N94+O94</f>
        <v>255000</v>
      </c>
      <c r="R94" s="4" t="n">
        <f aca="false">G94+P94-Q94</f>
        <v>8845000</v>
      </c>
      <c r="S94" s="2" t="n">
        <f aca="false">DATEDIF(E94,$Y$1,"y")</f>
        <v>6</v>
      </c>
      <c r="T94" s="2" t="str">
        <f aca="false">IF(S94&gt;=5,"Senior",IF(S94&gt;=1,"Menengah","Baru"))</f>
        <v>Senior</v>
      </c>
      <c r="U94" s="9" t="n">
        <f aca="false">J94/(J94+K94+L94+M94)*100</f>
        <v>88</v>
      </c>
      <c r="V94" s="2" t="str">
        <f aca="false">IF(U94&gt;=95,"Baik",IF(U94&gt;=85,"Cukup","Perlu Perhatian"))</f>
        <v>Cukup</v>
      </c>
    </row>
    <row r="95" customFormat="false" ht="15" hidden="false" customHeight="false" outlineLevel="0" collapsed="false">
      <c r="A95" s="2" t="s">
        <v>326</v>
      </c>
      <c r="B95" s="2" t="s">
        <v>327</v>
      </c>
      <c r="C95" s="2" t="s">
        <v>17</v>
      </c>
      <c r="D95" s="2" t="s">
        <v>36</v>
      </c>
      <c r="E95" s="3" t="s">
        <v>328</v>
      </c>
      <c r="F95" s="2" t="s">
        <v>26</v>
      </c>
      <c r="G95" s="4" t="n">
        <v>4200000</v>
      </c>
      <c r="H95" s="4" t="n">
        <v>350000</v>
      </c>
      <c r="I95" s="4" t="n">
        <v>300000</v>
      </c>
      <c r="J95" s="2" t="n">
        <v>18</v>
      </c>
      <c r="K95" s="2" t="n">
        <v>2</v>
      </c>
      <c r="L95" s="2" t="n">
        <v>1</v>
      </c>
      <c r="M95" s="2" t="n">
        <v>3</v>
      </c>
      <c r="N95" s="4" t="n">
        <v>42000</v>
      </c>
      <c r="O95" s="4" t="n">
        <v>84000</v>
      </c>
      <c r="P95" s="4" t="n">
        <f aca="false">H95+I95</f>
        <v>650000</v>
      </c>
      <c r="Q95" s="4" t="n">
        <f aca="false">N95+O95</f>
        <v>126000</v>
      </c>
      <c r="R95" s="4" t="n">
        <f aca="false">G95+P95-Q95</f>
        <v>4724000</v>
      </c>
      <c r="S95" s="2" t="n">
        <f aca="false">DATEDIF(E95,$Y$1,"y")</f>
        <v>5</v>
      </c>
      <c r="T95" s="2" t="str">
        <f aca="false">IF(S95&gt;=5,"Senior",IF(S95&gt;=1,"Menengah","Baru"))</f>
        <v>Senior</v>
      </c>
      <c r="U95" s="9" t="n">
        <f aca="false">J95/(J95+K95+L95+M95)*100</f>
        <v>75</v>
      </c>
      <c r="V95" s="2" t="str">
        <f aca="false">IF(U95&gt;=95,"Baik",IF(U95&gt;=85,"Cukup","Perlu Perhatian"))</f>
        <v>Perlu Perhatian</v>
      </c>
    </row>
    <row r="96" customFormat="false" ht="15" hidden="false" customHeight="false" outlineLevel="0" collapsed="false">
      <c r="A96" s="2" t="s">
        <v>329</v>
      </c>
      <c r="B96" s="2" t="s">
        <v>330</v>
      </c>
      <c r="C96" s="2" t="s">
        <v>68</v>
      </c>
      <c r="D96" s="2" t="s">
        <v>217</v>
      </c>
      <c r="E96" s="3" t="s">
        <v>331</v>
      </c>
      <c r="F96" s="2" t="s">
        <v>20</v>
      </c>
      <c r="G96" s="4" t="n">
        <v>4800000</v>
      </c>
      <c r="H96" s="4" t="n">
        <v>400000</v>
      </c>
      <c r="I96" s="4" t="n">
        <v>300000</v>
      </c>
      <c r="J96" s="2" t="n">
        <v>22</v>
      </c>
      <c r="K96" s="2" t="n">
        <v>2</v>
      </c>
      <c r="L96" s="2" t="n">
        <v>1</v>
      </c>
      <c r="M96" s="2" t="n">
        <v>0</v>
      </c>
      <c r="N96" s="4" t="n">
        <v>48000</v>
      </c>
      <c r="O96" s="4" t="n">
        <v>96000</v>
      </c>
      <c r="P96" s="4" t="n">
        <f aca="false">H96+I96</f>
        <v>700000</v>
      </c>
      <c r="Q96" s="4" t="n">
        <f aca="false">N96+O96</f>
        <v>144000</v>
      </c>
      <c r="R96" s="4" t="n">
        <f aca="false">G96+P96-Q96</f>
        <v>5356000</v>
      </c>
      <c r="S96" s="2" t="n">
        <f aca="false">DATEDIF(E96,$Y$1,"y")</f>
        <v>2</v>
      </c>
      <c r="T96" s="2" t="str">
        <f aca="false">IF(S96&gt;=5,"Senior",IF(S96&gt;=1,"Menengah","Baru"))</f>
        <v>Menengah</v>
      </c>
      <c r="U96" s="9" t="n">
        <f aca="false">J96/(J96+K96+L96+M96)*100</f>
        <v>88</v>
      </c>
      <c r="V96" s="2" t="str">
        <f aca="false">IF(U96&gt;=95,"Baik",IF(U96&gt;=85,"Cukup","Perlu Perhatian"))</f>
        <v>Cukup</v>
      </c>
    </row>
    <row r="97" customFormat="false" ht="15" hidden="false" customHeight="false" outlineLevel="0" collapsed="false">
      <c r="A97" s="2" t="s">
        <v>332</v>
      </c>
      <c r="B97" s="2" t="s">
        <v>333</v>
      </c>
      <c r="C97" s="2" t="s">
        <v>17</v>
      </c>
      <c r="D97" s="2" t="s">
        <v>36</v>
      </c>
      <c r="E97" s="3" t="s">
        <v>334</v>
      </c>
      <c r="F97" s="2" t="s">
        <v>26</v>
      </c>
      <c r="G97" s="4" t="n">
        <v>8500000</v>
      </c>
      <c r="H97" s="4" t="n">
        <v>300000</v>
      </c>
      <c r="I97" s="4" t="n">
        <v>250000</v>
      </c>
      <c r="J97" s="2" t="n">
        <v>24</v>
      </c>
      <c r="K97" s="2" t="n">
        <v>1</v>
      </c>
      <c r="L97" s="2" t="n">
        <v>3</v>
      </c>
      <c r="M97" s="2" t="n">
        <v>0</v>
      </c>
      <c r="N97" s="4" t="n">
        <v>85000</v>
      </c>
      <c r="O97" s="4" t="n">
        <v>170000</v>
      </c>
      <c r="P97" s="4" t="n">
        <f aca="false">H97+I97</f>
        <v>550000</v>
      </c>
      <c r="Q97" s="4" t="n">
        <f aca="false">N97+O97</f>
        <v>255000</v>
      </c>
      <c r="R97" s="4" t="n">
        <f aca="false">G97+P97-Q97</f>
        <v>8795000</v>
      </c>
      <c r="S97" s="2" t="n">
        <f aca="false">DATEDIF(E97,$Y$1,"y")</f>
        <v>3</v>
      </c>
      <c r="T97" s="2" t="str">
        <f aca="false">IF(S97&gt;=5,"Senior",IF(S97&gt;=1,"Menengah","Baru"))</f>
        <v>Menengah</v>
      </c>
      <c r="U97" s="9" t="n">
        <f aca="false">J97/(J97+K97+L97+M97)*100</f>
        <v>85.7142857142857</v>
      </c>
      <c r="V97" s="2" t="str">
        <f aca="false">IF(U97&gt;=95,"Baik",IF(U97&gt;=85,"Cukup","Perlu Perhatian"))</f>
        <v>Cukup</v>
      </c>
    </row>
    <row r="98" customFormat="false" ht="15" hidden="false" customHeight="false" outlineLevel="0" collapsed="false">
      <c r="A98" s="2" t="s">
        <v>335</v>
      </c>
      <c r="B98" s="2" t="s">
        <v>336</v>
      </c>
      <c r="C98" s="2" t="s">
        <v>23</v>
      </c>
      <c r="D98" s="2" t="s">
        <v>32</v>
      </c>
      <c r="E98" s="3" t="s">
        <v>337</v>
      </c>
      <c r="F98" s="2" t="s">
        <v>20</v>
      </c>
      <c r="G98" s="4" t="n">
        <v>4500000</v>
      </c>
      <c r="H98" s="4" t="n">
        <v>350000</v>
      </c>
      <c r="I98" s="4" t="n">
        <v>300000</v>
      </c>
      <c r="J98" s="2" t="n">
        <v>23</v>
      </c>
      <c r="K98" s="2" t="n">
        <v>2</v>
      </c>
      <c r="L98" s="2" t="n">
        <v>3</v>
      </c>
      <c r="M98" s="2" t="n">
        <v>0</v>
      </c>
      <c r="N98" s="4" t="n">
        <v>45000</v>
      </c>
      <c r="O98" s="4" t="n">
        <v>90000</v>
      </c>
      <c r="P98" s="4" t="n">
        <f aca="false">H98+I98</f>
        <v>650000</v>
      </c>
      <c r="Q98" s="4" t="n">
        <f aca="false">N98+O98</f>
        <v>135000</v>
      </c>
      <c r="R98" s="4" t="n">
        <f aca="false">G98+P98-Q98</f>
        <v>5015000</v>
      </c>
      <c r="S98" s="2" t="n">
        <f aca="false">DATEDIF(E98,$Y$1,"y")</f>
        <v>7</v>
      </c>
      <c r="T98" s="2" t="str">
        <f aca="false">IF(S98&gt;=5,"Senior",IF(S98&gt;=1,"Menengah","Baru"))</f>
        <v>Senior</v>
      </c>
      <c r="U98" s="9" t="n">
        <f aca="false">J98/(J98+K98+L98+M98)*100</f>
        <v>82.1428571428571</v>
      </c>
      <c r="V98" s="2" t="str">
        <f aca="false">IF(U98&gt;=95,"Baik",IF(U98&gt;=85,"Cukup","Perlu Perhatian"))</f>
        <v>Perlu Perhatian</v>
      </c>
    </row>
    <row r="99" customFormat="false" ht="15" hidden="false" customHeight="false" outlineLevel="0" collapsed="false">
      <c r="A99" s="2" t="s">
        <v>338</v>
      </c>
      <c r="B99" s="2" t="s">
        <v>339</v>
      </c>
      <c r="C99" s="2" t="s">
        <v>47</v>
      </c>
      <c r="D99" s="2" t="s">
        <v>117</v>
      </c>
      <c r="E99" s="3" t="s">
        <v>340</v>
      </c>
      <c r="F99" s="2" t="s">
        <v>26</v>
      </c>
      <c r="G99" s="4" t="n">
        <v>9500000</v>
      </c>
      <c r="H99" s="4" t="n">
        <v>350000</v>
      </c>
      <c r="I99" s="4" t="n">
        <v>330000</v>
      </c>
      <c r="J99" s="2" t="n">
        <v>19</v>
      </c>
      <c r="K99" s="2" t="n">
        <v>0</v>
      </c>
      <c r="L99" s="2" t="n">
        <v>3</v>
      </c>
      <c r="M99" s="2" t="n">
        <v>2</v>
      </c>
      <c r="N99" s="4" t="n">
        <v>95000</v>
      </c>
      <c r="O99" s="4" t="n">
        <v>190000</v>
      </c>
      <c r="P99" s="4" t="n">
        <f aca="false">H99+I99</f>
        <v>680000</v>
      </c>
      <c r="Q99" s="4" t="n">
        <f aca="false">N99+O99</f>
        <v>285000</v>
      </c>
      <c r="R99" s="4" t="n">
        <f aca="false">G99+P99-Q99</f>
        <v>9895000</v>
      </c>
      <c r="S99" s="2" t="n">
        <f aca="false">DATEDIF(E99,$Y$1,"y")</f>
        <v>7</v>
      </c>
      <c r="T99" s="2" t="str">
        <f aca="false">IF(S99&gt;=5,"Senior",IF(S99&gt;=1,"Menengah","Baru"))</f>
        <v>Senior</v>
      </c>
      <c r="U99" s="9" t="n">
        <f aca="false">J99/(J99+K99+L99+M99)*100</f>
        <v>79.1666666666667</v>
      </c>
      <c r="V99" s="2" t="str">
        <f aca="false">IF(U99&gt;=95,"Baik",IF(U99&gt;=85,"Cukup","Perlu Perhatian"))</f>
        <v>Perlu Perhatian</v>
      </c>
    </row>
    <row r="100" customFormat="false" ht="15" hidden="false" customHeight="false" outlineLevel="0" collapsed="false">
      <c r="A100" s="2" t="s">
        <v>341</v>
      </c>
      <c r="B100" s="2" t="s">
        <v>342</v>
      </c>
      <c r="C100" s="2" t="s">
        <v>23</v>
      </c>
      <c r="D100" s="2" t="s">
        <v>24</v>
      </c>
      <c r="E100" s="3" t="s">
        <v>343</v>
      </c>
      <c r="F100" s="2" t="s">
        <v>65</v>
      </c>
      <c r="G100" s="4" t="n">
        <v>5800000</v>
      </c>
      <c r="H100" s="4" t="n">
        <v>350000</v>
      </c>
      <c r="I100" s="4" t="n">
        <v>250000</v>
      </c>
      <c r="J100" s="2" t="n">
        <v>18</v>
      </c>
      <c r="K100" s="2" t="n">
        <v>1</v>
      </c>
      <c r="L100" s="2" t="n">
        <v>1</v>
      </c>
      <c r="M100" s="2" t="n">
        <v>4</v>
      </c>
      <c r="N100" s="4" t="n">
        <v>58000</v>
      </c>
      <c r="O100" s="4" t="n">
        <v>116000</v>
      </c>
      <c r="P100" s="4" t="n">
        <f aca="false">H100+I100</f>
        <v>600000</v>
      </c>
      <c r="Q100" s="4" t="n">
        <f aca="false">N100+O100</f>
        <v>174000</v>
      </c>
      <c r="R100" s="4" t="n">
        <f aca="false">G100+P100-Q100</f>
        <v>6226000</v>
      </c>
      <c r="S100" s="2" t="n">
        <f aca="false">DATEDIF(E100,$Y$1,"y")</f>
        <v>6</v>
      </c>
      <c r="T100" s="2" t="str">
        <f aca="false">IF(S100&gt;=5,"Senior",IF(S100&gt;=1,"Menengah","Baru"))</f>
        <v>Senior</v>
      </c>
      <c r="U100" s="9" t="n">
        <f aca="false">J100/(J100+K100+L100+M100)*100</f>
        <v>75</v>
      </c>
      <c r="V100" s="2" t="str">
        <f aca="false">IF(U100&gt;=95,"Baik",IF(U100&gt;=85,"Cukup","Perlu Perhatian"))</f>
        <v>Perlu Perhatian</v>
      </c>
    </row>
    <row r="101" customFormat="false" ht="15" hidden="false" customHeight="false" outlineLevel="0" collapsed="false">
      <c r="A101" s="2" t="s">
        <v>344</v>
      </c>
      <c r="B101" s="2" t="s">
        <v>345</v>
      </c>
      <c r="C101" s="2" t="s">
        <v>68</v>
      </c>
      <c r="D101" s="2" t="s">
        <v>217</v>
      </c>
      <c r="E101" s="3" t="s">
        <v>346</v>
      </c>
      <c r="F101" s="2" t="s">
        <v>26</v>
      </c>
      <c r="G101" s="4" t="n">
        <v>4800000</v>
      </c>
      <c r="H101" s="4" t="n">
        <v>350000</v>
      </c>
      <c r="I101" s="4" t="n">
        <v>330000</v>
      </c>
      <c r="J101" s="2" t="n">
        <v>18</v>
      </c>
      <c r="K101" s="2" t="n">
        <v>3</v>
      </c>
      <c r="L101" s="2" t="n">
        <v>3</v>
      </c>
      <c r="M101" s="2" t="n">
        <v>0</v>
      </c>
      <c r="N101" s="4" t="n">
        <v>48000</v>
      </c>
      <c r="O101" s="4" t="n">
        <v>96000</v>
      </c>
      <c r="P101" s="4" t="n">
        <f aca="false">H101+I101</f>
        <v>680000</v>
      </c>
      <c r="Q101" s="4" t="n">
        <f aca="false">N101+O101</f>
        <v>144000</v>
      </c>
      <c r="R101" s="4" t="n">
        <f aca="false">G101+P101-Q101</f>
        <v>5336000</v>
      </c>
      <c r="S101" s="2" t="n">
        <f aca="false">DATEDIF(E101,$Y$1,"y")</f>
        <v>1</v>
      </c>
      <c r="T101" s="2" t="str">
        <f aca="false">IF(S101&gt;=5,"Senior",IF(S101&gt;=1,"Menengah","Baru"))</f>
        <v>Menengah</v>
      </c>
      <c r="U101" s="9" t="n">
        <f aca="false">J101/(J101+K101+L101+M101)*100</f>
        <v>75</v>
      </c>
      <c r="V101" s="2" t="str">
        <f aca="false">IF(U101&gt;=95,"Baik",IF(U101&gt;=85,"Cukup","Perlu Perhatian"))</f>
        <v>Perlu Perhatian</v>
      </c>
    </row>
    <row r="102" customFormat="false" ht="15" hidden="false" customHeight="false" outlineLevel="0" collapsed="false">
      <c r="A102" s="2" t="s">
        <v>347</v>
      </c>
      <c r="B102" s="2" t="s">
        <v>348</v>
      </c>
      <c r="C102" s="2" t="s">
        <v>68</v>
      </c>
      <c r="D102" s="2" t="s">
        <v>69</v>
      </c>
      <c r="E102" s="3" t="s">
        <v>349</v>
      </c>
      <c r="F102" s="2" t="s">
        <v>26</v>
      </c>
      <c r="G102" s="4" t="n">
        <v>5200000</v>
      </c>
      <c r="H102" s="4" t="n">
        <v>350000</v>
      </c>
      <c r="I102" s="4" t="n">
        <v>250000</v>
      </c>
      <c r="J102" s="2" t="n">
        <v>23</v>
      </c>
      <c r="K102" s="2" t="n">
        <v>2</v>
      </c>
      <c r="L102" s="2" t="n">
        <v>2</v>
      </c>
      <c r="M102" s="2" t="n">
        <v>0</v>
      </c>
      <c r="N102" s="4" t="n">
        <v>52000</v>
      </c>
      <c r="O102" s="4" t="n">
        <v>104000</v>
      </c>
      <c r="P102" s="4" t="n">
        <f aca="false">H102+I102</f>
        <v>600000</v>
      </c>
      <c r="Q102" s="4" t="n">
        <f aca="false">N102+O102</f>
        <v>156000</v>
      </c>
      <c r="R102" s="4" t="n">
        <f aca="false">G102+P102-Q102</f>
        <v>5644000</v>
      </c>
      <c r="S102" s="2" t="n">
        <f aca="false">DATEDIF(E102,$Y$1,"y")</f>
        <v>2</v>
      </c>
      <c r="T102" s="2" t="str">
        <f aca="false">IF(S102&gt;=5,"Senior",IF(S102&gt;=1,"Menengah","Baru"))</f>
        <v>Menengah</v>
      </c>
      <c r="U102" s="9" t="n">
        <f aca="false">J102/(J102+K102+L102+M102)*100</f>
        <v>85.1851851851852</v>
      </c>
      <c r="V102" s="2" t="str">
        <f aca="false">IF(U102&gt;=95,"Baik",IF(U102&gt;=85,"Cukup","Perlu Perhatian"))</f>
        <v>Cukup</v>
      </c>
    </row>
    <row r="103" customFormat="false" ht="15" hidden="false" customHeight="false" outlineLevel="0" collapsed="false">
      <c r="A103" s="2" t="s">
        <v>350</v>
      </c>
      <c r="B103" s="2" t="s">
        <v>96</v>
      </c>
      <c r="C103" s="2" t="s">
        <v>17</v>
      </c>
      <c r="D103" s="2" t="s">
        <v>18</v>
      </c>
      <c r="E103" s="3" t="s">
        <v>351</v>
      </c>
      <c r="F103" s="2" t="s">
        <v>65</v>
      </c>
      <c r="G103" s="4" t="n">
        <v>8500000</v>
      </c>
      <c r="H103" s="4" t="n">
        <v>300000</v>
      </c>
      <c r="I103" s="4" t="n">
        <v>330000</v>
      </c>
      <c r="J103" s="2" t="n">
        <v>19</v>
      </c>
      <c r="K103" s="2" t="n">
        <v>0</v>
      </c>
      <c r="L103" s="2" t="n">
        <v>0</v>
      </c>
      <c r="M103" s="2" t="n">
        <v>5</v>
      </c>
      <c r="N103" s="4" t="n">
        <v>85000</v>
      </c>
      <c r="O103" s="4" t="n">
        <v>170000</v>
      </c>
      <c r="P103" s="4" t="n">
        <f aca="false">H103+I103</f>
        <v>630000</v>
      </c>
      <c r="Q103" s="4" t="n">
        <f aca="false">N103+O103</f>
        <v>255000</v>
      </c>
      <c r="R103" s="4" t="n">
        <f aca="false">G103+P103-Q103</f>
        <v>8875000</v>
      </c>
      <c r="S103" s="2" t="n">
        <f aca="false">DATEDIF(E103,$Y$1,"y")</f>
        <v>6</v>
      </c>
      <c r="T103" s="2" t="str">
        <f aca="false">IF(S103&gt;=5,"Senior",IF(S103&gt;=1,"Menengah","Baru"))</f>
        <v>Senior</v>
      </c>
      <c r="U103" s="9" t="n">
        <f aca="false">J103/(J103+K103+L103+M103)*100</f>
        <v>79.1666666666667</v>
      </c>
      <c r="V103" s="2" t="str">
        <f aca="false">IF(U103&gt;=95,"Baik",IF(U103&gt;=85,"Cukup","Perlu Perhatian"))</f>
        <v>Perlu Perhatian</v>
      </c>
    </row>
    <row r="104" customFormat="false" ht="15" hidden="false" customHeight="false" outlineLevel="0" collapsed="false">
      <c r="A104" s="2" t="s">
        <v>352</v>
      </c>
      <c r="B104" s="2" t="s">
        <v>353</v>
      </c>
      <c r="C104" s="2" t="s">
        <v>57</v>
      </c>
      <c r="D104" s="2" t="s">
        <v>58</v>
      </c>
      <c r="E104" s="3" t="s">
        <v>354</v>
      </c>
      <c r="F104" s="2" t="s">
        <v>20</v>
      </c>
      <c r="G104" s="4" t="n">
        <v>9500000</v>
      </c>
      <c r="H104" s="4" t="n">
        <v>300000</v>
      </c>
      <c r="I104" s="4" t="n">
        <v>330000</v>
      </c>
      <c r="J104" s="2" t="n">
        <v>19</v>
      </c>
      <c r="K104" s="2" t="n">
        <v>1</v>
      </c>
      <c r="L104" s="2" t="n">
        <v>2</v>
      </c>
      <c r="M104" s="2" t="n">
        <v>2</v>
      </c>
      <c r="N104" s="4" t="n">
        <v>95000</v>
      </c>
      <c r="O104" s="4" t="n">
        <v>190000</v>
      </c>
      <c r="P104" s="4" t="n">
        <f aca="false">H104+I104</f>
        <v>630000</v>
      </c>
      <c r="Q104" s="4" t="n">
        <f aca="false">N104+O104</f>
        <v>285000</v>
      </c>
      <c r="R104" s="4" t="n">
        <f aca="false">G104+P104-Q104</f>
        <v>9845000</v>
      </c>
      <c r="S104" s="2" t="n">
        <f aca="false">DATEDIF(E104,$Y$1,"y")</f>
        <v>5</v>
      </c>
      <c r="T104" s="2" t="str">
        <f aca="false">IF(S104&gt;=5,"Senior",IF(S104&gt;=1,"Menengah","Baru"))</f>
        <v>Senior</v>
      </c>
      <c r="U104" s="9" t="n">
        <f aca="false">J104/(J104+K104+L104+M104)*100</f>
        <v>79.1666666666667</v>
      </c>
      <c r="V104" s="2" t="str">
        <f aca="false">IF(U104&gt;=95,"Baik",IF(U104&gt;=85,"Cukup","Perlu Perhatian"))</f>
        <v>Perlu Perhatian</v>
      </c>
    </row>
    <row r="105" customFormat="false" ht="15" hidden="false" customHeight="false" outlineLevel="0" collapsed="false">
      <c r="A105" s="2" t="s">
        <v>355</v>
      </c>
      <c r="B105" s="2" t="s">
        <v>356</v>
      </c>
      <c r="C105" s="2" t="s">
        <v>196</v>
      </c>
      <c r="D105" s="2" t="s">
        <v>197</v>
      </c>
      <c r="E105" s="3" t="s">
        <v>357</v>
      </c>
      <c r="F105" s="2" t="s">
        <v>65</v>
      </c>
      <c r="G105" s="4" t="n">
        <v>9500000</v>
      </c>
      <c r="H105" s="4" t="n">
        <v>350000</v>
      </c>
      <c r="I105" s="4" t="n">
        <v>250000</v>
      </c>
      <c r="J105" s="2" t="n">
        <v>18</v>
      </c>
      <c r="K105" s="2" t="n">
        <v>0</v>
      </c>
      <c r="L105" s="2" t="n">
        <v>1</v>
      </c>
      <c r="M105" s="2" t="n">
        <v>5</v>
      </c>
      <c r="N105" s="4" t="n">
        <v>95000</v>
      </c>
      <c r="O105" s="4" t="n">
        <v>190000</v>
      </c>
      <c r="P105" s="4" t="n">
        <f aca="false">H105+I105</f>
        <v>600000</v>
      </c>
      <c r="Q105" s="4" t="n">
        <f aca="false">N105+O105</f>
        <v>285000</v>
      </c>
      <c r="R105" s="4" t="n">
        <f aca="false">G105+P105-Q105</f>
        <v>9815000</v>
      </c>
      <c r="S105" s="2" t="n">
        <f aca="false">DATEDIF(E105,$Y$1,"y")</f>
        <v>5</v>
      </c>
      <c r="T105" s="2" t="str">
        <f aca="false">IF(S105&gt;=5,"Senior",IF(S105&gt;=1,"Menengah","Baru"))</f>
        <v>Senior</v>
      </c>
      <c r="U105" s="9" t="n">
        <f aca="false">J105/(J105+K105+L105+M105)*100</f>
        <v>75</v>
      </c>
      <c r="V105" s="2" t="str">
        <f aca="false">IF(U105&gt;=95,"Baik",IF(U105&gt;=85,"Cukup","Perlu Perhatian"))</f>
        <v>Perlu Perhatian</v>
      </c>
    </row>
    <row r="106" customFormat="false" ht="15" hidden="false" customHeight="false" outlineLevel="0" collapsed="false">
      <c r="A106" s="2" t="s">
        <v>358</v>
      </c>
      <c r="B106" s="2" t="s">
        <v>359</v>
      </c>
      <c r="C106" s="2" t="s">
        <v>47</v>
      </c>
      <c r="D106" s="2" t="s">
        <v>113</v>
      </c>
      <c r="E106" s="3" t="s">
        <v>360</v>
      </c>
      <c r="F106" s="2" t="s">
        <v>20</v>
      </c>
      <c r="G106" s="4" t="n">
        <v>5800000</v>
      </c>
      <c r="H106" s="4" t="n">
        <v>300000</v>
      </c>
      <c r="I106" s="4" t="n">
        <v>250000</v>
      </c>
      <c r="J106" s="2" t="n">
        <v>23</v>
      </c>
      <c r="K106" s="2" t="n">
        <v>3</v>
      </c>
      <c r="L106" s="2" t="n">
        <v>0</v>
      </c>
      <c r="M106" s="2" t="n">
        <v>0</v>
      </c>
      <c r="N106" s="4" t="n">
        <v>58000</v>
      </c>
      <c r="O106" s="4" t="n">
        <v>116000</v>
      </c>
      <c r="P106" s="4" t="n">
        <f aca="false">H106+I106</f>
        <v>550000</v>
      </c>
      <c r="Q106" s="4" t="n">
        <f aca="false">N106+O106</f>
        <v>174000</v>
      </c>
      <c r="R106" s="4" t="n">
        <f aca="false">G106+P106-Q106</f>
        <v>6176000</v>
      </c>
      <c r="S106" s="2" t="n">
        <f aca="false">DATEDIF(E106,$Y$1,"y")</f>
        <v>3</v>
      </c>
      <c r="T106" s="2" t="str">
        <f aca="false">IF(S106&gt;=5,"Senior",IF(S106&gt;=1,"Menengah","Baru"))</f>
        <v>Menengah</v>
      </c>
      <c r="U106" s="9" t="n">
        <f aca="false">J106/(J106+K106+L106+M106)*100</f>
        <v>88.4615384615385</v>
      </c>
      <c r="V106" s="2" t="str">
        <f aca="false">IF(U106&gt;=95,"Baik",IF(U106&gt;=85,"Cukup","Perlu Perhatian"))</f>
        <v>Cukup</v>
      </c>
    </row>
    <row r="107" customFormat="false" ht="15" hidden="false" customHeight="false" outlineLevel="0" collapsed="false">
      <c r="A107" s="2" t="s">
        <v>361</v>
      </c>
      <c r="B107" s="2" t="s">
        <v>362</v>
      </c>
      <c r="C107" s="2" t="s">
        <v>52</v>
      </c>
      <c r="D107" s="2" t="s">
        <v>124</v>
      </c>
      <c r="E107" s="3" t="s">
        <v>363</v>
      </c>
      <c r="F107" s="2" t="s">
        <v>26</v>
      </c>
      <c r="G107" s="4" t="n">
        <v>8500000</v>
      </c>
      <c r="H107" s="4" t="n">
        <v>400000</v>
      </c>
      <c r="I107" s="4" t="n">
        <v>250000</v>
      </c>
      <c r="J107" s="2" t="n">
        <v>22</v>
      </c>
      <c r="K107" s="2" t="n">
        <v>0</v>
      </c>
      <c r="L107" s="2" t="n">
        <v>2</v>
      </c>
      <c r="M107" s="2" t="n">
        <v>0</v>
      </c>
      <c r="N107" s="4" t="n">
        <v>85000</v>
      </c>
      <c r="O107" s="4" t="n">
        <v>170000</v>
      </c>
      <c r="P107" s="4" t="n">
        <f aca="false">H107+I107</f>
        <v>650000</v>
      </c>
      <c r="Q107" s="4" t="n">
        <f aca="false">N107+O107</f>
        <v>255000</v>
      </c>
      <c r="R107" s="4" t="n">
        <f aca="false">G107+P107-Q107</f>
        <v>8895000</v>
      </c>
      <c r="S107" s="2" t="n">
        <f aca="false">DATEDIF(E107,$Y$1,"y")</f>
        <v>1</v>
      </c>
      <c r="T107" s="2" t="str">
        <f aca="false">IF(S107&gt;=5,"Senior",IF(S107&gt;=1,"Menengah","Baru"))</f>
        <v>Menengah</v>
      </c>
      <c r="U107" s="9" t="n">
        <f aca="false">J107/(J107+K107+L107+M107)*100</f>
        <v>91.6666666666667</v>
      </c>
      <c r="V107" s="2" t="str">
        <f aca="false">IF(U107&gt;=95,"Baik",IF(U107&gt;=85,"Cukup","Perlu Perhatian"))</f>
        <v>Cukup</v>
      </c>
    </row>
    <row r="108" customFormat="false" ht="15" hidden="false" customHeight="false" outlineLevel="0" collapsed="false">
      <c r="A108" s="2" t="s">
        <v>364</v>
      </c>
      <c r="B108" s="2" t="s">
        <v>365</v>
      </c>
      <c r="C108" s="2" t="s">
        <v>196</v>
      </c>
      <c r="D108" s="2" t="s">
        <v>197</v>
      </c>
      <c r="E108" s="3" t="s">
        <v>366</v>
      </c>
      <c r="F108" s="2" t="s">
        <v>26</v>
      </c>
      <c r="G108" s="4" t="n">
        <v>4500000</v>
      </c>
      <c r="H108" s="4" t="n">
        <v>350000</v>
      </c>
      <c r="I108" s="4" t="n">
        <v>330000</v>
      </c>
      <c r="J108" s="2" t="n">
        <v>21</v>
      </c>
      <c r="K108" s="2" t="n">
        <v>0</v>
      </c>
      <c r="L108" s="2" t="n">
        <v>0</v>
      </c>
      <c r="M108" s="2" t="n">
        <v>3</v>
      </c>
      <c r="N108" s="4" t="n">
        <v>45000</v>
      </c>
      <c r="O108" s="4" t="n">
        <v>90000</v>
      </c>
      <c r="P108" s="4" t="n">
        <f aca="false">H108+I108</f>
        <v>680000</v>
      </c>
      <c r="Q108" s="4" t="n">
        <f aca="false">N108+O108</f>
        <v>135000</v>
      </c>
      <c r="R108" s="4" t="n">
        <f aca="false">G108+P108-Q108</f>
        <v>5045000</v>
      </c>
      <c r="S108" s="2" t="n">
        <f aca="false">DATEDIF(E108,$Y$1,"y")</f>
        <v>2</v>
      </c>
      <c r="T108" s="2" t="str">
        <f aca="false">IF(S108&gt;=5,"Senior",IF(S108&gt;=1,"Menengah","Baru"))</f>
        <v>Menengah</v>
      </c>
      <c r="U108" s="9" t="n">
        <f aca="false">J108/(J108+K108+L108+M108)*100</f>
        <v>87.5</v>
      </c>
      <c r="V108" s="2" t="str">
        <f aca="false">IF(U108&gt;=95,"Baik",IF(U108&gt;=85,"Cukup","Perlu Perhatian"))</f>
        <v>Cukup</v>
      </c>
    </row>
    <row r="109" customFormat="false" ht="15" hidden="false" customHeight="false" outlineLevel="0" collapsed="false">
      <c r="A109" s="2" t="s">
        <v>367</v>
      </c>
      <c r="B109" s="2" t="s">
        <v>368</v>
      </c>
      <c r="C109" s="2" t="s">
        <v>57</v>
      </c>
      <c r="D109" s="2" t="s">
        <v>238</v>
      </c>
      <c r="E109" s="3" t="s">
        <v>369</v>
      </c>
      <c r="F109" s="2" t="s">
        <v>20</v>
      </c>
      <c r="G109" s="4" t="n">
        <v>9500000</v>
      </c>
      <c r="H109" s="4" t="n">
        <v>400000</v>
      </c>
      <c r="I109" s="4" t="n">
        <v>300000</v>
      </c>
      <c r="J109" s="2" t="n">
        <v>21</v>
      </c>
      <c r="K109" s="2" t="n">
        <v>2</v>
      </c>
      <c r="L109" s="2" t="n">
        <v>3</v>
      </c>
      <c r="M109" s="2" t="n">
        <v>0</v>
      </c>
      <c r="N109" s="4" t="n">
        <v>95000</v>
      </c>
      <c r="O109" s="4" t="n">
        <v>190000</v>
      </c>
      <c r="P109" s="4" t="n">
        <f aca="false">H109+I109</f>
        <v>700000</v>
      </c>
      <c r="Q109" s="4" t="n">
        <f aca="false">N109+O109</f>
        <v>285000</v>
      </c>
      <c r="R109" s="4" t="n">
        <f aca="false">G109+P109-Q109</f>
        <v>9915000</v>
      </c>
      <c r="S109" s="2" t="n">
        <f aca="false">DATEDIF(E109,$Y$1,"y")</f>
        <v>6</v>
      </c>
      <c r="T109" s="2" t="str">
        <f aca="false">IF(S109&gt;=5,"Senior",IF(S109&gt;=1,"Menengah","Baru"))</f>
        <v>Senior</v>
      </c>
      <c r="U109" s="9" t="n">
        <f aca="false">J109/(J109+K109+L109+M109)*100</f>
        <v>80.7692307692308</v>
      </c>
      <c r="V109" s="2" t="str">
        <f aca="false">IF(U109&gt;=95,"Baik",IF(U109&gt;=85,"Cukup","Perlu Perhatian"))</f>
        <v>Perlu Perhatian</v>
      </c>
    </row>
    <row r="110" customFormat="false" ht="15" hidden="false" customHeight="false" outlineLevel="0" collapsed="false">
      <c r="A110" s="2" t="s">
        <v>370</v>
      </c>
      <c r="B110" s="2" t="s">
        <v>371</v>
      </c>
      <c r="C110" s="2" t="s">
        <v>62</v>
      </c>
      <c r="D110" s="2" t="s">
        <v>141</v>
      </c>
      <c r="E110" s="3" t="s">
        <v>372</v>
      </c>
      <c r="F110" s="2" t="s">
        <v>26</v>
      </c>
      <c r="G110" s="4" t="n">
        <v>9500000</v>
      </c>
      <c r="H110" s="4" t="n">
        <v>400000</v>
      </c>
      <c r="I110" s="4" t="n">
        <v>250000</v>
      </c>
      <c r="J110" s="2" t="n">
        <v>21</v>
      </c>
      <c r="K110" s="2" t="n">
        <v>3</v>
      </c>
      <c r="L110" s="2" t="n">
        <v>1</v>
      </c>
      <c r="M110" s="2" t="n">
        <v>0</v>
      </c>
      <c r="N110" s="4" t="n">
        <v>95000</v>
      </c>
      <c r="O110" s="4" t="n">
        <v>190000</v>
      </c>
      <c r="P110" s="4" t="n">
        <f aca="false">H110+I110</f>
        <v>650000</v>
      </c>
      <c r="Q110" s="4" t="n">
        <f aca="false">N110+O110</f>
        <v>285000</v>
      </c>
      <c r="R110" s="4" t="n">
        <f aca="false">G110+P110-Q110</f>
        <v>9865000</v>
      </c>
      <c r="S110" s="2" t="n">
        <f aca="false">DATEDIF(E110,$Y$1,"y")</f>
        <v>6</v>
      </c>
      <c r="T110" s="2" t="str">
        <f aca="false">IF(S110&gt;=5,"Senior",IF(S110&gt;=1,"Menengah","Baru"))</f>
        <v>Senior</v>
      </c>
      <c r="U110" s="9" t="n">
        <f aca="false">J110/(J110+K110+L110+M110)*100</f>
        <v>84</v>
      </c>
      <c r="V110" s="2" t="str">
        <f aca="false">IF(U110&gt;=95,"Baik",IF(U110&gt;=85,"Cukup","Perlu Perhatian"))</f>
        <v>Perlu Perhatian</v>
      </c>
    </row>
    <row r="111" customFormat="false" ht="15" hidden="false" customHeight="false" outlineLevel="0" collapsed="false">
      <c r="A111" s="2" t="s">
        <v>373</v>
      </c>
      <c r="B111" s="2" t="s">
        <v>273</v>
      </c>
      <c r="C111" s="2" t="s">
        <v>52</v>
      </c>
      <c r="D111" s="2" t="s">
        <v>124</v>
      </c>
      <c r="E111" s="3" t="s">
        <v>374</v>
      </c>
      <c r="F111" s="2" t="s">
        <v>26</v>
      </c>
      <c r="G111" s="4" t="n">
        <v>6500000</v>
      </c>
      <c r="H111" s="4" t="n">
        <v>350000</v>
      </c>
      <c r="I111" s="4" t="n">
        <v>300000</v>
      </c>
      <c r="J111" s="2" t="n">
        <v>23</v>
      </c>
      <c r="K111" s="2" t="n">
        <v>2</v>
      </c>
      <c r="L111" s="2" t="n">
        <v>2</v>
      </c>
      <c r="M111" s="2" t="n">
        <v>0</v>
      </c>
      <c r="N111" s="4" t="n">
        <v>65000</v>
      </c>
      <c r="O111" s="4" t="n">
        <v>130000</v>
      </c>
      <c r="P111" s="4" t="n">
        <f aca="false">H111+I111</f>
        <v>650000</v>
      </c>
      <c r="Q111" s="4" t="n">
        <f aca="false">N111+O111</f>
        <v>195000</v>
      </c>
      <c r="R111" s="4" t="n">
        <f aca="false">G111+P111-Q111</f>
        <v>6955000</v>
      </c>
      <c r="S111" s="2" t="n">
        <f aca="false">DATEDIF(E111,$Y$1,"y")</f>
        <v>2</v>
      </c>
      <c r="T111" s="2" t="str">
        <f aca="false">IF(S111&gt;=5,"Senior",IF(S111&gt;=1,"Menengah","Baru"))</f>
        <v>Menengah</v>
      </c>
      <c r="U111" s="9" t="n">
        <f aca="false">J111/(J111+K111+L111+M111)*100</f>
        <v>85.1851851851852</v>
      </c>
      <c r="V111" s="2" t="str">
        <f aca="false">IF(U111&gt;=95,"Baik",IF(U111&gt;=85,"Cukup","Perlu Perhatian"))</f>
        <v>Cukup</v>
      </c>
    </row>
    <row r="112" customFormat="false" ht="15" hidden="false" customHeight="false" outlineLevel="0" collapsed="false">
      <c r="A112" s="2" t="s">
        <v>375</v>
      </c>
      <c r="B112" s="2" t="s">
        <v>376</v>
      </c>
      <c r="C112" s="2" t="s">
        <v>23</v>
      </c>
      <c r="D112" s="2" t="s">
        <v>24</v>
      </c>
      <c r="E112" s="3" t="s">
        <v>377</v>
      </c>
      <c r="F112" s="2" t="s">
        <v>20</v>
      </c>
      <c r="G112" s="4" t="n">
        <v>4500000</v>
      </c>
      <c r="H112" s="4" t="n">
        <v>400000</v>
      </c>
      <c r="I112" s="4" t="n">
        <v>330000</v>
      </c>
      <c r="J112" s="2" t="n">
        <v>20</v>
      </c>
      <c r="K112" s="2" t="n">
        <v>1</v>
      </c>
      <c r="L112" s="2" t="n">
        <v>0</v>
      </c>
      <c r="M112" s="2" t="n">
        <v>3</v>
      </c>
      <c r="N112" s="4" t="n">
        <v>45000</v>
      </c>
      <c r="O112" s="4" t="n">
        <v>90000</v>
      </c>
      <c r="P112" s="4" t="n">
        <f aca="false">H112+I112</f>
        <v>730000</v>
      </c>
      <c r="Q112" s="4" t="n">
        <f aca="false">N112+O112</f>
        <v>135000</v>
      </c>
      <c r="R112" s="4" t="n">
        <f aca="false">G112+P112-Q112</f>
        <v>5095000</v>
      </c>
      <c r="S112" s="2" t="n">
        <f aca="false">DATEDIF(E112,$Y$1,"y")</f>
        <v>6</v>
      </c>
      <c r="T112" s="2" t="str">
        <f aca="false">IF(S112&gt;=5,"Senior",IF(S112&gt;=1,"Menengah","Baru"))</f>
        <v>Senior</v>
      </c>
      <c r="U112" s="9" t="n">
        <f aca="false">J112/(J112+K112+L112+M112)*100</f>
        <v>83.3333333333333</v>
      </c>
      <c r="V112" s="2" t="str">
        <f aca="false">IF(U112&gt;=95,"Baik",IF(U112&gt;=85,"Cukup","Perlu Perhatian"))</f>
        <v>Perlu Perhatian</v>
      </c>
    </row>
    <row r="113" customFormat="false" ht="15" hidden="false" customHeight="false" outlineLevel="0" collapsed="false">
      <c r="A113" s="2" t="s">
        <v>378</v>
      </c>
      <c r="B113" s="2" t="s">
        <v>136</v>
      </c>
      <c r="C113" s="2" t="s">
        <v>86</v>
      </c>
      <c r="D113" s="2" t="s">
        <v>106</v>
      </c>
      <c r="E113" s="3" t="s">
        <v>351</v>
      </c>
      <c r="F113" s="2" t="s">
        <v>26</v>
      </c>
      <c r="G113" s="4" t="n">
        <v>7200000</v>
      </c>
      <c r="H113" s="4" t="n">
        <v>400000</v>
      </c>
      <c r="I113" s="4" t="n">
        <v>250000</v>
      </c>
      <c r="J113" s="2" t="n">
        <v>20</v>
      </c>
      <c r="K113" s="2" t="n">
        <v>2</v>
      </c>
      <c r="L113" s="2" t="n">
        <v>2</v>
      </c>
      <c r="M113" s="2" t="n">
        <v>0</v>
      </c>
      <c r="N113" s="4" t="n">
        <v>72000</v>
      </c>
      <c r="O113" s="4" t="n">
        <v>144000</v>
      </c>
      <c r="P113" s="4" t="n">
        <f aca="false">H113+I113</f>
        <v>650000</v>
      </c>
      <c r="Q113" s="4" t="n">
        <f aca="false">N113+O113</f>
        <v>216000</v>
      </c>
      <c r="R113" s="4" t="n">
        <f aca="false">G113+P113-Q113</f>
        <v>7634000</v>
      </c>
      <c r="S113" s="2" t="n">
        <f aca="false">DATEDIF(E113,$Y$1,"y")</f>
        <v>6</v>
      </c>
      <c r="T113" s="2" t="str">
        <f aca="false">IF(S113&gt;=5,"Senior",IF(S113&gt;=1,"Menengah","Baru"))</f>
        <v>Senior</v>
      </c>
      <c r="U113" s="9" t="n">
        <f aca="false">J113/(J113+K113+L113+M113)*100</f>
        <v>83.3333333333333</v>
      </c>
      <c r="V113" s="2" t="str">
        <f aca="false">IF(U113&gt;=95,"Baik",IF(U113&gt;=85,"Cukup","Perlu Perhatian"))</f>
        <v>Perlu Perhatian</v>
      </c>
    </row>
    <row r="114" customFormat="false" ht="15" hidden="false" customHeight="false" outlineLevel="0" collapsed="false">
      <c r="A114" s="2" t="s">
        <v>379</v>
      </c>
      <c r="B114" s="2" t="s">
        <v>380</v>
      </c>
      <c r="C114" s="2" t="s">
        <v>86</v>
      </c>
      <c r="D114" s="2" t="s">
        <v>87</v>
      </c>
      <c r="E114" s="3" t="s">
        <v>381</v>
      </c>
      <c r="F114" s="2" t="s">
        <v>26</v>
      </c>
      <c r="G114" s="4" t="n">
        <v>5200000</v>
      </c>
      <c r="H114" s="4" t="n">
        <v>300000</v>
      </c>
      <c r="I114" s="4" t="n">
        <v>300000</v>
      </c>
      <c r="J114" s="2" t="n">
        <v>24</v>
      </c>
      <c r="K114" s="2" t="n">
        <v>2</v>
      </c>
      <c r="L114" s="2" t="n">
        <v>0</v>
      </c>
      <c r="M114" s="2" t="n">
        <v>0</v>
      </c>
      <c r="N114" s="4" t="n">
        <v>52000</v>
      </c>
      <c r="O114" s="4" t="n">
        <v>104000</v>
      </c>
      <c r="P114" s="4" t="n">
        <f aca="false">H114+I114</f>
        <v>600000</v>
      </c>
      <c r="Q114" s="4" t="n">
        <f aca="false">N114+O114</f>
        <v>156000</v>
      </c>
      <c r="R114" s="4" t="n">
        <f aca="false">G114+P114-Q114</f>
        <v>5644000</v>
      </c>
      <c r="S114" s="2" t="n">
        <f aca="false">DATEDIF(E114,$Y$1,"y")</f>
        <v>5</v>
      </c>
      <c r="T114" s="2" t="str">
        <f aca="false">IF(S114&gt;=5,"Senior",IF(S114&gt;=1,"Menengah","Baru"))</f>
        <v>Senior</v>
      </c>
      <c r="U114" s="9" t="n">
        <f aca="false">J114/(J114+K114+L114+M114)*100</f>
        <v>92.3076923076923</v>
      </c>
      <c r="V114" s="2" t="str">
        <f aca="false">IF(U114&gt;=95,"Baik",IF(U114&gt;=85,"Cukup","Perlu Perhatian"))</f>
        <v>Cukup</v>
      </c>
    </row>
    <row r="115" customFormat="false" ht="15" hidden="false" customHeight="false" outlineLevel="0" collapsed="false">
      <c r="A115" s="2" t="s">
        <v>382</v>
      </c>
      <c r="B115" s="2" t="s">
        <v>383</v>
      </c>
      <c r="C115" s="2" t="s">
        <v>47</v>
      </c>
      <c r="D115" s="2" t="s">
        <v>117</v>
      </c>
      <c r="E115" s="3" t="s">
        <v>134</v>
      </c>
      <c r="F115" s="2" t="s">
        <v>65</v>
      </c>
      <c r="G115" s="4" t="n">
        <v>9500000</v>
      </c>
      <c r="H115" s="4" t="n">
        <v>300000</v>
      </c>
      <c r="I115" s="4" t="n">
        <v>330000</v>
      </c>
      <c r="J115" s="2" t="n">
        <v>23</v>
      </c>
      <c r="K115" s="2" t="n">
        <v>2</v>
      </c>
      <c r="L115" s="2" t="n">
        <v>0</v>
      </c>
      <c r="M115" s="2" t="n">
        <v>0</v>
      </c>
      <c r="N115" s="4" t="n">
        <v>95000</v>
      </c>
      <c r="O115" s="4" t="n">
        <v>190000</v>
      </c>
      <c r="P115" s="4" t="n">
        <f aca="false">H115+I115</f>
        <v>630000</v>
      </c>
      <c r="Q115" s="4" t="n">
        <f aca="false">N115+O115</f>
        <v>285000</v>
      </c>
      <c r="R115" s="4" t="n">
        <f aca="false">G115+P115-Q115</f>
        <v>9845000</v>
      </c>
      <c r="S115" s="2" t="n">
        <f aca="false">DATEDIF(E115,$Y$1,"y")</f>
        <v>1</v>
      </c>
      <c r="T115" s="2" t="str">
        <f aca="false">IF(S115&gt;=5,"Senior",IF(S115&gt;=1,"Menengah","Baru"))</f>
        <v>Menengah</v>
      </c>
      <c r="U115" s="9" t="n">
        <f aca="false">J115/(J115+K115+L115+M115)*100</f>
        <v>92</v>
      </c>
      <c r="V115" s="2" t="str">
        <f aca="false">IF(U115&gt;=95,"Baik",IF(U115&gt;=85,"Cukup","Perlu Perhatian"))</f>
        <v>Cukup</v>
      </c>
    </row>
    <row r="116" customFormat="false" ht="15" hidden="false" customHeight="false" outlineLevel="0" collapsed="false">
      <c r="A116" s="2" t="s">
        <v>384</v>
      </c>
      <c r="B116" s="2" t="s">
        <v>385</v>
      </c>
      <c r="C116" s="2" t="s">
        <v>17</v>
      </c>
      <c r="D116" s="2" t="s">
        <v>82</v>
      </c>
      <c r="E116" s="3" t="s">
        <v>386</v>
      </c>
      <c r="F116" s="2" t="s">
        <v>20</v>
      </c>
      <c r="G116" s="4" t="n">
        <v>4800000</v>
      </c>
      <c r="H116" s="4" t="n">
        <v>400000</v>
      </c>
      <c r="I116" s="4" t="n">
        <v>330000</v>
      </c>
      <c r="J116" s="2" t="n">
        <v>21</v>
      </c>
      <c r="K116" s="2" t="n">
        <v>0</v>
      </c>
      <c r="L116" s="2" t="n">
        <v>1</v>
      </c>
      <c r="M116" s="2" t="n">
        <v>2</v>
      </c>
      <c r="N116" s="4" t="n">
        <v>48000</v>
      </c>
      <c r="O116" s="4" t="n">
        <v>96000</v>
      </c>
      <c r="P116" s="4" t="n">
        <f aca="false">H116+I116</f>
        <v>730000</v>
      </c>
      <c r="Q116" s="4" t="n">
        <f aca="false">N116+O116</f>
        <v>144000</v>
      </c>
      <c r="R116" s="4" t="n">
        <f aca="false">G116+P116-Q116</f>
        <v>5386000</v>
      </c>
      <c r="S116" s="2" t="n">
        <f aca="false">DATEDIF(E116,$Y$1,"y")</f>
        <v>3</v>
      </c>
      <c r="T116" s="2" t="str">
        <f aca="false">IF(S116&gt;=5,"Senior",IF(S116&gt;=1,"Menengah","Baru"))</f>
        <v>Menengah</v>
      </c>
      <c r="U116" s="9" t="n">
        <f aca="false">J116/(J116+K116+L116+M116)*100</f>
        <v>87.5</v>
      </c>
      <c r="V116" s="2" t="str">
        <f aca="false">IF(U116&gt;=95,"Baik",IF(U116&gt;=85,"Cukup","Perlu Perhatian"))</f>
        <v>Cukup</v>
      </c>
    </row>
    <row r="117" customFormat="false" ht="15" hidden="false" customHeight="false" outlineLevel="0" collapsed="false">
      <c r="A117" s="2" t="s">
        <v>387</v>
      </c>
      <c r="B117" s="2" t="s">
        <v>231</v>
      </c>
      <c r="C117" s="2" t="s">
        <v>86</v>
      </c>
      <c r="D117" s="2" t="s">
        <v>87</v>
      </c>
      <c r="E117" s="3" t="s">
        <v>388</v>
      </c>
      <c r="F117" s="2" t="s">
        <v>26</v>
      </c>
      <c r="G117" s="4" t="n">
        <v>6500000</v>
      </c>
      <c r="H117" s="4" t="n">
        <v>300000</v>
      </c>
      <c r="I117" s="4" t="n">
        <v>300000</v>
      </c>
      <c r="J117" s="2" t="n">
        <v>20</v>
      </c>
      <c r="K117" s="2" t="n">
        <v>2</v>
      </c>
      <c r="L117" s="2" t="n">
        <v>0</v>
      </c>
      <c r="M117" s="2" t="n">
        <v>2</v>
      </c>
      <c r="N117" s="4" t="n">
        <v>65000</v>
      </c>
      <c r="O117" s="4" t="n">
        <v>130000</v>
      </c>
      <c r="P117" s="4" t="n">
        <f aca="false">H117+I117</f>
        <v>600000</v>
      </c>
      <c r="Q117" s="4" t="n">
        <f aca="false">N117+O117</f>
        <v>195000</v>
      </c>
      <c r="R117" s="4" t="n">
        <f aca="false">G117+P117-Q117</f>
        <v>6905000</v>
      </c>
      <c r="S117" s="2" t="n">
        <f aca="false">DATEDIF(E117,$Y$1,"y")</f>
        <v>3</v>
      </c>
      <c r="T117" s="2" t="str">
        <f aca="false">IF(S117&gt;=5,"Senior",IF(S117&gt;=1,"Menengah","Baru"))</f>
        <v>Menengah</v>
      </c>
      <c r="U117" s="9" t="n">
        <f aca="false">J117/(J117+K117+L117+M117)*100</f>
        <v>83.3333333333333</v>
      </c>
      <c r="V117" s="2" t="str">
        <f aca="false">IF(U117&gt;=95,"Baik",IF(U117&gt;=85,"Cukup","Perlu Perhatian"))</f>
        <v>Perlu Perhatian</v>
      </c>
    </row>
    <row r="118" customFormat="false" ht="15" hidden="false" customHeight="false" outlineLevel="0" collapsed="false">
      <c r="A118" s="2" t="s">
        <v>389</v>
      </c>
      <c r="B118" s="2" t="s">
        <v>390</v>
      </c>
      <c r="C118" s="2" t="s">
        <v>57</v>
      </c>
      <c r="D118" s="2" t="s">
        <v>58</v>
      </c>
      <c r="E118" s="3" t="s">
        <v>391</v>
      </c>
      <c r="F118" s="2" t="s">
        <v>26</v>
      </c>
      <c r="G118" s="4" t="n">
        <v>5800000</v>
      </c>
      <c r="H118" s="4" t="n">
        <v>350000</v>
      </c>
      <c r="I118" s="4" t="n">
        <v>330000</v>
      </c>
      <c r="J118" s="2" t="n">
        <v>21</v>
      </c>
      <c r="K118" s="2" t="n">
        <v>3</v>
      </c>
      <c r="L118" s="2" t="n">
        <v>3</v>
      </c>
      <c r="M118" s="2" t="n">
        <v>0</v>
      </c>
      <c r="N118" s="4" t="n">
        <v>58000</v>
      </c>
      <c r="O118" s="4" t="n">
        <v>116000</v>
      </c>
      <c r="P118" s="4" t="n">
        <f aca="false">H118+I118</f>
        <v>680000</v>
      </c>
      <c r="Q118" s="4" t="n">
        <f aca="false">N118+O118</f>
        <v>174000</v>
      </c>
      <c r="R118" s="4" t="n">
        <f aca="false">G118+P118-Q118</f>
        <v>6306000</v>
      </c>
      <c r="S118" s="2" t="n">
        <f aca="false">DATEDIF(E118,$Y$1,"y")</f>
        <v>6</v>
      </c>
      <c r="T118" s="2" t="str">
        <f aca="false">IF(S118&gt;=5,"Senior",IF(S118&gt;=1,"Menengah","Baru"))</f>
        <v>Senior</v>
      </c>
      <c r="U118" s="9" t="n">
        <f aca="false">J118/(J118+K118+L118+M118)*100</f>
        <v>77.7777777777778</v>
      </c>
      <c r="V118" s="2" t="str">
        <f aca="false">IF(U118&gt;=95,"Baik",IF(U118&gt;=85,"Cukup","Perlu Perhatian"))</f>
        <v>Perlu Perhatian</v>
      </c>
    </row>
    <row r="119" customFormat="false" ht="15" hidden="false" customHeight="false" outlineLevel="0" collapsed="false">
      <c r="A119" s="2" t="s">
        <v>392</v>
      </c>
      <c r="B119" s="2" t="s">
        <v>393</v>
      </c>
      <c r="C119" s="2" t="s">
        <v>47</v>
      </c>
      <c r="D119" s="2" t="s">
        <v>113</v>
      </c>
      <c r="E119" s="3" t="s">
        <v>394</v>
      </c>
      <c r="F119" s="2" t="s">
        <v>20</v>
      </c>
      <c r="G119" s="4" t="n">
        <v>4500000</v>
      </c>
      <c r="H119" s="4" t="n">
        <v>350000</v>
      </c>
      <c r="I119" s="4" t="n">
        <v>330000</v>
      </c>
      <c r="J119" s="2" t="n">
        <v>23</v>
      </c>
      <c r="K119" s="2" t="n">
        <v>3</v>
      </c>
      <c r="L119" s="2" t="n">
        <v>2</v>
      </c>
      <c r="M119" s="2" t="n">
        <v>0</v>
      </c>
      <c r="N119" s="4" t="n">
        <v>45000</v>
      </c>
      <c r="O119" s="4" t="n">
        <v>90000</v>
      </c>
      <c r="P119" s="4" t="n">
        <f aca="false">H119+I119</f>
        <v>680000</v>
      </c>
      <c r="Q119" s="4" t="n">
        <f aca="false">N119+O119</f>
        <v>135000</v>
      </c>
      <c r="R119" s="4" t="n">
        <f aca="false">G119+P119-Q119</f>
        <v>5045000</v>
      </c>
      <c r="S119" s="2" t="n">
        <f aca="false">DATEDIF(E119,$Y$1,"y")</f>
        <v>6</v>
      </c>
      <c r="T119" s="2" t="str">
        <f aca="false">IF(S119&gt;=5,"Senior",IF(S119&gt;=1,"Menengah","Baru"))</f>
        <v>Senior</v>
      </c>
      <c r="U119" s="9" t="n">
        <f aca="false">J119/(J119+K119+L119+M119)*100</f>
        <v>82.1428571428571</v>
      </c>
      <c r="V119" s="2" t="str">
        <f aca="false">IF(U119&gt;=95,"Baik",IF(U119&gt;=85,"Cukup","Perlu Perhatian"))</f>
        <v>Perlu Perhatian</v>
      </c>
    </row>
    <row r="120" customFormat="false" ht="15" hidden="false" customHeight="false" outlineLevel="0" collapsed="false">
      <c r="A120" s="2" t="s">
        <v>395</v>
      </c>
      <c r="B120" s="2" t="s">
        <v>259</v>
      </c>
      <c r="C120" s="2" t="s">
        <v>62</v>
      </c>
      <c r="D120" s="2" t="s">
        <v>141</v>
      </c>
      <c r="E120" s="3" t="s">
        <v>396</v>
      </c>
      <c r="F120" s="2" t="s">
        <v>20</v>
      </c>
      <c r="G120" s="4" t="n">
        <v>5200000</v>
      </c>
      <c r="H120" s="4" t="n">
        <v>300000</v>
      </c>
      <c r="I120" s="4" t="n">
        <v>300000</v>
      </c>
      <c r="J120" s="2" t="n">
        <v>20</v>
      </c>
      <c r="K120" s="2" t="n">
        <v>2</v>
      </c>
      <c r="L120" s="2" t="n">
        <v>0</v>
      </c>
      <c r="M120" s="2" t="n">
        <v>2</v>
      </c>
      <c r="N120" s="4" t="n">
        <v>52000</v>
      </c>
      <c r="O120" s="4" t="n">
        <v>104000</v>
      </c>
      <c r="P120" s="4" t="n">
        <f aca="false">H120+I120</f>
        <v>600000</v>
      </c>
      <c r="Q120" s="4" t="n">
        <f aca="false">N120+O120</f>
        <v>156000</v>
      </c>
      <c r="R120" s="4" t="n">
        <f aca="false">G120+P120-Q120</f>
        <v>5644000</v>
      </c>
      <c r="S120" s="2" t="n">
        <f aca="false">DATEDIF(E120,$Y$1,"y")</f>
        <v>7</v>
      </c>
      <c r="T120" s="2" t="str">
        <f aca="false">IF(S120&gt;=5,"Senior",IF(S120&gt;=1,"Menengah","Baru"))</f>
        <v>Senior</v>
      </c>
      <c r="U120" s="9" t="n">
        <f aca="false">J120/(J120+K120+L120+M120)*100</f>
        <v>83.3333333333333</v>
      </c>
      <c r="V120" s="2" t="str">
        <f aca="false">IF(U120&gt;=95,"Baik",IF(U120&gt;=85,"Cukup","Perlu Perhatian"))</f>
        <v>Perlu Perhatian</v>
      </c>
    </row>
    <row r="121" customFormat="false" ht="15" hidden="false" customHeight="false" outlineLevel="0" collapsed="false">
      <c r="A121" s="2" t="s">
        <v>397</v>
      </c>
      <c r="B121" s="2" t="s">
        <v>398</v>
      </c>
      <c r="C121" s="2" t="s">
        <v>62</v>
      </c>
      <c r="D121" s="2" t="s">
        <v>141</v>
      </c>
      <c r="E121" s="3" t="s">
        <v>399</v>
      </c>
      <c r="F121" s="2" t="s">
        <v>26</v>
      </c>
      <c r="G121" s="4" t="n">
        <v>5200000</v>
      </c>
      <c r="H121" s="4" t="n">
        <v>400000</v>
      </c>
      <c r="I121" s="4" t="n">
        <v>330000</v>
      </c>
      <c r="J121" s="2" t="n">
        <v>24</v>
      </c>
      <c r="K121" s="2" t="n">
        <v>2</v>
      </c>
      <c r="L121" s="2" t="n">
        <v>0</v>
      </c>
      <c r="M121" s="2" t="n">
        <v>0</v>
      </c>
      <c r="N121" s="4" t="n">
        <v>52000</v>
      </c>
      <c r="O121" s="4" t="n">
        <v>104000</v>
      </c>
      <c r="P121" s="4" t="n">
        <f aca="false">H121+I121</f>
        <v>730000</v>
      </c>
      <c r="Q121" s="4" t="n">
        <f aca="false">N121+O121</f>
        <v>156000</v>
      </c>
      <c r="R121" s="4" t="n">
        <f aca="false">G121+P121-Q121</f>
        <v>5774000</v>
      </c>
      <c r="S121" s="2" t="n">
        <f aca="false">DATEDIF(E121,$Y$1,"y")</f>
        <v>6</v>
      </c>
      <c r="T121" s="2" t="str">
        <f aca="false">IF(S121&gt;=5,"Senior",IF(S121&gt;=1,"Menengah","Baru"))</f>
        <v>Senior</v>
      </c>
      <c r="U121" s="9" t="n">
        <f aca="false">J121/(J121+K121+L121+M121)*100</f>
        <v>92.3076923076923</v>
      </c>
      <c r="V121" s="2" t="str">
        <f aca="false">IF(U121&gt;=95,"Baik",IF(U121&gt;=85,"Cukup","Perlu Perhatian"))</f>
        <v>Cukup</v>
      </c>
    </row>
    <row r="122" customFormat="false" ht="15" hidden="false" customHeight="false" outlineLevel="0" collapsed="false">
      <c r="A122" s="2" t="s">
        <v>400</v>
      </c>
      <c r="B122" s="2" t="s">
        <v>401</v>
      </c>
      <c r="C122" s="2" t="s">
        <v>62</v>
      </c>
      <c r="D122" s="2" t="s">
        <v>141</v>
      </c>
      <c r="E122" s="3" t="s">
        <v>221</v>
      </c>
      <c r="F122" s="2" t="s">
        <v>65</v>
      </c>
      <c r="G122" s="4" t="n">
        <v>6500000</v>
      </c>
      <c r="H122" s="4" t="n">
        <v>400000</v>
      </c>
      <c r="I122" s="4" t="n">
        <v>300000</v>
      </c>
      <c r="J122" s="2" t="n">
        <v>22</v>
      </c>
      <c r="K122" s="2" t="n">
        <v>3</v>
      </c>
      <c r="L122" s="2" t="n">
        <v>3</v>
      </c>
      <c r="M122" s="2" t="n">
        <v>0</v>
      </c>
      <c r="N122" s="4" t="n">
        <v>65000</v>
      </c>
      <c r="O122" s="4" t="n">
        <v>130000</v>
      </c>
      <c r="P122" s="4" t="n">
        <f aca="false">H122+I122</f>
        <v>700000</v>
      </c>
      <c r="Q122" s="4" t="n">
        <f aca="false">N122+O122</f>
        <v>195000</v>
      </c>
      <c r="R122" s="4" t="n">
        <f aca="false">G122+P122-Q122</f>
        <v>7005000</v>
      </c>
      <c r="S122" s="2" t="n">
        <f aca="false">DATEDIF(E122,$Y$1,"y")</f>
        <v>2</v>
      </c>
      <c r="T122" s="2" t="str">
        <f aca="false">IF(S122&gt;=5,"Senior",IF(S122&gt;=1,"Menengah","Baru"))</f>
        <v>Menengah</v>
      </c>
      <c r="U122" s="9" t="n">
        <f aca="false">J122/(J122+K122+L122+M122)*100</f>
        <v>78.5714285714286</v>
      </c>
      <c r="V122" s="2" t="str">
        <f aca="false">IF(U122&gt;=95,"Baik",IF(U122&gt;=85,"Cukup","Perlu Perhatian"))</f>
        <v>Perlu Perhatian</v>
      </c>
    </row>
    <row r="123" customFormat="false" ht="15" hidden="false" customHeight="false" outlineLevel="0" collapsed="false">
      <c r="A123" s="2" t="s">
        <v>402</v>
      </c>
      <c r="B123" s="2" t="s">
        <v>403</v>
      </c>
      <c r="C123" s="2" t="s">
        <v>62</v>
      </c>
      <c r="D123" s="2" t="s">
        <v>141</v>
      </c>
      <c r="E123" s="3" t="s">
        <v>404</v>
      </c>
      <c r="F123" s="2" t="s">
        <v>20</v>
      </c>
      <c r="G123" s="4" t="n">
        <v>8500000</v>
      </c>
      <c r="H123" s="4" t="n">
        <v>400000</v>
      </c>
      <c r="I123" s="4" t="n">
        <v>300000</v>
      </c>
      <c r="J123" s="2" t="n">
        <v>18</v>
      </c>
      <c r="K123" s="2" t="n">
        <v>3</v>
      </c>
      <c r="L123" s="2" t="n">
        <v>0</v>
      </c>
      <c r="M123" s="2" t="n">
        <v>3</v>
      </c>
      <c r="N123" s="4" t="n">
        <v>85000</v>
      </c>
      <c r="O123" s="4" t="n">
        <v>170000</v>
      </c>
      <c r="P123" s="4" t="n">
        <f aca="false">H123+I123</f>
        <v>700000</v>
      </c>
      <c r="Q123" s="4" t="n">
        <f aca="false">N123+O123</f>
        <v>255000</v>
      </c>
      <c r="R123" s="4" t="n">
        <f aca="false">G123+P123-Q123</f>
        <v>8945000</v>
      </c>
      <c r="S123" s="2" t="n">
        <f aca="false">DATEDIF(E123,$Y$1,"y")</f>
        <v>3</v>
      </c>
      <c r="T123" s="2" t="str">
        <f aca="false">IF(S123&gt;=5,"Senior",IF(S123&gt;=1,"Menengah","Baru"))</f>
        <v>Menengah</v>
      </c>
      <c r="U123" s="9" t="n">
        <f aca="false">J123/(J123+K123+L123+M123)*100</f>
        <v>75</v>
      </c>
      <c r="V123" s="2" t="str">
        <f aca="false">IF(U123&gt;=95,"Baik",IF(U123&gt;=85,"Cukup","Perlu Perhatian"))</f>
        <v>Perlu Perhatian</v>
      </c>
    </row>
    <row r="124" customFormat="false" ht="15" hidden="false" customHeight="false" outlineLevel="0" collapsed="false">
      <c r="A124" s="2" t="s">
        <v>405</v>
      </c>
      <c r="B124" s="2" t="s">
        <v>406</v>
      </c>
      <c r="C124" s="2" t="s">
        <v>62</v>
      </c>
      <c r="D124" s="2" t="s">
        <v>141</v>
      </c>
      <c r="E124" s="3" t="s">
        <v>118</v>
      </c>
      <c r="F124" s="2" t="s">
        <v>26</v>
      </c>
      <c r="G124" s="4" t="n">
        <v>6500000</v>
      </c>
      <c r="H124" s="4" t="n">
        <v>300000</v>
      </c>
      <c r="I124" s="4" t="n">
        <v>300000</v>
      </c>
      <c r="J124" s="2" t="n">
        <v>24</v>
      </c>
      <c r="K124" s="2" t="n">
        <v>1</v>
      </c>
      <c r="L124" s="2" t="n">
        <v>0</v>
      </c>
      <c r="M124" s="2" t="n">
        <v>0</v>
      </c>
      <c r="N124" s="4" t="n">
        <v>65000</v>
      </c>
      <c r="O124" s="4" t="n">
        <v>130000</v>
      </c>
      <c r="P124" s="4" t="n">
        <f aca="false">H124+I124</f>
        <v>600000</v>
      </c>
      <c r="Q124" s="4" t="n">
        <f aca="false">N124+O124</f>
        <v>195000</v>
      </c>
      <c r="R124" s="4" t="n">
        <f aca="false">G124+P124-Q124</f>
        <v>6905000</v>
      </c>
      <c r="S124" s="2" t="n">
        <f aca="false">DATEDIF(E124,$Y$1,"y")</f>
        <v>3</v>
      </c>
      <c r="T124" s="2" t="str">
        <f aca="false">IF(S124&gt;=5,"Senior",IF(S124&gt;=1,"Menengah","Baru"))</f>
        <v>Menengah</v>
      </c>
      <c r="U124" s="9" t="n">
        <f aca="false">J124/(J124+K124+L124+M124)*100</f>
        <v>96</v>
      </c>
      <c r="V124" s="2" t="str">
        <f aca="false">IF(U124&gt;=95,"Baik",IF(U124&gt;=85,"Cukup","Perlu Perhatian"))</f>
        <v>Baik</v>
      </c>
    </row>
    <row r="125" customFormat="false" ht="15" hidden="false" customHeight="false" outlineLevel="0" collapsed="false">
      <c r="A125" s="2" t="s">
        <v>407</v>
      </c>
      <c r="B125" s="2" t="s">
        <v>72</v>
      </c>
      <c r="C125" s="2" t="s">
        <v>86</v>
      </c>
      <c r="D125" s="2" t="s">
        <v>87</v>
      </c>
      <c r="E125" s="3" t="s">
        <v>408</v>
      </c>
      <c r="F125" s="2" t="s">
        <v>26</v>
      </c>
      <c r="G125" s="4" t="n">
        <v>4800000</v>
      </c>
      <c r="H125" s="4" t="n">
        <v>300000</v>
      </c>
      <c r="I125" s="4" t="n">
        <v>250000</v>
      </c>
      <c r="J125" s="2" t="n">
        <v>19</v>
      </c>
      <c r="K125" s="2" t="n">
        <v>2</v>
      </c>
      <c r="L125" s="2" t="n">
        <v>1</v>
      </c>
      <c r="M125" s="2" t="n">
        <v>2</v>
      </c>
      <c r="N125" s="4" t="n">
        <v>48000</v>
      </c>
      <c r="O125" s="4" t="n">
        <v>96000</v>
      </c>
      <c r="P125" s="4" t="n">
        <f aca="false">H125+I125</f>
        <v>550000</v>
      </c>
      <c r="Q125" s="4" t="n">
        <f aca="false">N125+O125</f>
        <v>144000</v>
      </c>
      <c r="R125" s="4" t="n">
        <f aca="false">G125+P125-Q125</f>
        <v>5206000</v>
      </c>
      <c r="S125" s="2" t="n">
        <f aca="false">DATEDIF(E125,$Y$1,"y")</f>
        <v>3</v>
      </c>
      <c r="T125" s="2" t="str">
        <f aca="false">IF(S125&gt;=5,"Senior",IF(S125&gt;=1,"Menengah","Baru"))</f>
        <v>Menengah</v>
      </c>
      <c r="U125" s="9" t="n">
        <f aca="false">J125/(J125+K125+L125+M125)*100</f>
        <v>79.1666666666667</v>
      </c>
      <c r="V125" s="2" t="str">
        <f aca="false">IF(U125&gt;=95,"Baik",IF(U125&gt;=85,"Cukup","Perlu Perhatian"))</f>
        <v>Perlu Perhatian</v>
      </c>
    </row>
    <row r="126" customFormat="false" ht="15" hidden="false" customHeight="false" outlineLevel="0" collapsed="false">
      <c r="A126" s="2" t="s">
        <v>409</v>
      </c>
      <c r="B126" s="2" t="s">
        <v>410</v>
      </c>
      <c r="C126" s="2" t="s">
        <v>57</v>
      </c>
      <c r="D126" s="2" t="s">
        <v>58</v>
      </c>
      <c r="E126" s="3" t="s">
        <v>411</v>
      </c>
      <c r="F126" s="2" t="s">
        <v>20</v>
      </c>
      <c r="G126" s="4" t="n">
        <v>8500000</v>
      </c>
      <c r="H126" s="4" t="n">
        <v>350000</v>
      </c>
      <c r="I126" s="4" t="n">
        <v>330000</v>
      </c>
      <c r="J126" s="2" t="n">
        <v>24</v>
      </c>
      <c r="K126" s="2" t="n">
        <v>3</v>
      </c>
      <c r="L126" s="2" t="n">
        <v>2</v>
      </c>
      <c r="M126" s="2" t="n">
        <v>0</v>
      </c>
      <c r="N126" s="4" t="n">
        <v>85000</v>
      </c>
      <c r="O126" s="4" t="n">
        <v>170000</v>
      </c>
      <c r="P126" s="4" t="n">
        <f aca="false">H126+I126</f>
        <v>680000</v>
      </c>
      <c r="Q126" s="4" t="n">
        <f aca="false">N126+O126</f>
        <v>255000</v>
      </c>
      <c r="R126" s="4" t="n">
        <f aca="false">G126+P126-Q126</f>
        <v>8925000</v>
      </c>
      <c r="S126" s="2" t="n">
        <f aca="false">DATEDIF(E126,$Y$1,"y")</f>
        <v>6</v>
      </c>
      <c r="T126" s="2" t="str">
        <f aca="false">IF(S126&gt;=5,"Senior",IF(S126&gt;=1,"Menengah","Baru"))</f>
        <v>Senior</v>
      </c>
      <c r="U126" s="9" t="n">
        <f aca="false">J126/(J126+K126+L126+M126)*100</f>
        <v>82.7586206896552</v>
      </c>
      <c r="V126" s="2" t="str">
        <f aca="false">IF(U126&gt;=95,"Baik",IF(U126&gt;=85,"Cukup","Perlu Perhatian"))</f>
        <v>Perlu Perhatian</v>
      </c>
    </row>
    <row r="127" customFormat="false" ht="15" hidden="false" customHeight="false" outlineLevel="0" collapsed="false">
      <c r="A127" s="2" t="s">
        <v>412</v>
      </c>
      <c r="B127" s="2" t="s">
        <v>413</v>
      </c>
      <c r="C127" s="2" t="s">
        <v>52</v>
      </c>
      <c r="D127" s="2" t="s">
        <v>53</v>
      </c>
      <c r="E127" s="3" t="s">
        <v>414</v>
      </c>
      <c r="F127" s="2" t="s">
        <v>26</v>
      </c>
      <c r="G127" s="4" t="n">
        <v>5800000</v>
      </c>
      <c r="H127" s="4" t="n">
        <v>350000</v>
      </c>
      <c r="I127" s="4" t="n">
        <v>330000</v>
      </c>
      <c r="J127" s="2" t="n">
        <v>18</v>
      </c>
      <c r="K127" s="2" t="n">
        <v>2</v>
      </c>
      <c r="L127" s="2" t="n">
        <v>0</v>
      </c>
      <c r="M127" s="2" t="n">
        <v>4</v>
      </c>
      <c r="N127" s="4" t="n">
        <v>58000</v>
      </c>
      <c r="O127" s="4" t="n">
        <v>116000</v>
      </c>
      <c r="P127" s="4" t="n">
        <f aca="false">H127+I127</f>
        <v>680000</v>
      </c>
      <c r="Q127" s="4" t="n">
        <f aca="false">N127+O127</f>
        <v>174000</v>
      </c>
      <c r="R127" s="4" t="n">
        <f aca="false">G127+P127-Q127</f>
        <v>6306000</v>
      </c>
      <c r="S127" s="2" t="n">
        <f aca="false">DATEDIF(E127,$Y$1,"y")</f>
        <v>2</v>
      </c>
      <c r="T127" s="2" t="str">
        <f aca="false">IF(S127&gt;=5,"Senior",IF(S127&gt;=1,"Menengah","Baru"))</f>
        <v>Menengah</v>
      </c>
      <c r="U127" s="9" t="n">
        <f aca="false">J127/(J127+K127+L127+M127)*100</f>
        <v>75</v>
      </c>
      <c r="V127" s="2" t="str">
        <f aca="false">IF(U127&gt;=95,"Baik",IF(U127&gt;=85,"Cukup","Perlu Perhatian"))</f>
        <v>Perlu Perhatian</v>
      </c>
    </row>
    <row r="128" customFormat="false" ht="15" hidden="false" customHeight="false" outlineLevel="0" collapsed="false">
      <c r="A128" s="2" t="s">
        <v>415</v>
      </c>
      <c r="B128" s="2" t="s">
        <v>416</v>
      </c>
      <c r="C128" s="2" t="s">
        <v>52</v>
      </c>
      <c r="D128" s="2" t="s">
        <v>53</v>
      </c>
      <c r="E128" s="3" t="s">
        <v>417</v>
      </c>
      <c r="F128" s="2" t="s">
        <v>26</v>
      </c>
      <c r="G128" s="4" t="n">
        <v>5800000</v>
      </c>
      <c r="H128" s="4" t="n">
        <v>300000</v>
      </c>
      <c r="I128" s="4" t="n">
        <v>330000</v>
      </c>
      <c r="J128" s="2" t="n">
        <v>24</v>
      </c>
      <c r="K128" s="2" t="n">
        <v>0</v>
      </c>
      <c r="L128" s="2" t="n">
        <v>3</v>
      </c>
      <c r="M128" s="2" t="n">
        <v>0</v>
      </c>
      <c r="N128" s="4" t="n">
        <v>58000</v>
      </c>
      <c r="O128" s="4" t="n">
        <v>116000</v>
      </c>
      <c r="P128" s="4" t="n">
        <f aca="false">H128+I128</f>
        <v>630000</v>
      </c>
      <c r="Q128" s="4" t="n">
        <f aca="false">N128+O128</f>
        <v>174000</v>
      </c>
      <c r="R128" s="4" t="n">
        <f aca="false">G128+P128-Q128</f>
        <v>6256000</v>
      </c>
      <c r="S128" s="2" t="n">
        <f aca="false">DATEDIF(E128,$Y$1,"y")</f>
        <v>6</v>
      </c>
      <c r="T128" s="2" t="str">
        <f aca="false">IF(S128&gt;=5,"Senior",IF(S128&gt;=1,"Menengah","Baru"))</f>
        <v>Senior</v>
      </c>
      <c r="U128" s="9" t="n">
        <f aca="false">J128/(J128+K128+L128+M128)*100</f>
        <v>88.8888888888889</v>
      </c>
      <c r="V128" s="2" t="str">
        <f aca="false">IF(U128&gt;=95,"Baik",IF(U128&gt;=85,"Cukup","Perlu Perhatian"))</f>
        <v>Cukup</v>
      </c>
    </row>
    <row r="129" customFormat="false" ht="15" hidden="false" customHeight="false" outlineLevel="0" collapsed="false">
      <c r="A129" s="2" t="s">
        <v>418</v>
      </c>
      <c r="B129" s="2" t="s">
        <v>419</v>
      </c>
      <c r="C129" s="2" t="s">
        <v>86</v>
      </c>
      <c r="D129" s="2" t="s">
        <v>87</v>
      </c>
      <c r="E129" s="3" t="s">
        <v>420</v>
      </c>
      <c r="F129" s="2" t="s">
        <v>65</v>
      </c>
      <c r="G129" s="4" t="n">
        <v>5200000</v>
      </c>
      <c r="H129" s="4" t="n">
        <v>350000</v>
      </c>
      <c r="I129" s="4" t="n">
        <v>330000</v>
      </c>
      <c r="J129" s="2" t="n">
        <v>21</v>
      </c>
      <c r="K129" s="2" t="n">
        <v>1</v>
      </c>
      <c r="L129" s="2" t="n">
        <v>0</v>
      </c>
      <c r="M129" s="2" t="n">
        <v>2</v>
      </c>
      <c r="N129" s="4" t="n">
        <v>52000</v>
      </c>
      <c r="O129" s="4" t="n">
        <v>104000</v>
      </c>
      <c r="P129" s="4" t="n">
        <f aca="false">H129+I129</f>
        <v>680000</v>
      </c>
      <c r="Q129" s="4" t="n">
        <f aca="false">N129+O129</f>
        <v>156000</v>
      </c>
      <c r="R129" s="4" t="n">
        <f aca="false">G129+P129-Q129</f>
        <v>5724000</v>
      </c>
      <c r="S129" s="2" t="n">
        <f aca="false">DATEDIF(E129,$Y$1,"y")</f>
        <v>2</v>
      </c>
      <c r="T129" s="2" t="str">
        <f aca="false">IF(S129&gt;=5,"Senior",IF(S129&gt;=1,"Menengah","Baru"))</f>
        <v>Menengah</v>
      </c>
      <c r="U129" s="9" t="n">
        <f aca="false">J129/(J129+K129+L129+M129)*100</f>
        <v>87.5</v>
      </c>
      <c r="V129" s="2" t="str">
        <f aca="false">IF(U129&gt;=95,"Baik",IF(U129&gt;=85,"Cukup","Perlu Perhatian"))</f>
        <v>Cukup</v>
      </c>
    </row>
    <row r="130" customFormat="false" ht="15" hidden="false" customHeight="false" outlineLevel="0" collapsed="false">
      <c r="A130" s="2" t="s">
        <v>421</v>
      </c>
      <c r="B130" s="2" t="s">
        <v>265</v>
      </c>
      <c r="C130" s="2" t="s">
        <v>68</v>
      </c>
      <c r="D130" s="2" t="s">
        <v>217</v>
      </c>
      <c r="E130" s="3" t="s">
        <v>422</v>
      </c>
      <c r="F130" s="2" t="s">
        <v>26</v>
      </c>
      <c r="G130" s="4" t="n">
        <v>4800000</v>
      </c>
      <c r="H130" s="4" t="n">
        <v>300000</v>
      </c>
      <c r="I130" s="4" t="n">
        <v>250000</v>
      </c>
      <c r="J130" s="2" t="n">
        <v>23</v>
      </c>
      <c r="K130" s="2" t="n">
        <v>3</v>
      </c>
      <c r="L130" s="2" t="n">
        <v>3</v>
      </c>
      <c r="M130" s="2" t="n">
        <v>0</v>
      </c>
      <c r="N130" s="4" t="n">
        <v>48000</v>
      </c>
      <c r="O130" s="4" t="n">
        <v>96000</v>
      </c>
      <c r="P130" s="4" t="n">
        <f aca="false">H130+I130</f>
        <v>550000</v>
      </c>
      <c r="Q130" s="4" t="n">
        <f aca="false">N130+O130</f>
        <v>144000</v>
      </c>
      <c r="R130" s="4" t="n">
        <f aca="false">G130+P130-Q130</f>
        <v>5206000</v>
      </c>
      <c r="S130" s="2" t="n">
        <f aca="false">DATEDIF(E130,$Y$1,"y")</f>
        <v>6</v>
      </c>
      <c r="T130" s="2" t="str">
        <f aca="false">IF(S130&gt;=5,"Senior",IF(S130&gt;=1,"Menengah","Baru"))</f>
        <v>Senior</v>
      </c>
      <c r="U130" s="9" t="n">
        <f aca="false">J130/(J130+K130+L130+M130)*100</f>
        <v>79.3103448275862</v>
      </c>
      <c r="V130" s="2" t="str">
        <f aca="false">IF(U130&gt;=95,"Baik",IF(U130&gt;=85,"Cukup","Perlu Perhatian"))</f>
        <v>Perlu Perhatian</v>
      </c>
    </row>
    <row r="131" customFormat="false" ht="15" hidden="false" customHeight="false" outlineLevel="0" collapsed="false">
      <c r="A131" s="2" t="s">
        <v>423</v>
      </c>
      <c r="B131" s="2" t="s">
        <v>424</v>
      </c>
      <c r="C131" s="2" t="s">
        <v>57</v>
      </c>
      <c r="D131" s="2" t="s">
        <v>137</v>
      </c>
      <c r="E131" s="3" t="s">
        <v>425</v>
      </c>
      <c r="F131" s="2" t="s">
        <v>65</v>
      </c>
      <c r="G131" s="4" t="n">
        <v>7200000</v>
      </c>
      <c r="H131" s="4" t="n">
        <v>350000</v>
      </c>
      <c r="I131" s="4" t="n">
        <v>300000</v>
      </c>
      <c r="J131" s="2" t="n">
        <v>23</v>
      </c>
      <c r="K131" s="2" t="n">
        <v>0</v>
      </c>
      <c r="L131" s="2" t="n">
        <v>2</v>
      </c>
      <c r="M131" s="2" t="n">
        <v>0</v>
      </c>
      <c r="N131" s="4" t="n">
        <v>72000</v>
      </c>
      <c r="O131" s="4" t="n">
        <v>144000</v>
      </c>
      <c r="P131" s="4" t="n">
        <f aca="false">H131+I131</f>
        <v>650000</v>
      </c>
      <c r="Q131" s="4" t="n">
        <f aca="false">N131+O131</f>
        <v>216000</v>
      </c>
      <c r="R131" s="4" t="n">
        <f aca="false">G131+P131-Q131</f>
        <v>7634000</v>
      </c>
      <c r="S131" s="2" t="n">
        <f aca="false">DATEDIF(E131,$Y$1,"y")</f>
        <v>3</v>
      </c>
      <c r="T131" s="2" t="str">
        <f aca="false">IF(S131&gt;=5,"Senior",IF(S131&gt;=1,"Menengah","Baru"))</f>
        <v>Menengah</v>
      </c>
      <c r="U131" s="9" t="n">
        <f aca="false">J131/(J131+K131+L131+M131)*100</f>
        <v>92</v>
      </c>
      <c r="V131" s="2" t="str">
        <f aca="false">IF(U131&gt;=95,"Baik",IF(U131&gt;=85,"Cukup","Perlu Perhatian"))</f>
        <v>Cukup</v>
      </c>
    </row>
    <row r="132" customFormat="false" ht="15" hidden="false" customHeight="false" outlineLevel="0" collapsed="false">
      <c r="A132" s="2" t="s">
        <v>426</v>
      </c>
      <c r="B132" s="2" t="s">
        <v>427</v>
      </c>
      <c r="C132" s="2" t="s">
        <v>23</v>
      </c>
      <c r="D132" s="2" t="s">
        <v>43</v>
      </c>
      <c r="E132" s="3" t="s">
        <v>428</v>
      </c>
      <c r="F132" s="2" t="s">
        <v>20</v>
      </c>
      <c r="G132" s="4" t="n">
        <v>4800000</v>
      </c>
      <c r="H132" s="4" t="n">
        <v>350000</v>
      </c>
      <c r="I132" s="4" t="n">
        <v>250000</v>
      </c>
      <c r="J132" s="2" t="n">
        <v>22</v>
      </c>
      <c r="K132" s="2" t="n">
        <v>1</v>
      </c>
      <c r="L132" s="2" t="n">
        <v>2</v>
      </c>
      <c r="M132" s="2" t="n">
        <v>0</v>
      </c>
      <c r="N132" s="4" t="n">
        <v>48000</v>
      </c>
      <c r="O132" s="4" t="n">
        <v>96000</v>
      </c>
      <c r="P132" s="4" t="n">
        <f aca="false">H132+I132</f>
        <v>600000</v>
      </c>
      <c r="Q132" s="4" t="n">
        <f aca="false">N132+O132</f>
        <v>144000</v>
      </c>
      <c r="R132" s="4" t="n">
        <f aca="false">G132+P132-Q132</f>
        <v>5256000</v>
      </c>
      <c r="S132" s="2" t="n">
        <f aca="false">DATEDIF(E132,$Y$1,"y")</f>
        <v>3</v>
      </c>
      <c r="T132" s="2" t="str">
        <f aca="false">IF(S132&gt;=5,"Senior",IF(S132&gt;=1,"Menengah","Baru"))</f>
        <v>Menengah</v>
      </c>
      <c r="U132" s="9" t="n">
        <f aca="false">J132/(J132+K132+L132+M132)*100</f>
        <v>88</v>
      </c>
      <c r="V132" s="2" t="str">
        <f aca="false">IF(U132&gt;=95,"Baik",IF(U132&gt;=85,"Cukup","Perlu Perhatian"))</f>
        <v>Cukup</v>
      </c>
    </row>
    <row r="133" customFormat="false" ht="15" hidden="false" customHeight="false" outlineLevel="0" collapsed="false">
      <c r="A133" s="2" t="s">
        <v>429</v>
      </c>
      <c r="B133" s="2" t="s">
        <v>430</v>
      </c>
      <c r="C133" s="2" t="s">
        <v>57</v>
      </c>
      <c r="D133" s="2" t="s">
        <v>58</v>
      </c>
      <c r="E133" s="3" t="s">
        <v>431</v>
      </c>
      <c r="F133" s="2" t="s">
        <v>20</v>
      </c>
      <c r="G133" s="4" t="n">
        <v>7200000</v>
      </c>
      <c r="H133" s="4" t="n">
        <v>400000</v>
      </c>
      <c r="I133" s="4" t="n">
        <v>300000</v>
      </c>
      <c r="J133" s="2" t="n">
        <v>24</v>
      </c>
      <c r="K133" s="2" t="n">
        <v>1</v>
      </c>
      <c r="L133" s="2" t="n">
        <v>0</v>
      </c>
      <c r="M133" s="2" t="n">
        <v>0</v>
      </c>
      <c r="N133" s="4" t="n">
        <v>72000</v>
      </c>
      <c r="O133" s="4" t="n">
        <v>144000</v>
      </c>
      <c r="P133" s="4" t="n">
        <f aca="false">H133+I133</f>
        <v>700000</v>
      </c>
      <c r="Q133" s="4" t="n">
        <f aca="false">N133+O133</f>
        <v>216000</v>
      </c>
      <c r="R133" s="4" t="n">
        <f aca="false">G133+P133-Q133</f>
        <v>7684000</v>
      </c>
      <c r="S133" s="2" t="n">
        <f aca="false">DATEDIF(E133,$Y$1,"y")</f>
        <v>6</v>
      </c>
      <c r="T133" s="2" t="str">
        <f aca="false">IF(S133&gt;=5,"Senior",IF(S133&gt;=1,"Menengah","Baru"))</f>
        <v>Senior</v>
      </c>
      <c r="U133" s="9" t="n">
        <f aca="false">J133/(J133+K133+L133+M133)*100</f>
        <v>96</v>
      </c>
      <c r="V133" s="2" t="str">
        <f aca="false">IF(U133&gt;=95,"Baik",IF(U133&gt;=85,"Cukup","Perlu Perhatian"))</f>
        <v>Baik</v>
      </c>
    </row>
    <row r="134" customFormat="false" ht="15" hidden="false" customHeight="false" outlineLevel="0" collapsed="false">
      <c r="A134" s="2" t="s">
        <v>432</v>
      </c>
      <c r="B134" s="2" t="s">
        <v>433</v>
      </c>
      <c r="C134" s="2" t="s">
        <v>68</v>
      </c>
      <c r="D134" s="2" t="s">
        <v>69</v>
      </c>
      <c r="E134" s="3" t="s">
        <v>434</v>
      </c>
      <c r="F134" s="2" t="s">
        <v>20</v>
      </c>
      <c r="G134" s="4" t="n">
        <v>5200000</v>
      </c>
      <c r="H134" s="4" t="n">
        <v>350000</v>
      </c>
      <c r="I134" s="4" t="n">
        <v>300000</v>
      </c>
      <c r="J134" s="2" t="n">
        <v>19</v>
      </c>
      <c r="K134" s="2" t="n">
        <v>1</v>
      </c>
      <c r="L134" s="2" t="n">
        <v>1</v>
      </c>
      <c r="M134" s="2" t="n">
        <v>3</v>
      </c>
      <c r="N134" s="4" t="n">
        <v>52000</v>
      </c>
      <c r="O134" s="4" t="n">
        <v>104000</v>
      </c>
      <c r="P134" s="4" t="n">
        <f aca="false">H134+I134</f>
        <v>650000</v>
      </c>
      <c r="Q134" s="4" t="n">
        <f aca="false">N134+O134</f>
        <v>156000</v>
      </c>
      <c r="R134" s="4" t="n">
        <f aca="false">G134+P134-Q134</f>
        <v>5694000</v>
      </c>
      <c r="S134" s="2" t="n">
        <f aca="false">DATEDIF(E134,$Y$1,"y")</f>
        <v>3</v>
      </c>
      <c r="T134" s="2" t="str">
        <f aca="false">IF(S134&gt;=5,"Senior",IF(S134&gt;=1,"Menengah","Baru"))</f>
        <v>Menengah</v>
      </c>
      <c r="U134" s="9" t="n">
        <f aca="false">J134/(J134+K134+L134+M134)*100</f>
        <v>79.1666666666667</v>
      </c>
      <c r="V134" s="2" t="str">
        <f aca="false">IF(U134&gt;=95,"Baik",IF(U134&gt;=85,"Cukup","Perlu Perhatian"))</f>
        <v>Perlu Perhatian</v>
      </c>
    </row>
    <row r="135" customFormat="false" ht="15" hidden="false" customHeight="false" outlineLevel="0" collapsed="false">
      <c r="A135" s="2" t="s">
        <v>435</v>
      </c>
      <c r="B135" s="2" t="s">
        <v>436</v>
      </c>
      <c r="C135" s="2" t="s">
        <v>17</v>
      </c>
      <c r="D135" s="2" t="s">
        <v>18</v>
      </c>
      <c r="E135" s="3" t="s">
        <v>73</v>
      </c>
      <c r="F135" s="2" t="s">
        <v>26</v>
      </c>
      <c r="G135" s="4" t="n">
        <v>9500000</v>
      </c>
      <c r="H135" s="4" t="n">
        <v>300000</v>
      </c>
      <c r="I135" s="4" t="n">
        <v>330000</v>
      </c>
      <c r="J135" s="2" t="n">
        <v>20</v>
      </c>
      <c r="K135" s="2" t="n">
        <v>1</v>
      </c>
      <c r="L135" s="2" t="n">
        <v>3</v>
      </c>
      <c r="M135" s="2" t="n">
        <v>0</v>
      </c>
      <c r="N135" s="4" t="n">
        <v>95000</v>
      </c>
      <c r="O135" s="4" t="n">
        <v>190000</v>
      </c>
      <c r="P135" s="4" t="n">
        <f aca="false">H135+I135</f>
        <v>630000</v>
      </c>
      <c r="Q135" s="4" t="n">
        <f aca="false">N135+O135</f>
        <v>285000</v>
      </c>
      <c r="R135" s="4" t="n">
        <f aca="false">G135+P135-Q135</f>
        <v>9845000</v>
      </c>
      <c r="S135" s="2" t="n">
        <f aca="false">DATEDIF(E135,$Y$1,"y")</f>
        <v>1</v>
      </c>
      <c r="T135" s="2" t="str">
        <f aca="false">IF(S135&gt;=5,"Senior",IF(S135&gt;=1,"Menengah","Baru"))</f>
        <v>Menengah</v>
      </c>
      <c r="U135" s="9" t="n">
        <f aca="false">J135/(J135+K135+L135+M135)*100</f>
        <v>83.3333333333333</v>
      </c>
      <c r="V135" s="2" t="str">
        <f aca="false">IF(U135&gt;=95,"Baik",IF(U135&gt;=85,"Cukup","Perlu Perhatian"))</f>
        <v>Perlu Perhatian</v>
      </c>
    </row>
    <row r="136" customFormat="false" ht="15" hidden="false" customHeight="false" outlineLevel="0" collapsed="false">
      <c r="A136" s="2" t="s">
        <v>437</v>
      </c>
      <c r="B136" s="2" t="s">
        <v>438</v>
      </c>
      <c r="C136" s="2" t="s">
        <v>57</v>
      </c>
      <c r="D136" s="2" t="s">
        <v>58</v>
      </c>
      <c r="E136" s="3" t="s">
        <v>439</v>
      </c>
      <c r="F136" s="2" t="s">
        <v>26</v>
      </c>
      <c r="G136" s="4" t="n">
        <v>4200000</v>
      </c>
      <c r="H136" s="4" t="n">
        <v>350000</v>
      </c>
      <c r="I136" s="4" t="n">
        <v>300000</v>
      </c>
      <c r="J136" s="2" t="n">
        <v>23</v>
      </c>
      <c r="K136" s="2" t="n">
        <v>1</v>
      </c>
      <c r="L136" s="2" t="n">
        <v>3</v>
      </c>
      <c r="M136" s="2" t="n">
        <v>0</v>
      </c>
      <c r="N136" s="4" t="n">
        <v>42000</v>
      </c>
      <c r="O136" s="4" t="n">
        <v>84000</v>
      </c>
      <c r="P136" s="4" t="n">
        <f aca="false">H136+I136</f>
        <v>650000</v>
      </c>
      <c r="Q136" s="4" t="n">
        <f aca="false">N136+O136</f>
        <v>126000</v>
      </c>
      <c r="R136" s="4" t="n">
        <f aca="false">G136+P136-Q136</f>
        <v>4724000</v>
      </c>
      <c r="S136" s="2" t="n">
        <f aca="false">DATEDIF(E136,$Y$1,"y")</f>
        <v>5</v>
      </c>
      <c r="T136" s="2" t="str">
        <f aca="false">IF(S136&gt;=5,"Senior",IF(S136&gt;=1,"Menengah","Baru"))</f>
        <v>Senior</v>
      </c>
      <c r="U136" s="9" t="n">
        <f aca="false">J136/(J136+K136+L136+M136)*100</f>
        <v>85.1851851851852</v>
      </c>
      <c r="V136" s="2" t="str">
        <f aca="false">IF(U136&gt;=95,"Baik",IF(U136&gt;=85,"Cukup","Perlu Perhatian"))</f>
        <v>Cukup</v>
      </c>
    </row>
    <row r="137" customFormat="false" ht="15" hidden="false" customHeight="false" outlineLevel="0" collapsed="false">
      <c r="A137" s="2" t="s">
        <v>440</v>
      </c>
      <c r="B137" s="2" t="s">
        <v>441</v>
      </c>
      <c r="C137" s="2" t="s">
        <v>52</v>
      </c>
      <c r="D137" s="2" t="s">
        <v>53</v>
      </c>
      <c r="E137" s="3" t="s">
        <v>442</v>
      </c>
      <c r="F137" s="2" t="s">
        <v>20</v>
      </c>
      <c r="G137" s="4" t="n">
        <v>8500000</v>
      </c>
      <c r="H137" s="4" t="n">
        <v>300000</v>
      </c>
      <c r="I137" s="4" t="n">
        <v>300000</v>
      </c>
      <c r="J137" s="2" t="n">
        <v>23</v>
      </c>
      <c r="K137" s="2" t="n">
        <v>3</v>
      </c>
      <c r="L137" s="2" t="n">
        <v>3</v>
      </c>
      <c r="M137" s="2" t="n">
        <v>0</v>
      </c>
      <c r="N137" s="4" t="n">
        <v>85000</v>
      </c>
      <c r="O137" s="4" t="n">
        <v>170000</v>
      </c>
      <c r="P137" s="4" t="n">
        <f aca="false">H137+I137</f>
        <v>600000</v>
      </c>
      <c r="Q137" s="4" t="n">
        <f aca="false">N137+O137</f>
        <v>255000</v>
      </c>
      <c r="R137" s="4" t="n">
        <f aca="false">G137+P137-Q137</f>
        <v>8845000</v>
      </c>
      <c r="S137" s="2" t="n">
        <f aca="false">DATEDIF(E137,$Y$1,"y")</f>
        <v>1</v>
      </c>
      <c r="T137" s="2" t="str">
        <f aca="false">IF(S137&gt;=5,"Senior",IF(S137&gt;=1,"Menengah","Baru"))</f>
        <v>Menengah</v>
      </c>
      <c r="U137" s="9" t="n">
        <f aca="false">J137/(J137+K137+L137+M137)*100</f>
        <v>79.3103448275862</v>
      </c>
      <c r="V137" s="2" t="str">
        <f aca="false">IF(U137&gt;=95,"Baik",IF(U137&gt;=85,"Cukup","Perlu Perhatian"))</f>
        <v>Perlu Perhatian</v>
      </c>
    </row>
    <row r="138" customFormat="false" ht="15" hidden="false" customHeight="false" outlineLevel="0" collapsed="false">
      <c r="A138" s="2" t="s">
        <v>443</v>
      </c>
      <c r="B138" s="2" t="s">
        <v>444</v>
      </c>
      <c r="C138" s="2" t="s">
        <v>86</v>
      </c>
      <c r="D138" s="2" t="s">
        <v>106</v>
      </c>
      <c r="E138" s="3" t="s">
        <v>445</v>
      </c>
      <c r="F138" s="2" t="s">
        <v>26</v>
      </c>
      <c r="G138" s="4" t="n">
        <v>4800000</v>
      </c>
      <c r="H138" s="4" t="n">
        <v>350000</v>
      </c>
      <c r="I138" s="4" t="n">
        <v>250000</v>
      </c>
      <c r="J138" s="2" t="n">
        <v>23</v>
      </c>
      <c r="K138" s="2" t="n">
        <v>3</v>
      </c>
      <c r="L138" s="2" t="n">
        <v>2</v>
      </c>
      <c r="M138" s="2" t="n">
        <v>0</v>
      </c>
      <c r="N138" s="4" t="n">
        <v>48000</v>
      </c>
      <c r="O138" s="4" t="n">
        <v>96000</v>
      </c>
      <c r="P138" s="4" t="n">
        <f aca="false">H138+I138</f>
        <v>600000</v>
      </c>
      <c r="Q138" s="4" t="n">
        <f aca="false">N138+O138</f>
        <v>144000</v>
      </c>
      <c r="R138" s="4" t="n">
        <f aca="false">G138+P138-Q138</f>
        <v>5256000</v>
      </c>
      <c r="S138" s="2" t="n">
        <f aca="false">DATEDIF(E138,$Y$1,"y")</f>
        <v>5</v>
      </c>
      <c r="T138" s="2" t="str">
        <f aca="false">IF(S138&gt;=5,"Senior",IF(S138&gt;=1,"Menengah","Baru"))</f>
        <v>Senior</v>
      </c>
      <c r="U138" s="9" t="n">
        <f aca="false">J138/(J138+K138+L138+M138)*100</f>
        <v>82.1428571428571</v>
      </c>
      <c r="V138" s="2" t="str">
        <f aca="false">IF(U138&gt;=95,"Baik",IF(U138&gt;=85,"Cukup","Perlu Perhatian"))</f>
        <v>Perlu Perhatian</v>
      </c>
    </row>
    <row r="139" customFormat="false" ht="15" hidden="false" customHeight="false" outlineLevel="0" collapsed="false">
      <c r="A139" s="2" t="s">
        <v>446</v>
      </c>
      <c r="B139" s="2" t="s">
        <v>447</v>
      </c>
      <c r="C139" s="2" t="s">
        <v>86</v>
      </c>
      <c r="D139" s="2" t="s">
        <v>87</v>
      </c>
      <c r="E139" s="3" t="s">
        <v>448</v>
      </c>
      <c r="F139" s="2" t="s">
        <v>20</v>
      </c>
      <c r="G139" s="4" t="n">
        <v>4800000</v>
      </c>
      <c r="H139" s="4" t="n">
        <v>350000</v>
      </c>
      <c r="I139" s="4" t="n">
        <v>300000</v>
      </c>
      <c r="J139" s="2" t="n">
        <v>22</v>
      </c>
      <c r="K139" s="2" t="n">
        <v>1</v>
      </c>
      <c r="L139" s="2" t="n">
        <v>3</v>
      </c>
      <c r="M139" s="2" t="n">
        <v>0</v>
      </c>
      <c r="N139" s="4" t="n">
        <v>48000</v>
      </c>
      <c r="O139" s="4" t="n">
        <v>96000</v>
      </c>
      <c r="P139" s="4" t="n">
        <f aca="false">H139+I139</f>
        <v>650000</v>
      </c>
      <c r="Q139" s="4" t="n">
        <f aca="false">N139+O139</f>
        <v>144000</v>
      </c>
      <c r="R139" s="4" t="n">
        <f aca="false">G139+P139-Q139</f>
        <v>5306000</v>
      </c>
      <c r="S139" s="2" t="n">
        <f aca="false">DATEDIF(E139,$Y$1,"y")</f>
        <v>4</v>
      </c>
      <c r="T139" s="2" t="str">
        <f aca="false">IF(S139&gt;=5,"Senior",IF(S139&gt;=1,"Menengah","Baru"))</f>
        <v>Menengah</v>
      </c>
      <c r="U139" s="9" t="n">
        <f aca="false">J139/(J139+K139+L139+M139)*100</f>
        <v>84.6153846153846</v>
      </c>
      <c r="V139" s="2" t="str">
        <f aca="false">IF(U139&gt;=95,"Baik",IF(U139&gt;=85,"Cukup","Perlu Perhatian"))</f>
        <v>Perlu Perhatian</v>
      </c>
    </row>
    <row r="140" customFormat="false" ht="15" hidden="false" customHeight="false" outlineLevel="0" collapsed="false">
      <c r="A140" s="2" t="s">
        <v>449</v>
      </c>
      <c r="B140" s="2" t="s">
        <v>450</v>
      </c>
      <c r="C140" s="2" t="s">
        <v>52</v>
      </c>
      <c r="D140" s="2" t="s">
        <v>124</v>
      </c>
      <c r="E140" s="3" t="s">
        <v>451</v>
      </c>
      <c r="F140" s="2" t="s">
        <v>26</v>
      </c>
      <c r="G140" s="4" t="n">
        <v>7200000</v>
      </c>
      <c r="H140" s="4" t="n">
        <v>400000</v>
      </c>
      <c r="I140" s="4" t="n">
        <v>300000</v>
      </c>
      <c r="J140" s="2" t="n">
        <v>19</v>
      </c>
      <c r="K140" s="2" t="n">
        <v>3</v>
      </c>
      <c r="L140" s="2" t="n">
        <v>0</v>
      </c>
      <c r="M140" s="2" t="n">
        <v>2</v>
      </c>
      <c r="N140" s="4" t="n">
        <v>72000</v>
      </c>
      <c r="O140" s="4" t="n">
        <v>144000</v>
      </c>
      <c r="P140" s="4" t="n">
        <f aca="false">H140+I140</f>
        <v>700000</v>
      </c>
      <c r="Q140" s="4" t="n">
        <f aca="false">N140+O140</f>
        <v>216000</v>
      </c>
      <c r="R140" s="4" t="n">
        <f aca="false">G140+P140-Q140</f>
        <v>7684000</v>
      </c>
      <c r="S140" s="2" t="n">
        <f aca="false">DATEDIF(E140,$Y$1,"y")</f>
        <v>7</v>
      </c>
      <c r="T140" s="2" t="str">
        <f aca="false">IF(S140&gt;=5,"Senior",IF(S140&gt;=1,"Menengah","Baru"))</f>
        <v>Senior</v>
      </c>
      <c r="U140" s="9" t="n">
        <f aca="false">J140/(J140+K140+L140+M140)*100</f>
        <v>79.1666666666667</v>
      </c>
      <c r="V140" s="2" t="str">
        <f aca="false">IF(U140&gt;=95,"Baik",IF(U140&gt;=85,"Cukup","Perlu Perhatian"))</f>
        <v>Perlu Perhatian</v>
      </c>
    </row>
    <row r="141" customFormat="false" ht="15" hidden="false" customHeight="false" outlineLevel="0" collapsed="false">
      <c r="A141" s="2" t="s">
        <v>452</v>
      </c>
      <c r="B141" s="2" t="s">
        <v>56</v>
      </c>
      <c r="C141" s="2" t="s">
        <v>196</v>
      </c>
      <c r="D141" s="2" t="s">
        <v>197</v>
      </c>
      <c r="E141" s="3" t="s">
        <v>453</v>
      </c>
      <c r="F141" s="2" t="s">
        <v>26</v>
      </c>
      <c r="G141" s="4" t="n">
        <v>6500000</v>
      </c>
      <c r="H141" s="4" t="n">
        <v>300000</v>
      </c>
      <c r="I141" s="4" t="n">
        <v>250000</v>
      </c>
      <c r="J141" s="2" t="n">
        <v>18</v>
      </c>
      <c r="K141" s="2" t="n">
        <v>2</v>
      </c>
      <c r="L141" s="2" t="n">
        <v>3</v>
      </c>
      <c r="M141" s="2" t="n">
        <v>1</v>
      </c>
      <c r="N141" s="4" t="n">
        <v>65000</v>
      </c>
      <c r="O141" s="4" t="n">
        <v>130000</v>
      </c>
      <c r="P141" s="4" t="n">
        <f aca="false">H141+I141</f>
        <v>550000</v>
      </c>
      <c r="Q141" s="4" t="n">
        <f aca="false">N141+O141</f>
        <v>195000</v>
      </c>
      <c r="R141" s="4" t="n">
        <f aca="false">G141+P141-Q141</f>
        <v>6855000</v>
      </c>
      <c r="S141" s="2" t="n">
        <f aca="false">DATEDIF(E141,$Y$1,"y")</f>
        <v>6</v>
      </c>
      <c r="T141" s="2" t="str">
        <f aca="false">IF(S141&gt;=5,"Senior",IF(S141&gt;=1,"Menengah","Baru"))</f>
        <v>Senior</v>
      </c>
      <c r="U141" s="9" t="n">
        <f aca="false">J141/(J141+K141+L141+M141)*100</f>
        <v>75</v>
      </c>
      <c r="V141" s="2" t="str">
        <f aca="false">IF(U141&gt;=95,"Baik",IF(U141&gt;=85,"Cukup","Perlu Perhatian"))</f>
        <v>Perlu Perhatian</v>
      </c>
    </row>
    <row r="142" customFormat="false" ht="15" hidden="false" customHeight="false" outlineLevel="0" collapsed="false">
      <c r="A142" s="2" t="s">
        <v>454</v>
      </c>
      <c r="B142" s="2" t="s">
        <v>244</v>
      </c>
      <c r="C142" s="2" t="s">
        <v>52</v>
      </c>
      <c r="D142" s="2" t="s">
        <v>53</v>
      </c>
      <c r="E142" s="3" t="s">
        <v>455</v>
      </c>
      <c r="F142" s="2" t="s">
        <v>20</v>
      </c>
      <c r="G142" s="4" t="n">
        <v>5200000</v>
      </c>
      <c r="H142" s="4" t="n">
        <v>300000</v>
      </c>
      <c r="I142" s="4" t="n">
        <v>330000</v>
      </c>
      <c r="J142" s="2" t="n">
        <v>23</v>
      </c>
      <c r="K142" s="2" t="n">
        <v>3</v>
      </c>
      <c r="L142" s="2" t="n">
        <v>0</v>
      </c>
      <c r="M142" s="2" t="n">
        <v>0</v>
      </c>
      <c r="N142" s="4" t="n">
        <v>52000</v>
      </c>
      <c r="O142" s="4" t="n">
        <v>104000</v>
      </c>
      <c r="P142" s="4" t="n">
        <f aca="false">H142+I142</f>
        <v>630000</v>
      </c>
      <c r="Q142" s="4" t="n">
        <f aca="false">N142+O142</f>
        <v>156000</v>
      </c>
      <c r="R142" s="4" t="n">
        <f aca="false">G142+P142-Q142</f>
        <v>5674000</v>
      </c>
      <c r="S142" s="2" t="n">
        <f aca="false">DATEDIF(E142,$Y$1,"y")</f>
        <v>6</v>
      </c>
      <c r="T142" s="2" t="str">
        <f aca="false">IF(S142&gt;=5,"Senior",IF(S142&gt;=1,"Menengah","Baru"))</f>
        <v>Senior</v>
      </c>
      <c r="U142" s="9" t="n">
        <f aca="false">J142/(J142+K142+L142+M142)*100</f>
        <v>88.4615384615385</v>
      </c>
      <c r="V142" s="2" t="str">
        <f aca="false">IF(U142&gt;=95,"Baik",IF(U142&gt;=85,"Cukup","Perlu Perhatian"))</f>
        <v>Cukup</v>
      </c>
    </row>
    <row r="143" customFormat="false" ht="15" hidden="false" customHeight="false" outlineLevel="0" collapsed="false">
      <c r="A143" s="2" t="s">
        <v>456</v>
      </c>
      <c r="B143" s="2" t="s">
        <v>457</v>
      </c>
      <c r="C143" s="2" t="s">
        <v>17</v>
      </c>
      <c r="D143" s="2" t="s">
        <v>18</v>
      </c>
      <c r="E143" s="3" t="s">
        <v>458</v>
      </c>
      <c r="F143" s="2" t="s">
        <v>20</v>
      </c>
      <c r="G143" s="4" t="n">
        <v>8500000</v>
      </c>
      <c r="H143" s="4" t="n">
        <v>300000</v>
      </c>
      <c r="I143" s="4" t="n">
        <v>250000</v>
      </c>
      <c r="J143" s="2" t="n">
        <v>24</v>
      </c>
      <c r="K143" s="2" t="n">
        <v>3</v>
      </c>
      <c r="L143" s="2" t="n">
        <v>0</v>
      </c>
      <c r="M143" s="2" t="n">
        <v>0</v>
      </c>
      <c r="N143" s="4" t="n">
        <v>85000</v>
      </c>
      <c r="O143" s="4" t="n">
        <v>170000</v>
      </c>
      <c r="P143" s="4" t="n">
        <f aca="false">H143+I143</f>
        <v>550000</v>
      </c>
      <c r="Q143" s="4" t="n">
        <f aca="false">N143+O143</f>
        <v>255000</v>
      </c>
      <c r="R143" s="4" t="n">
        <f aca="false">G143+P143-Q143</f>
        <v>8795000</v>
      </c>
      <c r="S143" s="2" t="n">
        <f aca="false">DATEDIF(E143,$Y$1,"y")</f>
        <v>6</v>
      </c>
      <c r="T143" s="2" t="str">
        <f aca="false">IF(S143&gt;=5,"Senior",IF(S143&gt;=1,"Menengah","Baru"))</f>
        <v>Senior</v>
      </c>
      <c r="U143" s="9" t="n">
        <f aca="false">J143/(J143+K143+L143+M143)*100</f>
        <v>88.8888888888889</v>
      </c>
      <c r="V143" s="2" t="str">
        <f aca="false">IF(U143&gt;=95,"Baik",IF(U143&gt;=85,"Cukup","Perlu Perhatian"))</f>
        <v>Cukup</v>
      </c>
    </row>
    <row r="144" customFormat="false" ht="15" hidden="false" customHeight="false" outlineLevel="0" collapsed="false">
      <c r="A144" s="2" t="s">
        <v>459</v>
      </c>
      <c r="B144" s="2" t="s">
        <v>460</v>
      </c>
      <c r="C144" s="2" t="s">
        <v>47</v>
      </c>
      <c r="D144" s="2" t="s">
        <v>113</v>
      </c>
      <c r="E144" s="3" t="s">
        <v>461</v>
      </c>
      <c r="F144" s="2" t="s">
        <v>20</v>
      </c>
      <c r="G144" s="4" t="n">
        <v>4200000</v>
      </c>
      <c r="H144" s="4" t="n">
        <v>400000</v>
      </c>
      <c r="I144" s="4" t="n">
        <v>300000</v>
      </c>
      <c r="J144" s="2" t="n">
        <v>19</v>
      </c>
      <c r="K144" s="2" t="n">
        <v>3</v>
      </c>
      <c r="L144" s="2" t="n">
        <v>1</v>
      </c>
      <c r="M144" s="2" t="n">
        <v>1</v>
      </c>
      <c r="N144" s="4" t="n">
        <v>42000</v>
      </c>
      <c r="O144" s="4" t="n">
        <v>84000</v>
      </c>
      <c r="P144" s="4" t="n">
        <f aca="false">H144+I144</f>
        <v>700000</v>
      </c>
      <c r="Q144" s="4" t="n">
        <f aca="false">N144+O144</f>
        <v>126000</v>
      </c>
      <c r="R144" s="4" t="n">
        <f aca="false">G144+P144-Q144</f>
        <v>4774000</v>
      </c>
      <c r="S144" s="2" t="n">
        <f aca="false">DATEDIF(E144,$Y$1,"y")</f>
        <v>5</v>
      </c>
      <c r="T144" s="2" t="str">
        <f aca="false">IF(S144&gt;=5,"Senior",IF(S144&gt;=1,"Menengah","Baru"))</f>
        <v>Senior</v>
      </c>
      <c r="U144" s="9" t="n">
        <f aca="false">J144/(J144+K144+L144+M144)*100</f>
        <v>79.1666666666667</v>
      </c>
      <c r="V144" s="2" t="str">
        <f aca="false">IF(U144&gt;=95,"Baik",IF(U144&gt;=85,"Cukup","Perlu Perhatian"))</f>
        <v>Perlu Perhatian</v>
      </c>
    </row>
    <row r="145" customFormat="false" ht="15" hidden="false" customHeight="false" outlineLevel="0" collapsed="false">
      <c r="A145" s="2" t="s">
        <v>462</v>
      </c>
      <c r="B145" s="2" t="s">
        <v>463</v>
      </c>
      <c r="C145" s="2" t="s">
        <v>68</v>
      </c>
      <c r="D145" s="2" t="s">
        <v>69</v>
      </c>
      <c r="E145" s="3" t="s">
        <v>464</v>
      </c>
      <c r="F145" s="2" t="s">
        <v>26</v>
      </c>
      <c r="G145" s="4" t="n">
        <v>9500000</v>
      </c>
      <c r="H145" s="4" t="n">
        <v>400000</v>
      </c>
      <c r="I145" s="4" t="n">
        <v>250000</v>
      </c>
      <c r="J145" s="2" t="n">
        <v>21</v>
      </c>
      <c r="K145" s="2" t="n">
        <v>3</v>
      </c>
      <c r="L145" s="2" t="n">
        <v>0</v>
      </c>
      <c r="M145" s="2" t="n">
        <v>0</v>
      </c>
      <c r="N145" s="4" t="n">
        <v>95000</v>
      </c>
      <c r="O145" s="4" t="n">
        <v>190000</v>
      </c>
      <c r="P145" s="4" t="n">
        <f aca="false">H145+I145</f>
        <v>650000</v>
      </c>
      <c r="Q145" s="4" t="n">
        <f aca="false">N145+O145</f>
        <v>285000</v>
      </c>
      <c r="R145" s="4" t="n">
        <f aca="false">G145+P145-Q145</f>
        <v>9865000</v>
      </c>
      <c r="S145" s="2" t="n">
        <f aca="false">DATEDIF(E145,$Y$1,"y")</f>
        <v>1</v>
      </c>
      <c r="T145" s="2" t="str">
        <f aca="false">IF(S145&gt;=5,"Senior",IF(S145&gt;=1,"Menengah","Baru"))</f>
        <v>Menengah</v>
      </c>
      <c r="U145" s="9" t="n">
        <f aca="false">J145/(J145+K145+L145+M145)*100</f>
        <v>87.5</v>
      </c>
      <c r="V145" s="2" t="str">
        <f aca="false">IF(U145&gt;=95,"Baik",IF(U145&gt;=85,"Cukup","Perlu Perhatian"))</f>
        <v>Cukup</v>
      </c>
    </row>
    <row r="146" customFormat="false" ht="15" hidden="false" customHeight="false" outlineLevel="0" collapsed="false">
      <c r="A146" s="2" t="s">
        <v>465</v>
      </c>
      <c r="B146" s="2" t="s">
        <v>466</v>
      </c>
      <c r="C146" s="2" t="s">
        <v>17</v>
      </c>
      <c r="D146" s="2" t="s">
        <v>36</v>
      </c>
      <c r="E146" s="3" t="s">
        <v>467</v>
      </c>
      <c r="F146" s="2" t="s">
        <v>26</v>
      </c>
      <c r="G146" s="4" t="n">
        <v>4500000</v>
      </c>
      <c r="H146" s="4" t="n">
        <v>350000</v>
      </c>
      <c r="I146" s="4" t="n">
        <v>250000</v>
      </c>
      <c r="J146" s="2" t="n">
        <v>23</v>
      </c>
      <c r="K146" s="2" t="n">
        <v>0</v>
      </c>
      <c r="L146" s="2" t="n">
        <v>2</v>
      </c>
      <c r="M146" s="2" t="n">
        <v>0</v>
      </c>
      <c r="N146" s="4" t="n">
        <v>45000</v>
      </c>
      <c r="O146" s="4" t="n">
        <v>90000</v>
      </c>
      <c r="P146" s="4" t="n">
        <f aca="false">H146+I146</f>
        <v>600000</v>
      </c>
      <c r="Q146" s="4" t="n">
        <f aca="false">N146+O146</f>
        <v>135000</v>
      </c>
      <c r="R146" s="4" t="n">
        <f aca="false">G146+P146-Q146</f>
        <v>4965000</v>
      </c>
      <c r="S146" s="2" t="n">
        <f aca="false">DATEDIF(E146,$Y$1,"y")</f>
        <v>7</v>
      </c>
      <c r="T146" s="2" t="str">
        <f aca="false">IF(S146&gt;=5,"Senior",IF(S146&gt;=1,"Menengah","Baru"))</f>
        <v>Senior</v>
      </c>
      <c r="U146" s="9" t="n">
        <f aca="false">J146/(J146+K146+L146+M146)*100</f>
        <v>92</v>
      </c>
      <c r="V146" s="2" t="str">
        <f aca="false">IF(U146&gt;=95,"Baik",IF(U146&gt;=85,"Cukup","Perlu Perhatian"))</f>
        <v>Cukup</v>
      </c>
    </row>
    <row r="147" customFormat="false" ht="15" hidden="false" customHeight="false" outlineLevel="0" collapsed="false">
      <c r="A147" s="2" t="s">
        <v>468</v>
      </c>
      <c r="B147" s="2" t="s">
        <v>469</v>
      </c>
      <c r="C147" s="2" t="s">
        <v>68</v>
      </c>
      <c r="D147" s="2" t="s">
        <v>217</v>
      </c>
      <c r="E147" s="3" t="s">
        <v>470</v>
      </c>
      <c r="F147" s="2" t="s">
        <v>26</v>
      </c>
      <c r="G147" s="4" t="n">
        <v>4800000</v>
      </c>
      <c r="H147" s="4" t="n">
        <v>400000</v>
      </c>
      <c r="I147" s="4" t="n">
        <v>300000</v>
      </c>
      <c r="J147" s="2" t="n">
        <v>23</v>
      </c>
      <c r="K147" s="2" t="n">
        <v>3</v>
      </c>
      <c r="L147" s="2" t="n">
        <v>1</v>
      </c>
      <c r="M147" s="2" t="n">
        <v>0</v>
      </c>
      <c r="N147" s="4" t="n">
        <v>48000</v>
      </c>
      <c r="O147" s="4" t="n">
        <v>96000</v>
      </c>
      <c r="P147" s="4" t="n">
        <f aca="false">H147+I147</f>
        <v>700000</v>
      </c>
      <c r="Q147" s="4" t="n">
        <f aca="false">N147+O147</f>
        <v>144000</v>
      </c>
      <c r="R147" s="4" t="n">
        <f aca="false">G147+P147-Q147</f>
        <v>5356000</v>
      </c>
      <c r="S147" s="2" t="n">
        <f aca="false">DATEDIF(E147,$Y$1,"y")</f>
        <v>3</v>
      </c>
      <c r="T147" s="2" t="str">
        <f aca="false">IF(S147&gt;=5,"Senior",IF(S147&gt;=1,"Menengah","Baru"))</f>
        <v>Menengah</v>
      </c>
      <c r="U147" s="9" t="n">
        <f aca="false">J147/(J147+K147+L147+M147)*100</f>
        <v>85.1851851851852</v>
      </c>
      <c r="V147" s="2" t="str">
        <f aca="false">IF(U147&gt;=95,"Baik",IF(U147&gt;=85,"Cukup","Perlu Perhatian"))</f>
        <v>Cukup</v>
      </c>
    </row>
    <row r="148" customFormat="false" ht="15" hidden="false" customHeight="false" outlineLevel="0" collapsed="false">
      <c r="A148" s="2" t="s">
        <v>471</v>
      </c>
      <c r="B148" s="2" t="s">
        <v>472</v>
      </c>
      <c r="C148" s="2" t="s">
        <v>52</v>
      </c>
      <c r="D148" s="2" t="s">
        <v>53</v>
      </c>
      <c r="E148" s="3" t="s">
        <v>473</v>
      </c>
      <c r="F148" s="2" t="s">
        <v>20</v>
      </c>
      <c r="G148" s="4" t="n">
        <v>5200000</v>
      </c>
      <c r="H148" s="4" t="n">
        <v>300000</v>
      </c>
      <c r="I148" s="4" t="n">
        <v>300000</v>
      </c>
      <c r="J148" s="2" t="n">
        <v>20</v>
      </c>
      <c r="K148" s="2" t="n">
        <v>3</v>
      </c>
      <c r="L148" s="2" t="n">
        <v>3</v>
      </c>
      <c r="M148" s="2" t="n">
        <v>0</v>
      </c>
      <c r="N148" s="4" t="n">
        <v>52000</v>
      </c>
      <c r="O148" s="4" t="n">
        <v>104000</v>
      </c>
      <c r="P148" s="4" t="n">
        <f aca="false">H148+I148</f>
        <v>600000</v>
      </c>
      <c r="Q148" s="4" t="n">
        <f aca="false">N148+O148</f>
        <v>156000</v>
      </c>
      <c r="R148" s="4" t="n">
        <f aca="false">G148+P148-Q148</f>
        <v>5644000</v>
      </c>
      <c r="S148" s="2" t="n">
        <f aca="false">DATEDIF(E148,$Y$1,"y")</f>
        <v>4</v>
      </c>
      <c r="T148" s="2" t="str">
        <f aca="false">IF(S148&gt;=5,"Senior",IF(S148&gt;=1,"Menengah","Baru"))</f>
        <v>Menengah</v>
      </c>
      <c r="U148" s="9" t="n">
        <f aca="false">J148/(J148+K148+L148+M148)*100</f>
        <v>76.9230769230769</v>
      </c>
      <c r="V148" s="2" t="str">
        <f aca="false">IF(U148&gt;=95,"Baik",IF(U148&gt;=85,"Cukup","Perlu Perhatian"))</f>
        <v>Perlu Perhatian</v>
      </c>
    </row>
    <row r="149" customFormat="false" ht="15" hidden="false" customHeight="false" outlineLevel="0" collapsed="false">
      <c r="A149" s="2" t="s">
        <v>474</v>
      </c>
      <c r="B149" s="2" t="s">
        <v>475</v>
      </c>
      <c r="C149" s="2" t="s">
        <v>47</v>
      </c>
      <c r="D149" s="2" t="s">
        <v>117</v>
      </c>
      <c r="E149" s="3" t="s">
        <v>476</v>
      </c>
      <c r="F149" s="2" t="s">
        <v>26</v>
      </c>
      <c r="G149" s="4" t="n">
        <v>4200000</v>
      </c>
      <c r="H149" s="4" t="n">
        <v>400000</v>
      </c>
      <c r="I149" s="4" t="n">
        <v>300000</v>
      </c>
      <c r="J149" s="2" t="n">
        <v>20</v>
      </c>
      <c r="K149" s="2" t="n">
        <v>0</v>
      </c>
      <c r="L149" s="2" t="n">
        <v>2</v>
      </c>
      <c r="M149" s="2" t="n">
        <v>2</v>
      </c>
      <c r="N149" s="4" t="n">
        <v>42000</v>
      </c>
      <c r="O149" s="4" t="n">
        <v>84000</v>
      </c>
      <c r="P149" s="4" t="n">
        <f aca="false">H149+I149</f>
        <v>700000</v>
      </c>
      <c r="Q149" s="4" t="n">
        <f aca="false">N149+O149</f>
        <v>126000</v>
      </c>
      <c r="R149" s="4" t="n">
        <f aca="false">G149+P149-Q149</f>
        <v>4774000</v>
      </c>
      <c r="S149" s="2" t="n">
        <f aca="false">DATEDIF(E149,$Y$1,"y")</f>
        <v>3</v>
      </c>
      <c r="T149" s="2" t="str">
        <f aca="false">IF(S149&gt;=5,"Senior",IF(S149&gt;=1,"Menengah","Baru"))</f>
        <v>Menengah</v>
      </c>
      <c r="U149" s="9" t="n">
        <f aca="false">J149/(J149+K149+L149+M149)*100</f>
        <v>83.3333333333333</v>
      </c>
      <c r="V149" s="2" t="str">
        <f aca="false">IF(U149&gt;=95,"Baik",IF(U149&gt;=85,"Cukup","Perlu Perhatian"))</f>
        <v>Perlu Perhatian</v>
      </c>
    </row>
    <row r="150" customFormat="false" ht="15" hidden="false" customHeight="false" outlineLevel="0" collapsed="false">
      <c r="A150" s="2" t="s">
        <v>477</v>
      </c>
      <c r="B150" s="2" t="s">
        <v>478</v>
      </c>
      <c r="C150" s="2" t="s">
        <v>52</v>
      </c>
      <c r="D150" s="2" t="s">
        <v>124</v>
      </c>
      <c r="E150" s="3" t="s">
        <v>479</v>
      </c>
      <c r="F150" s="2" t="s">
        <v>65</v>
      </c>
      <c r="G150" s="4" t="n">
        <v>8500000</v>
      </c>
      <c r="H150" s="4" t="n">
        <v>400000</v>
      </c>
      <c r="I150" s="4" t="n">
        <v>300000</v>
      </c>
      <c r="J150" s="2" t="n">
        <v>20</v>
      </c>
      <c r="K150" s="2" t="n">
        <v>2</v>
      </c>
      <c r="L150" s="2" t="n">
        <v>0</v>
      </c>
      <c r="M150" s="2" t="n">
        <v>2</v>
      </c>
      <c r="N150" s="4" t="n">
        <v>85000</v>
      </c>
      <c r="O150" s="4" t="n">
        <v>170000</v>
      </c>
      <c r="P150" s="4" t="n">
        <f aca="false">H150+I150</f>
        <v>700000</v>
      </c>
      <c r="Q150" s="4" t="n">
        <f aca="false">N150+O150</f>
        <v>255000</v>
      </c>
      <c r="R150" s="4" t="n">
        <f aca="false">G150+P150-Q150</f>
        <v>8945000</v>
      </c>
      <c r="S150" s="2" t="n">
        <f aca="false">DATEDIF(E150,$Y$1,"y")</f>
        <v>3</v>
      </c>
      <c r="T150" s="2" t="str">
        <f aca="false">IF(S150&gt;=5,"Senior",IF(S150&gt;=1,"Menengah","Baru"))</f>
        <v>Menengah</v>
      </c>
      <c r="U150" s="9" t="n">
        <f aca="false">J150/(J150+K150+L150+M150)*100</f>
        <v>83.3333333333333</v>
      </c>
      <c r="V150" s="2" t="str">
        <f aca="false">IF(U150&gt;=95,"Baik",IF(U150&gt;=85,"Cukup","Perlu Perhatian"))</f>
        <v>Perlu Perhatian</v>
      </c>
    </row>
    <row r="151" customFormat="false" ht="15" hidden="false" customHeight="false" outlineLevel="0" collapsed="false">
      <c r="A151" s="2" t="s">
        <v>480</v>
      </c>
      <c r="B151" s="2" t="s">
        <v>481</v>
      </c>
      <c r="C151" s="2" t="s">
        <v>62</v>
      </c>
      <c r="D151" s="2" t="s">
        <v>141</v>
      </c>
      <c r="E151" s="3" t="s">
        <v>482</v>
      </c>
      <c r="F151" s="2" t="s">
        <v>20</v>
      </c>
      <c r="G151" s="4" t="n">
        <v>4500000</v>
      </c>
      <c r="H151" s="4" t="n">
        <v>300000</v>
      </c>
      <c r="I151" s="4" t="n">
        <v>300000</v>
      </c>
      <c r="J151" s="2" t="n">
        <v>23</v>
      </c>
      <c r="K151" s="2" t="n">
        <v>2</v>
      </c>
      <c r="L151" s="2" t="n">
        <v>2</v>
      </c>
      <c r="M151" s="2" t="n">
        <v>0</v>
      </c>
      <c r="N151" s="4" t="n">
        <v>45000</v>
      </c>
      <c r="O151" s="4" t="n">
        <v>90000</v>
      </c>
      <c r="P151" s="4" t="n">
        <f aca="false">H151+I151</f>
        <v>600000</v>
      </c>
      <c r="Q151" s="4" t="n">
        <f aca="false">N151+O151</f>
        <v>135000</v>
      </c>
      <c r="R151" s="4" t="n">
        <f aca="false">G151+P151-Q151</f>
        <v>4965000</v>
      </c>
      <c r="S151" s="2" t="n">
        <f aca="false">DATEDIF(E151,$Y$1,"y")</f>
        <v>1</v>
      </c>
      <c r="T151" s="2" t="str">
        <f aca="false">IF(S151&gt;=5,"Senior",IF(S151&gt;=1,"Menengah","Baru"))</f>
        <v>Menengah</v>
      </c>
      <c r="U151" s="9" t="n">
        <f aca="false">J151/(J151+K151+L151+M151)*100</f>
        <v>85.1851851851852</v>
      </c>
      <c r="V151" s="2" t="str">
        <f aca="false">IF(U151&gt;=95,"Baik",IF(U151&gt;=85,"Cukup","Perlu Perhatian"))</f>
        <v>Cukup</v>
      </c>
    </row>
    <row r="152" customFormat="false" ht="15" hidden="false" customHeight="false" outlineLevel="0" collapsed="false">
      <c r="A152" s="2" t="s">
        <v>483</v>
      </c>
      <c r="B152" s="2" t="s">
        <v>484</v>
      </c>
      <c r="C152" s="2" t="s">
        <v>62</v>
      </c>
      <c r="D152" s="2" t="s">
        <v>141</v>
      </c>
      <c r="E152" s="3" t="s">
        <v>485</v>
      </c>
      <c r="F152" s="2" t="s">
        <v>26</v>
      </c>
      <c r="G152" s="4" t="n">
        <v>4200000</v>
      </c>
      <c r="H152" s="4" t="n">
        <v>400000</v>
      </c>
      <c r="I152" s="4" t="n">
        <v>300000</v>
      </c>
      <c r="J152" s="2" t="n">
        <v>22</v>
      </c>
      <c r="K152" s="2" t="n">
        <v>3</v>
      </c>
      <c r="L152" s="2" t="n">
        <v>2</v>
      </c>
      <c r="M152" s="2" t="n">
        <v>0</v>
      </c>
      <c r="N152" s="4" t="n">
        <v>42000</v>
      </c>
      <c r="O152" s="4" t="n">
        <v>84000</v>
      </c>
      <c r="P152" s="4" t="n">
        <f aca="false">H152+I152</f>
        <v>700000</v>
      </c>
      <c r="Q152" s="4" t="n">
        <f aca="false">N152+O152</f>
        <v>126000</v>
      </c>
      <c r="R152" s="4" t="n">
        <f aca="false">G152+P152-Q152</f>
        <v>4774000</v>
      </c>
      <c r="S152" s="2" t="n">
        <f aca="false">DATEDIF(E152,$Y$1,"y")</f>
        <v>2</v>
      </c>
      <c r="T152" s="2" t="str">
        <f aca="false">IF(S152&gt;=5,"Senior",IF(S152&gt;=1,"Menengah","Baru"))</f>
        <v>Menengah</v>
      </c>
      <c r="U152" s="9" t="n">
        <f aca="false">J152/(J152+K152+L152+M152)*100</f>
        <v>81.4814814814815</v>
      </c>
      <c r="V152" s="2" t="str">
        <f aca="false">IF(U152&gt;=95,"Baik",IF(U152&gt;=85,"Cukup","Perlu Perhatian"))</f>
        <v>Perlu Perhatian</v>
      </c>
    </row>
    <row r="153" customFormat="false" ht="15" hidden="false" customHeight="false" outlineLevel="0" collapsed="false">
      <c r="A153" s="2" t="s">
        <v>486</v>
      </c>
      <c r="B153" s="2" t="s">
        <v>487</v>
      </c>
      <c r="C153" s="2" t="s">
        <v>62</v>
      </c>
      <c r="D153" s="2" t="s">
        <v>63</v>
      </c>
      <c r="E153" s="3" t="s">
        <v>488</v>
      </c>
      <c r="F153" s="2" t="s">
        <v>26</v>
      </c>
      <c r="G153" s="4" t="n">
        <v>4800000</v>
      </c>
      <c r="H153" s="4" t="n">
        <v>300000</v>
      </c>
      <c r="I153" s="4" t="n">
        <v>250000</v>
      </c>
      <c r="J153" s="2" t="n">
        <v>24</v>
      </c>
      <c r="K153" s="2" t="n">
        <v>3</v>
      </c>
      <c r="L153" s="2" t="n">
        <v>0</v>
      </c>
      <c r="M153" s="2" t="n">
        <v>0</v>
      </c>
      <c r="N153" s="4" t="n">
        <v>48000</v>
      </c>
      <c r="O153" s="4" t="n">
        <v>96000</v>
      </c>
      <c r="P153" s="4" t="n">
        <f aca="false">H153+I153</f>
        <v>550000</v>
      </c>
      <c r="Q153" s="4" t="n">
        <f aca="false">N153+O153</f>
        <v>144000</v>
      </c>
      <c r="R153" s="4" t="n">
        <f aca="false">G153+P153-Q153</f>
        <v>5206000</v>
      </c>
      <c r="S153" s="2" t="n">
        <f aca="false">DATEDIF(E153,$Y$1,"y")</f>
        <v>1</v>
      </c>
      <c r="T153" s="2" t="str">
        <f aca="false">IF(S153&gt;=5,"Senior",IF(S153&gt;=1,"Menengah","Baru"))</f>
        <v>Menengah</v>
      </c>
      <c r="U153" s="9" t="n">
        <f aca="false">J153/(J153+K153+L153+M153)*100</f>
        <v>88.8888888888889</v>
      </c>
      <c r="V153" s="2" t="str">
        <f aca="false">IF(U153&gt;=95,"Baik",IF(U153&gt;=85,"Cukup","Perlu Perhatian"))</f>
        <v>Cukup</v>
      </c>
    </row>
    <row r="154" customFormat="false" ht="15" hidden="false" customHeight="false" outlineLevel="0" collapsed="false">
      <c r="A154" s="2" t="s">
        <v>489</v>
      </c>
      <c r="B154" s="2" t="s">
        <v>472</v>
      </c>
      <c r="C154" s="2" t="s">
        <v>47</v>
      </c>
      <c r="D154" s="2" t="s">
        <v>113</v>
      </c>
      <c r="E154" s="3" t="s">
        <v>490</v>
      </c>
      <c r="F154" s="2" t="s">
        <v>26</v>
      </c>
      <c r="G154" s="4" t="n">
        <v>4200000</v>
      </c>
      <c r="H154" s="4" t="n">
        <v>400000</v>
      </c>
      <c r="I154" s="4" t="n">
        <v>250000</v>
      </c>
      <c r="J154" s="2" t="n">
        <v>23</v>
      </c>
      <c r="K154" s="2" t="n">
        <v>3</v>
      </c>
      <c r="L154" s="2" t="n">
        <v>2</v>
      </c>
      <c r="M154" s="2" t="n">
        <v>0</v>
      </c>
      <c r="N154" s="4" t="n">
        <v>42000</v>
      </c>
      <c r="O154" s="4" t="n">
        <v>84000</v>
      </c>
      <c r="P154" s="4" t="n">
        <f aca="false">H154+I154</f>
        <v>650000</v>
      </c>
      <c r="Q154" s="4" t="n">
        <f aca="false">N154+O154</f>
        <v>126000</v>
      </c>
      <c r="R154" s="4" t="n">
        <f aca="false">G154+P154-Q154</f>
        <v>4724000</v>
      </c>
      <c r="S154" s="2" t="n">
        <f aca="false">DATEDIF(E154,$Y$1,"y")</f>
        <v>3</v>
      </c>
      <c r="T154" s="2" t="str">
        <f aca="false">IF(S154&gt;=5,"Senior",IF(S154&gt;=1,"Menengah","Baru"))</f>
        <v>Menengah</v>
      </c>
      <c r="U154" s="9" t="n">
        <f aca="false">J154/(J154+K154+L154+M154)*100</f>
        <v>82.1428571428571</v>
      </c>
      <c r="V154" s="2" t="str">
        <f aca="false">IF(U154&gt;=95,"Baik",IF(U154&gt;=85,"Cukup","Perlu Perhatian"))</f>
        <v>Perlu Perhatian</v>
      </c>
    </row>
    <row r="155" customFormat="false" ht="15" hidden="false" customHeight="false" outlineLevel="0" collapsed="false">
      <c r="A155" s="2" t="s">
        <v>491</v>
      </c>
      <c r="B155" s="2" t="s">
        <v>492</v>
      </c>
      <c r="C155" s="2" t="s">
        <v>23</v>
      </c>
      <c r="D155" s="2" t="s">
        <v>43</v>
      </c>
      <c r="E155" s="3" t="s">
        <v>493</v>
      </c>
      <c r="F155" s="2" t="s">
        <v>26</v>
      </c>
      <c r="G155" s="4" t="n">
        <v>7200000</v>
      </c>
      <c r="H155" s="4" t="n">
        <v>350000</v>
      </c>
      <c r="I155" s="4" t="n">
        <v>330000</v>
      </c>
      <c r="J155" s="2" t="n">
        <v>20</v>
      </c>
      <c r="K155" s="2" t="n">
        <v>1</v>
      </c>
      <c r="L155" s="2" t="n">
        <v>0</v>
      </c>
      <c r="M155" s="2" t="n">
        <v>3</v>
      </c>
      <c r="N155" s="4" t="n">
        <v>72000</v>
      </c>
      <c r="O155" s="4" t="n">
        <v>144000</v>
      </c>
      <c r="P155" s="4" t="n">
        <f aca="false">H155+I155</f>
        <v>680000</v>
      </c>
      <c r="Q155" s="4" t="n">
        <f aca="false">N155+O155</f>
        <v>216000</v>
      </c>
      <c r="R155" s="4" t="n">
        <f aca="false">G155+P155-Q155</f>
        <v>7664000</v>
      </c>
      <c r="S155" s="2" t="n">
        <f aca="false">DATEDIF(E155,$Y$1,"y")</f>
        <v>5</v>
      </c>
      <c r="T155" s="2" t="str">
        <f aca="false">IF(S155&gt;=5,"Senior",IF(S155&gt;=1,"Menengah","Baru"))</f>
        <v>Senior</v>
      </c>
      <c r="U155" s="9" t="n">
        <f aca="false">J155/(J155+K155+L155+M155)*100</f>
        <v>83.3333333333333</v>
      </c>
      <c r="V155" s="2" t="str">
        <f aca="false">IF(U155&gt;=95,"Baik",IF(U155&gt;=85,"Cukup","Perlu Perhatian"))</f>
        <v>Perlu Perhatian</v>
      </c>
    </row>
    <row r="156" customFormat="false" ht="15" hidden="false" customHeight="false" outlineLevel="0" collapsed="false">
      <c r="A156" s="2" t="s">
        <v>494</v>
      </c>
      <c r="B156" s="2" t="s">
        <v>495</v>
      </c>
      <c r="C156" s="2" t="s">
        <v>52</v>
      </c>
      <c r="D156" s="2" t="s">
        <v>124</v>
      </c>
      <c r="E156" s="3" t="s">
        <v>496</v>
      </c>
      <c r="F156" s="2" t="s">
        <v>20</v>
      </c>
      <c r="G156" s="4" t="n">
        <v>5800000</v>
      </c>
      <c r="H156" s="4" t="n">
        <v>400000</v>
      </c>
      <c r="I156" s="4" t="n">
        <v>300000</v>
      </c>
      <c r="J156" s="2" t="n">
        <v>19</v>
      </c>
      <c r="K156" s="2" t="n">
        <v>2</v>
      </c>
      <c r="L156" s="2" t="n">
        <v>3</v>
      </c>
      <c r="M156" s="2" t="n">
        <v>0</v>
      </c>
      <c r="N156" s="4" t="n">
        <v>58000</v>
      </c>
      <c r="O156" s="4" t="n">
        <v>116000</v>
      </c>
      <c r="P156" s="4" t="n">
        <f aca="false">H156+I156</f>
        <v>700000</v>
      </c>
      <c r="Q156" s="4" t="n">
        <f aca="false">N156+O156</f>
        <v>174000</v>
      </c>
      <c r="R156" s="4" t="n">
        <f aca="false">G156+P156-Q156</f>
        <v>6326000</v>
      </c>
      <c r="S156" s="2" t="n">
        <f aca="false">DATEDIF(E156,$Y$1,"y")</f>
        <v>1</v>
      </c>
      <c r="T156" s="2" t="str">
        <f aca="false">IF(S156&gt;=5,"Senior",IF(S156&gt;=1,"Menengah","Baru"))</f>
        <v>Menengah</v>
      </c>
      <c r="U156" s="9" t="n">
        <f aca="false">J156/(J156+K156+L156+M156)*100</f>
        <v>79.1666666666667</v>
      </c>
      <c r="V156" s="2" t="str">
        <f aca="false">IF(U156&gt;=95,"Baik",IF(U156&gt;=85,"Cukup","Perlu Perhatian"))</f>
        <v>Perlu Perhatian</v>
      </c>
    </row>
    <row r="157" customFormat="false" ht="15" hidden="false" customHeight="false" outlineLevel="0" collapsed="false">
      <c r="A157" s="2" t="s">
        <v>497</v>
      </c>
      <c r="B157" s="2" t="s">
        <v>498</v>
      </c>
      <c r="C157" s="2" t="s">
        <v>57</v>
      </c>
      <c r="D157" s="2" t="s">
        <v>238</v>
      </c>
      <c r="E157" s="3" t="s">
        <v>499</v>
      </c>
      <c r="F157" s="2" t="s">
        <v>20</v>
      </c>
      <c r="G157" s="4" t="n">
        <v>8500000</v>
      </c>
      <c r="H157" s="4" t="n">
        <v>300000</v>
      </c>
      <c r="I157" s="4" t="n">
        <v>330000</v>
      </c>
      <c r="J157" s="2" t="n">
        <v>24</v>
      </c>
      <c r="K157" s="2" t="n">
        <v>2</v>
      </c>
      <c r="L157" s="2" t="n">
        <v>2</v>
      </c>
      <c r="M157" s="2" t="n">
        <v>0</v>
      </c>
      <c r="N157" s="4" t="n">
        <v>85000</v>
      </c>
      <c r="O157" s="4" t="n">
        <v>170000</v>
      </c>
      <c r="P157" s="4" t="n">
        <f aca="false">H157+I157</f>
        <v>630000</v>
      </c>
      <c r="Q157" s="4" t="n">
        <f aca="false">N157+O157</f>
        <v>255000</v>
      </c>
      <c r="R157" s="4" t="n">
        <f aca="false">G157+P157-Q157</f>
        <v>8875000</v>
      </c>
      <c r="S157" s="2" t="n">
        <f aca="false">DATEDIF(E157,$Y$1,"y")</f>
        <v>2</v>
      </c>
      <c r="T157" s="2" t="str">
        <f aca="false">IF(S157&gt;=5,"Senior",IF(S157&gt;=1,"Menengah","Baru"))</f>
        <v>Menengah</v>
      </c>
      <c r="U157" s="9" t="n">
        <f aca="false">J157/(J157+K157+L157+M157)*100</f>
        <v>85.7142857142857</v>
      </c>
      <c r="V157" s="2" t="str">
        <f aca="false">IF(U157&gt;=95,"Baik",IF(U157&gt;=85,"Cukup","Perlu Perhatian"))</f>
        <v>Cukup</v>
      </c>
    </row>
    <row r="158" customFormat="false" ht="15" hidden="false" customHeight="false" outlineLevel="0" collapsed="false">
      <c r="A158" s="2" t="s">
        <v>500</v>
      </c>
      <c r="B158" s="2" t="s">
        <v>501</v>
      </c>
      <c r="C158" s="2" t="s">
        <v>86</v>
      </c>
      <c r="D158" s="2" t="s">
        <v>106</v>
      </c>
      <c r="E158" s="3" t="s">
        <v>502</v>
      </c>
      <c r="F158" s="2" t="s">
        <v>26</v>
      </c>
      <c r="G158" s="4" t="n">
        <v>4800000</v>
      </c>
      <c r="H158" s="4" t="n">
        <v>350000</v>
      </c>
      <c r="I158" s="4" t="n">
        <v>330000</v>
      </c>
      <c r="J158" s="2" t="n">
        <v>19</v>
      </c>
      <c r="K158" s="2" t="n">
        <v>0</v>
      </c>
      <c r="L158" s="2" t="n">
        <v>1</v>
      </c>
      <c r="M158" s="2" t="n">
        <v>4</v>
      </c>
      <c r="N158" s="4" t="n">
        <v>48000</v>
      </c>
      <c r="O158" s="4" t="n">
        <v>96000</v>
      </c>
      <c r="P158" s="4" t="n">
        <f aca="false">H158+I158</f>
        <v>680000</v>
      </c>
      <c r="Q158" s="4" t="n">
        <f aca="false">N158+O158</f>
        <v>144000</v>
      </c>
      <c r="R158" s="4" t="n">
        <f aca="false">G158+P158-Q158</f>
        <v>5336000</v>
      </c>
      <c r="S158" s="2" t="n">
        <f aca="false">DATEDIF(E158,$Y$1,"y")</f>
        <v>4</v>
      </c>
      <c r="T158" s="2" t="str">
        <f aca="false">IF(S158&gt;=5,"Senior",IF(S158&gt;=1,"Menengah","Baru"))</f>
        <v>Menengah</v>
      </c>
      <c r="U158" s="9" t="n">
        <f aca="false">J158/(J158+K158+L158+M158)*100</f>
        <v>79.1666666666667</v>
      </c>
      <c r="V158" s="2" t="str">
        <f aca="false">IF(U158&gt;=95,"Baik",IF(U158&gt;=85,"Cukup","Perlu Perhatian"))</f>
        <v>Perlu Perhatian</v>
      </c>
    </row>
    <row r="159" customFormat="false" ht="15" hidden="false" customHeight="false" outlineLevel="0" collapsed="false">
      <c r="A159" s="2" t="s">
        <v>503</v>
      </c>
      <c r="B159" s="2" t="s">
        <v>504</v>
      </c>
      <c r="C159" s="2" t="s">
        <v>52</v>
      </c>
      <c r="D159" s="2" t="s">
        <v>53</v>
      </c>
      <c r="E159" s="3" t="s">
        <v>505</v>
      </c>
      <c r="F159" s="2" t="s">
        <v>26</v>
      </c>
      <c r="G159" s="4" t="n">
        <v>6500000</v>
      </c>
      <c r="H159" s="4" t="n">
        <v>350000</v>
      </c>
      <c r="I159" s="4" t="n">
        <v>330000</v>
      </c>
      <c r="J159" s="2" t="n">
        <v>19</v>
      </c>
      <c r="K159" s="2" t="n">
        <v>0</v>
      </c>
      <c r="L159" s="2" t="n">
        <v>0</v>
      </c>
      <c r="M159" s="2" t="n">
        <v>5</v>
      </c>
      <c r="N159" s="4" t="n">
        <v>65000</v>
      </c>
      <c r="O159" s="4" t="n">
        <v>130000</v>
      </c>
      <c r="P159" s="4" t="n">
        <f aca="false">H159+I159</f>
        <v>680000</v>
      </c>
      <c r="Q159" s="4" t="n">
        <f aca="false">N159+O159</f>
        <v>195000</v>
      </c>
      <c r="R159" s="4" t="n">
        <f aca="false">G159+P159-Q159</f>
        <v>6985000</v>
      </c>
      <c r="S159" s="2" t="n">
        <f aca="false">DATEDIF(E159,$Y$1,"y")</f>
        <v>3</v>
      </c>
      <c r="T159" s="2" t="str">
        <f aca="false">IF(S159&gt;=5,"Senior",IF(S159&gt;=1,"Menengah","Baru"))</f>
        <v>Menengah</v>
      </c>
      <c r="U159" s="9" t="n">
        <f aca="false">J159/(J159+K159+L159+M159)*100</f>
        <v>79.1666666666667</v>
      </c>
      <c r="V159" s="2" t="str">
        <f aca="false">IF(U159&gt;=95,"Baik",IF(U159&gt;=85,"Cukup","Perlu Perhatian"))</f>
        <v>Perlu Perhatian</v>
      </c>
    </row>
    <row r="160" customFormat="false" ht="15" hidden="false" customHeight="false" outlineLevel="0" collapsed="false">
      <c r="A160" s="2" t="s">
        <v>506</v>
      </c>
      <c r="B160" s="2" t="s">
        <v>430</v>
      </c>
      <c r="C160" s="2" t="s">
        <v>52</v>
      </c>
      <c r="D160" s="2" t="s">
        <v>124</v>
      </c>
      <c r="E160" s="3" t="s">
        <v>507</v>
      </c>
      <c r="F160" s="2" t="s">
        <v>26</v>
      </c>
      <c r="G160" s="4" t="n">
        <v>4500000</v>
      </c>
      <c r="H160" s="4" t="n">
        <v>300000</v>
      </c>
      <c r="I160" s="4" t="n">
        <v>300000</v>
      </c>
      <c r="J160" s="2" t="n">
        <v>23</v>
      </c>
      <c r="K160" s="2" t="n">
        <v>0</v>
      </c>
      <c r="L160" s="2" t="n">
        <v>3</v>
      </c>
      <c r="M160" s="2" t="n">
        <v>0</v>
      </c>
      <c r="N160" s="4" t="n">
        <v>45000</v>
      </c>
      <c r="O160" s="4" t="n">
        <v>90000</v>
      </c>
      <c r="P160" s="4" t="n">
        <f aca="false">H160+I160</f>
        <v>600000</v>
      </c>
      <c r="Q160" s="4" t="n">
        <f aca="false">N160+O160</f>
        <v>135000</v>
      </c>
      <c r="R160" s="4" t="n">
        <f aca="false">G160+P160-Q160</f>
        <v>4965000</v>
      </c>
      <c r="S160" s="2" t="n">
        <f aca="false">DATEDIF(E160,$Y$1,"y")</f>
        <v>2</v>
      </c>
      <c r="T160" s="2" t="str">
        <f aca="false">IF(S160&gt;=5,"Senior",IF(S160&gt;=1,"Menengah","Baru"))</f>
        <v>Menengah</v>
      </c>
      <c r="U160" s="9" t="n">
        <f aca="false">J160/(J160+K160+L160+M160)*100</f>
        <v>88.4615384615385</v>
      </c>
      <c r="V160" s="2" t="str">
        <f aca="false">IF(U160&gt;=95,"Baik",IF(U160&gt;=85,"Cukup","Perlu Perhatian"))</f>
        <v>Cukup</v>
      </c>
    </row>
    <row r="161" customFormat="false" ht="15" hidden="false" customHeight="false" outlineLevel="0" collapsed="false">
      <c r="A161" s="2" t="s">
        <v>508</v>
      </c>
      <c r="B161" s="2" t="s">
        <v>509</v>
      </c>
      <c r="C161" s="2" t="s">
        <v>68</v>
      </c>
      <c r="D161" s="2" t="s">
        <v>69</v>
      </c>
      <c r="E161" s="3" t="s">
        <v>510</v>
      </c>
      <c r="F161" s="2" t="s">
        <v>26</v>
      </c>
      <c r="G161" s="4" t="n">
        <v>4800000</v>
      </c>
      <c r="H161" s="4" t="n">
        <v>300000</v>
      </c>
      <c r="I161" s="4" t="n">
        <v>300000</v>
      </c>
      <c r="J161" s="2" t="n">
        <v>22</v>
      </c>
      <c r="K161" s="2" t="n">
        <v>0</v>
      </c>
      <c r="L161" s="2" t="n">
        <v>0</v>
      </c>
      <c r="M161" s="2" t="n">
        <v>2</v>
      </c>
      <c r="N161" s="4" t="n">
        <v>48000</v>
      </c>
      <c r="O161" s="4" t="n">
        <v>96000</v>
      </c>
      <c r="P161" s="4" t="n">
        <f aca="false">H161+I161</f>
        <v>600000</v>
      </c>
      <c r="Q161" s="4" t="n">
        <f aca="false">N161+O161</f>
        <v>144000</v>
      </c>
      <c r="R161" s="4" t="n">
        <f aca="false">G161+P161-Q161</f>
        <v>5256000</v>
      </c>
      <c r="S161" s="2" t="n">
        <f aca="false">DATEDIF(E161,$Y$1,"y")</f>
        <v>1</v>
      </c>
      <c r="T161" s="2" t="str">
        <f aca="false">IF(S161&gt;=5,"Senior",IF(S161&gt;=1,"Menengah","Baru"))</f>
        <v>Menengah</v>
      </c>
      <c r="U161" s="9" t="n">
        <f aca="false">J161/(J161+K161+L161+M161)*100</f>
        <v>91.6666666666667</v>
      </c>
      <c r="V161" s="2" t="str">
        <f aca="false">IF(U161&gt;=95,"Baik",IF(U161&gt;=85,"Cukup","Perlu Perhatian"))</f>
        <v>Cukup</v>
      </c>
    </row>
    <row r="162" customFormat="false" ht="15" hidden="false" customHeight="false" outlineLevel="0" collapsed="false">
      <c r="A162" s="2" t="s">
        <v>511</v>
      </c>
      <c r="B162" s="2" t="s">
        <v>512</v>
      </c>
      <c r="C162" s="2" t="s">
        <v>17</v>
      </c>
      <c r="D162" s="2" t="s">
        <v>18</v>
      </c>
      <c r="E162" s="3" t="s">
        <v>445</v>
      </c>
      <c r="F162" s="2" t="s">
        <v>20</v>
      </c>
      <c r="G162" s="4" t="n">
        <v>5200000</v>
      </c>
      <c r="H162" s="4" t="n">
        <v>350000</v>
      </c>
      <c r="I162" s="4" t="n">
        <v>330000</v>
      </c>
      <c r="J162" s="2" t="n">
        <v>20</v>
      </c>
      <c r="K162" s="2" t="n">
        <v>0</v>
      </c>
      <c r="L162" s="2" t="n">
        <v>2</v>
      </c>
      <c r="M162" s="2" t="n">
        <v>2</v>
      </c>
      <c r="N162" s="4" t="n">
        <v>52000</v>
      </c>
      <c r="O162" s="4" t="n">
        <v>104000</v>
      </c>
      <c r="P162" s="4" t="n">
        <f aca="false">H162+I162</f>
        <v>680000</v>
      </c>
      <c r="Q162" s="4" t="n">
        <f aca="false">N162+O162</f>
        <v>156000</v>
      </c>
      <c r="R162" s="4" t="n">
        <f aca="false">G162+P162-Q162</f>
        <v>5724000</v>
      </c>
      <c r="S162" s="2" t="n">
        <f aca="false">DATEDIF(E162,$Y$1,"y")</f>
        <v>5</v>
      </c>
      <c r="T162" s="2" t="str">
        <f aca="false">IF(S162&gt;=5,"Senior",IF(S162&gt;=1,"Menengah","Baru"))</f>
        <v>Senior</v>
      </c>
      <c r="U162" s="9" t="n">
        <f aca="false">J162/(J162+K162+L162+M162)*100</f>
        <v>83.3333333333333</v>
      </c>
      <c r="V162" s="2" t="str">
        <f aca="false">IF(U162&gt;=95,"Baik",IF(U162&gt;=85,"Cukup","Perlu Perhatian"))</f>
        <v>Perlu Perhatian</v>
      </c>
    </row>
    <row r="163" customFormat="false" ht="15" hidden="false" customHeight="false" outlineLevel="0" collapsed="false">
      <c r="A163" s="2" t="s">
        <v>513</v>
      </c>
      <c r="B163" s="2" t="s">
        <v>514</v>
      </c>
      <c r="C163" s="2" t="s">
        <v>17</v>
      </c>
      <c r="D163" s="2" t="s">
        <v>18</v>
      </c>
      <c r="E163" s="3" t="s">
        <v>515</v>
      </c>
      <c r="F163" s="2" t="s">
        <v>26</v>
      </c>
      <c r="G163" s="4" t="n">
        <v>4500000</v>
      </c>
      <c r="H163" s="4" t="n">
        <v>400000</v>
      </c>
      <c r="I163" s="4" t="n">
        <v>330000</v>
      </c>
      <c r="J163" s="2" t="n">
        <v>19</v>
      </c>
      <c r="K163" s="2" t="n">
        <v>1</v>
      </c>
      <c r="L163" s="2" t="n">
        <v>1</v>
      </c>
      <c r="M163" s="2" t="n">
        <v>3</v>
      </c>
      <c r="N163" s="4" t="n">
        <v>45000</v>
      </c>
      <c r="O163" s="4" t="n">
        <v>90000</v>
      </c>
      <c r="P163" s="4" t="n">
        <f aca="false">H163+I163</f>
        <v>730000</v>
      </c>
      <c r="Q163" s="4" t="n">
        <f aca="false">N163+O163</f>
        <v>135000</v>
      </c>
      <c r="R163" s="4" t="n">
        <f aca="false">G163+P163-Q163</f>
        <v>5095000</v>
      </c>
      <c r="S163" s="2" t="n">
        <f aca="false">DATEDIF(E163,$Y$1,"y")</f>
        <v>4</v>
      </c>
      <c r="T163" s="2" t="str">
        <f aca="false">IF(S163&gt;=5,"Senior",IF(S163&gt;=1,"Menengah","Baru"))</f>
        <v>Menengah</v>
      </c>
      <c r="U163" s="9" t="n">
        <f aca="false">J163/(J163+K163+L163+M163)*100</f>
        <v>79.1666666666667</v>
      </c>
      <c r="V163" s="2" t="str">
        <f aca="false">IF(U163&gt;=95,"Baik",IF(U163&gt;=85,"Cukup","Perlu Perhatian"))</f>
        <v>Perlu Perhatian</v>
      </c>
    </row>
    <row r="164" customFormat="false" ht="15" hidden="false" customHeight="false" outlineLevel="0" collapsed="false">
      <c r="A164" s="2" t="s">
        <v>516</v>
      </c>
      <c r="B164" s="2" t="s">
        <v>517</v>
      </c>
      <c r="C164" s="2" t="s">
        <v>68</v>
      </c>
      <c r="D164" s="2" t="s">
        <v>217</v>
      </c>
      <c r="E164" s="3" t="s">
        <v>518</v>
      </c>
      <c r="F164" s="2" t="s">
        <v>26</v>
      </c>
      <c r="G164" s="4" t="n">
        <v>4200000</v>
      </c>
      <c r="H164" s="4" t="n">
        <v>300000</v>
      </c>
      <c r="I164" s="4" t="n">
        <v>250000</v>
      </c>
      <c r="J164" s="2" t="n">
        <v>23</v>
      </c>
      <c r="K164" s="2" t="n">
        <v>2</v>
      </c>
      <c r="L164" s="2" t="n">
        <v>1</v>
      </c>
      <c r="M164" s="2" t="n">
        <v>0</v>
      </c>
      <c r="N164" s="4" t="n">
        <v>42000</v>
      </c>
      <c r="O164" s="4" t="n">
        <v>84000</v>
      </c>
      <c r="P164" s="4" t="n">
        <f aca="false">H164+I164</f>
        <v>550000</v>
      </c>
      <c r="Q164" s="4" t="n">
        <f aca="false">N164+O164</f>
        <v>126000</v>
      </c>
      <c r="R164" s="4" t="n">
        <f aca="false">G164+P164-Q164</f>
        <v>4624000</v>
      </c>
      <c r="S164" s="2" t="n">
        <f aca="false">DATEDIF(E164,$Y$1,"y")</f>
        <v>7</v>
      </c>
      <c r="T164" s="2" t="str">
        <f aca="false">IF(S164&gt;=5,"Senior",IF(S164&gt;=1,"Menengah","Baru"))</f>
        <v>Senior</v>
      </c>
      <c r="U164" s="9" t="n">
        <f aca="false">J164/(J164+K164+L164+M164)*100</f>
        <v>88.4615384615385</v>
      </c>
      <c r="V164" s="2" t="str">
        <f aca="false">IF(U164&gt;=95,"Baik",IF(U164&gt;=85,"Cukup","Perlu Perhatian"))</f>
        <v>Cukup</v>
      </c>
    </row>
    <row r="165" customFormat="false" ht="15" hidden="false" customHeight="false" outlineLevel="0" collapsed="false">
      <c r="A165" s="2" t="s">
        <v>519</v>
      </c>
      <c r="B165" s="2" t="s">
        <v>520</v>
      </c>
      <c r="C165" s="2" t="s">
        <v>196</v>
      </c>
      <c r="D165" s="2" t="s">
        <v>197</v>
      </c>
      <c r="E165" s="3" t="s">
        <v>482</v>
      </c>
      <c r="F165" s="2" t="s">
        <v>20</v>
      </c>
      <c r="G165" s="4" t="n">
        <v>5800000</v>
      </c>
      <c r="H165" s="4" t="n">
        <v>350000</v>
      </c>
      <c r="I165" s="4" t="n">
        <v>250000</v>
      </c>
      <c r="J165" s="2" t="n">
        <v>24</v>
      </c>
      <c r="K165" s="2" t="n">
        <v>3</v>
      </c>
      <c r="L165" s="2" t="n">
        <v>2</v>
      </c>
      <c r="M165" s="2" t="n">
        <v>0</v>
      </c>
      <c r="N165" s="4" t="n">
        <v>58000</v>
      </c>
      <c r="O165" s="4" t="n">
        <v>116000</v>
      </c>
      <c r="P165" s="4" t="n">
        <f aca="false">H165+I165</f>
        <v>600000</v>
      </c>
      <c r="Q165" s="4" t="n">
        <f aca="false">N165+O165</f>
        <v>174000</v>
      </c>
      <c r="R165" s="4" t="n">
        <f aca="false">G165+P165-Q165</f>
        <v>6226000</v>
      </c>
      <c r="S165" s="2" t="n">
        <f aca="false">DATEDIF(E165,$Y$1,"y")</f>
        <v>1</v>
      </c>
      <c r="T165" s="2" t="str">
        <f aca="false">IF(S165&gt;=5,"Senior",IF(S165&gt;=1,"Menengah","Baru"))</f>
        <v>Menengah</v>
      </c>
      <c r="U165" s="9" t="n">
        <f aca="false">J165/(J165+K165+L165+M165)*100</f>
        <v>82.7586206896552</v>
      </c>
      <c r="V165" s="2" t="str">
        <f aca="false">IF(U165&gt;=95,"Baik",IF(U165&gt;=85,"Cukup","Perlu Perhatian"))</f>
        <v>Perlu Perhatian</v>
      </c>
    </row>
    <row r="166" customFormat="false" ht="15" hidden="false" customHeight="false" outlineLevel="0" collapsed="false">
      <c r="A166" s="2" t="s">
        <v>521</v>
      </c>
      <c r="B166" s="2" t="s">
        <v>522</v>
      </c>
      <c r="C166" s="2" t="s">
        <v>196</v>
      </c>
      <c r="D166" s="2" t="s">
        <v>523</v>
      </c>
      <c r="E166" s="3" t="s">
        <v>524</v>
      </c>
      <c r="F166" s="2" t="s">
        <v>26</v>
      </c>
      <c r="G166" s="4" t="n">
        <v>8500000</v>
      </c>
      <c r="H166" s="4" t="n">
        <v>300000</v>
      </c>
      <c r="I166" s="4" t="n">
        <v>300000</v>
      </c>
      <c r="J166" s="2" t="n">
        <v>22</v>
      </c>
      <c r="K166" s="2" t="n">
        <v>1</v>
      </c>
      <c r="L166" s="2" t="n">
        <v>2</v>
      </c>
      <c r="M166" s="2" t="n">
        <v>0</v>
      </c>
      <c r="N166" s="4" t="n">
        <v>85000</v>
      </c>
      <c r="O166" s="4" t="n">
        <v>170000</v>
      </c>
      <c r="P166" s="4" t="n">
        <f aca="false">H166+I166</f>
        <v>600000</v>
      </c>
      <c r="Q166" s="4" t="n">
        <f aca="false">N166+O166</f>
        <v>255000</v>
      </c>
      <c r="R166" s="4" t="n">
        <f aca="false">G166+P166-Q166</f>
        <v>8845000</v>
      </c>
      <c r="S166" s="2" t="n">
        <f aca="false">DATEDIF(E166,$Y$1,"y")</f>
        <v>2</v>
      </c>
      <c r="T166" s="2" t="str">
        <f aca="false">IF(S166&gt;=5,"Senior",IF(S166&gt;=1,"Menengah","Baru"))</f>
        <v>Menengah</v>
      </c>
      <c r="U166" s="9" t="n">
        <f aca="false">J166/(J166+K166+L166+M166)*100</f>
        <v>88</v>
      </c>
      <c r="V166" s="2" t="str">
        <f aca="false">IF(U166&gt;=95,"Baik",IF(U166&gt;=85,"Cukup","Perlu Perhatian"))</f>
        <v>Cukup</v>
      </c>
    </row>
    <row r="167" customFormat="false" ht="15" hidden="false" customHeight="false" outlineLevel="0" collapsed="false">
      <c r="A167" s="2" t="s">
        <v>525</v>
      </c>
      <c r="B167" s="2" t="s">
        <v>526</v>
      </c>
      <c r="C167" s="2" t="s">
        <v>62</v>
      </c>
      <c r="D167" s="2" t="s">
        <v>141</v>
      </c>
      <c r="E167" s="3" t="s">
        <v>527</v>
      </c>
      <c r="F167" s="2" t="s">
        <v>26</v>
      </c>
      <c r="G167" s="4" t="n">
        <v>4500000</v>
      </c>
      <c r="H167" s="4" t="n">
        <v>350000</v>
      </c>
      <c r="I167" s="4" t="n">
        <v>250000</v>
      </c>
      <c r="J167" s="2" t="n">
        <v>21</v>
      </c>
      <c r="K167" s="2" t="n">
        <v>0</v>
      </c>
      <c r="L167" s="2" t="n">
        <v>2</v>
      </c>
      <c r="M167" s="2" t="n">
        <v>1</v>
      </c>
      <c r="N167" s="4" t="n">
        <v>45000</v>
      </c>
      <c r="O167" s="4" t="n">
        <v>90000</v>
      </c>
      <c r="P167" s="4" t="n">
        <f aca="false">H167+I167</f>
        <v>600000</v>
      </c>
      <c r="Q167" s="4" t="n">
        <f aca="false">N167+O167</f>
        <v>135000</v>
      </c>
      <c r="R167" s="4" t="n">
        <f aca="false">G167+P167-Q167</f>
        <v>4965000</v>
      </c>
      <c r="S167" s="2" t="n">
        <f aca="false">DATEDIF(E167,$Y$1,"y")</f>
        <v>3</v>
      </c>
      <c r="T167" s="2" t="str">
        <f aca="false">IF(S167&gt;=5,"Senior",IF(S167&gt;=1,"Menengah","Baru"))</f>
        <v>Menengah</v>
      </c>
      <c r="U167" s="9" t="n">
        <f aca="false">J167/(J167+K167+L167+M167)*100</f>
        <v>87.5</v>
      </c>
      <c r="V167" s="2" t="str">
        <f aca="false">IF(U167&gt;=95,"Baik",IF(U167&gt;=85,"Cukup","Perlu Perhatian"))</f>
        <v>Cukup</v>
      </c>
    </row>
    <row r="168" customFormat="false" ht="15" hidden="false" customHeight="false" outlineLevel="0" collapsed="false">
      <c r="A168" s="2" t="s">
        <v>528</v>
      </c>
      <c r="B168" s="2" t="s">
        <v>529</v>
      </c>
      <c r="C168" s="2" t="s">
        <v>57</v>
      </c>
      <c r="D168" s="2" t="s">
        <v>238</v>
      </c>
      <c r="E168" s="3" t="s">
        <v>530</v>
      </c>
      <c r="F168" s="2" t="s">
        <v>20</v>
      </c>
      <c r="G168" s="4" t="n">
        <v>7200000</v>
      </c>
      <c r="H168" s="4" t="n">
        <v>400000</v>
      </c>
      <c r="I168" s="4" t="n">
        <v>300000</v>
      </c>
      <c r="J168" s="2" t="n">
        <v>19</v>
      </c>
      <c r="K168" s="2" t="n">
        <v>1</v>
      </c>
      <c r="L168" s="2" t="n">
        <v>2</v>
      </c>
      <c r="M168" s="2" t="n">
        <v>2</v>
      </c>
      <c r="N168" s="4" t="n">
        <v>72000</v>
      </c>
      <c r="O168" s="4" t="n">
        <v>144000</v>
      </c>
      <c r="P168" s="4" t="n">
        <f aca="false">H168+I168</f>
        <v>700000</v>
      </c>
      <c r="Q168" s="4" t="n">
        <f aca="false">N168+O168</f>
        <v>216000</v>
      </c>
      <c r="R168" s="4" t="n">
        <f aca="false">G168+P168-Q168</f>
        <v>7684000</v>
      </c>
      <c r="S168" s="2" t="n">
        <f aca="false">DATEDIF(E168,$Y$1,"y")</f>
        <v>6</v>
      </c>
      <c r="T168" s="2" t="str">
        <f aca="false">IF(S168&gt;=5,"Senior",IF(S168&gt;=1,"Menengah","Baru"))</f>
        <v>Senior</v>
      </c>
      <c r="U168" s="9" t="n">
        <f aca="false">J168/(J168+K168+L168+M168)*100</f>
        <v>79.1666666666667</v>
      </c>
      <c r="V168" s="2" t="str">
        <f aca="false">IF(U168&gt;=95,"Baik",IF(U168&gt;=85,"Cukup","Perlu Perhatian"))</f>
        <v>Perlu Perhatian</v>
      </c>
    </row>
    <row r="169" customFormat="false" ht="15" hidden="false" customHeight="false" outlineLevel="0" collapsed="false">
      <c r="A169" s="2" t="s">
        <v>531</v>
      </c>
      <c r="B169" s="2" t="s">
        <v>532</v>
      </c>
      <c r="C169" s="2" t="s">
        <v>47</v>
      </c>
      <c r="D169" s="2" t="s">
        <v>48</v>
      </c>
      <c r="E169" s="3" t="s">
        <v>533</v>
      </c>
      <c r="F169" s="2" t="s">
        <v>65</v>
      </c>
      <c r="G169" s="4" t="n">
        <v>8500000</v>
      </c>
      <c r="H169" s="4" t="n">
        <v>350000</v>
      </c>
      <c r="I169" s="4" t="n">
        <v>300000</v>
      </c>
      <c r="J169" s="2" t="n">
        <v>21</v>
      </c>
      <c r="K169" s="2" t="n">
        <v>0</v>
      </c>
      <c r="L169" s="2" t="n">
        <v>0</v>
      </c>
      <c r="M169" s="2" t="n">
        <v>3</v>
      </c>
      <c r="N169" s="4" t="n">
        <v>85000</v>
      </c>
      <c r="O169" s="4" t="n">
        <v>170000</v>
      </c>
      <c r="P169" s="4" t="n">
        <f aca="false">H169+I169</f>
        <v>650000</v>
      </c>
      <c r="Q169" s="4" t="n">
        <f aca="false">N169+O169</f>
        <v>255000</v>
      </c>
      <c r="R169" s="4" t="n">
        <f aca="false">G169+P169-Q169</f>
        <v>8895000</v>
      </c>
      <c r="S169" s="2" t="n">
        <f aca="false">DATEDIF(E169,$Y$1,"y")</f>
        <v>1</v>
      </c>
      <c r="T169" s="2" t="str">
        <f aca="false">IF(S169&gt;=5,"Senior",IF(S169&gt;=1,"Menengah","Baru"))</f>
        <v>Menengah</v>
      </c>
      <c r="U169" s="9" t="n">
        <f aca="false">J169/(J169+K169+L169+M169)*100</f>
        <v>87.5</v>
      </c>
      <c r="V169" s="2" t="str">
        <f aca="false">IF(U169&gt;=95,"Baik",IF(U169&gt;=85,"Cukup","Perlu Perhatian"))</f>
        <v>Cukup</v>
      </c>
    </row>
    <row r="170" customFormat="false" ht="15" hidden="false" customHeight="false" outlineLevel="0" collapsed="false">
      <c r="A170" s="2" t="s">
        <v>534</v>
      </c>
      <c r="B170" s="2" t="s">
        <v>535</v>
      </c>
      <c r="C170" s="2" t="s">
        <v>52</v>
      </c>
      <c r="D170" s="2" t="s">
        <v>53</v>
      </c>
      <c r="E170" s="3" t="s">
        <v>536</v>
      </c>
      <c r="F170" s="2" t="s">
        <v>26</v>
      </c>
      <c r="G170" s="4" t="n">
        <v>4200000</v>
      </c>
      <c r="H170" s="4" t="n">
        <v>300000</v>
      </c>
      <c r="I170" s="4" t="n">
        <v>300000</v>
      </c>
      <c r="J170" s="2" t="n">
        <v>21</v>
      </c>
      <c r="K170" s="2" t="n">
        <v>3</v>
      </c>
      <c r="L170" s="2" t="n">
        <v>2</v>
      </c>
      <c r="M170" s="2" t="n">
        <v>0</v>
      </c>
      <c r="N170" s="4" t="n">
        <v>42000</v>
      </c>
      <c r="O170" s="4" t="n">
        <v>84000</v>
      </c>
      <c r="P170" s="4" t="n">
        <f aca="false">H170+I170</f>
        <v>600000</v>
      </c>
      <c r="Q170" s="4" t="n">
        <f aca="false">N170+O170</f>
        <v>126000</v>
      </c>
      <c r="R170" s="4" t="n">
        <f aca="false">G170+P170-Q170</f>
        <v>4674000</v>
      </c>
      <c r="S170" s="2" t="n">
        <f aca="false">DATEDIF(E170,$Y$1,"y")</f>
        <v>5</v>
      </c>
      <c r="T170" s="2" t="str">
        <f aca="false">IF(S170&gt;=5,"Senior",IF(S170&gt;=1,"Menengah","Baru"))</f>
        <v>Senior</v>
      </c>
      <c r="U170" s="9" t="n">
        <f aca="false">J170/(J170+K170+L170+M170)*100</f>
        <v>80.7692307692308</v>
      </c>
      <c r="V170" s="2" t="str">
        <f aca="false">IF(U170&gt;=95,"Baik",IF(U170&gt;=85,"Cukup","Perlu Perhatian"))</f>
        <v>Perlu Perhatian</v>
      </c>
    </row>
    <row r="171" customFormat="false" ht="15" hidden="false" customHeight="false" outlineLevel="0" collapsed="false">
      <c r="A171" s="2" t="s">
        <v>537</v>
      </c>
      <c r="B171" s="2" t="s">
        <v>538</v>
      </c>
      <c r="C171" s="2" t="s">
        <v>23</v>
      </c>
      <c r="D171" s="2" t="s">
        <v>32</v>
      </c>
      <c r="E171" s="3" t="s">
        <v>539</v>
      </c>
      <c r="F171" s="2" t="s">
        <v>26</v>
      </c>
      <c r="G171" s="4" t="n">
        <v>6500000</v>
      </c>
      <c r="H171" s="4" t="n">
        <v>350000</v>
      </c>
      <c r="I171" s="4" t="n">
        <v>300000</v>
      </c>
      <c r="J171" s="2" t="n">
        <v>18</v>
      </c>
      <c r="K171" s="2" t="n">
        <v>3</v>
      </c>
      <c r="L171" s="2" t="n">
        <v>0</v>
      </c>
      <c r="M171" s="2" t="n">
        <v>3</v>
      </c>
      <c r="N171" s="4" t="n">
        <v>65000</v>
      </c>
      <c r="O171" s="4" t="n">
        <v>130000</v>
      </c>
      <c r="P171" s="4" t="n">
        <f aca="false">H171+I171</f>
        <v>650000</v>
      </c>
      <c r="Q171" s="4" t="n">
        <f aca="false">N171+O171</f>
        <v>195000</v>
      </c>
      <c r="R171" s="4" t="n">
        <f aca="false">G171+P171-Q171</f>
        <v>6955000</v>
      </c>
      <c r="S171" s="2" t="n">
        <f aca="false">DATEDIF(E171,$Y$1,"y")</f>
        <v>5</v>
      </c>
      <c r="T171" s="2" t="str">
        <f aca="false">IF(S171&gt;=5,"Senior",IF(S171&gt;=1,"Menengah","Baru"))</f>
        <v>Senior</v>
      </c>
      <c r="U171" s="9" t="n">
        <f aca="false">J171/(J171+K171+L171+M171)*100</f>
        <v>75</v>
      </c>
      <c r="V171" s="2" t="str">
        <f aca="false">IF(U171&gt;=95,"Baik",IF(U171&gt;=85,"Cukup","Perlu Perhatian"))</f>
        <v>Perlu Perhatian</v>
      </c>
    </row>
    <row r="172" customFormat="false" ht="15" hidden="false" customHeight="false" outlineLevel="0" collapsed="false">
      <c r="A172" s="2" t="s">
        <v>540</v>
      </c>
      <c r="B172" s="2" t="s">
        <v>541</v>
      </c>
      <c r="C172" s="2" t="s">
        <v>47</v>
      </c>
      <c r="D172" s="2" t="s">
        <v>117</v>
      </c>
      <c r="E172" s="3" t="s">
        <v>128</v>
      </c>
      <c r="F172" s="2" t="s">
        <v>20</v>
      </c>
      <c r="G172" s="4" t="n">
        <v>7200000</v>
      </c>
      <c r="H172" s="4" t="n">
        <v>400000</v>
      </c>
      <c r="I172" s="4" t="n">
        <v>300000</v>
      </c>
      <c r="J172" s="2" t="n">
        <v>24</v>
      </c>
      <c r="K172" s="2" t="n">
        <v>2</v>
      </c>
      <c r="L172" s="2" t="n">
        <v>0</v>
      </c>
      <c r="M172" s="2" t="n">
        <v>0</v>
      </c>
      <c r="N172" s="4" t="n">
        <v>72000</v>
      </c>
      <c r="O172" s="4" t="n">
        <v>144000</v>
      </c>
      <c r="P172" s="4" t="n">
        <f aca="false">H172+I172</f>
        <v>700000</v>
      </c>
      <c r="Q172" s="4" t="n">
        <f aca="false">N172+O172</f>
        <v>216000</v>
      </c>
      <c r="R172" s="4" t="n">
        <f aca="false">G172+P172-Q172</f>
        <v>7684000</v>
      </c>
      <c r="S172" s="2" t="n">
        <f aca="false">DATEDIF(E172,$Y$1,"y")</f>
        <v>1</v>
      </c>
      <c r="T172" s="2" t="str">
        <f aca="false">IF(S172&gt;=5,"Senior",IF(S172&gt;=1,"Menengah","Baru"))</f>
        <v>Menengah</v>
      </c>
      <c r="U172" s="9" t="n">
        <f aca="false">J172/(J172+K172+L172+M172)*100</f>
        <v>92.3076923076923</v>
      </c>
      <c r="V172" s="2" t="str">
        <f aca="false">IF(U172&gt;=95,"Baik",IF(U172&gt;=85,"Cukup","Perlu Perhatian"))</f>
        <v>Cukup</v>
      </c>
    </row>
    <row r="173" customFormat="false" ht="15" hidden="false" customHeight="false" outlineLevel="0" collapsed="false">
      <c r="A173" s="2" t="s">
        <v>542</v>
      </c>
      <c r="B173" s="2" t="s">
        <v>543</v>
      </c>
      <c r="C173" s="2" t="s">
        <v>62</v>
      </c>
      <c r="D173" s="2" t="s">
        <v>63</v>
      </c>
      <c r="E173" s="3" t="s">
        <v>479</v>
      </c>
      <c r="F173" s="2" t="s">
        <v>26</v>
      </c>
      <c r="G173" s="4" t="n">
        <v>6500000</v>
      </c>
      <c r="H173" s="4" t="n">
        <v>300000</v>
      </c>
      <c r="I173" s="4" t="n">
        <v>250000</v>
      </c>
      <c r="J173" s="2" t="n">
        <v>22</v>
      </c>
      <c r="K173" s="2" t="n">
        <v>3</v>
      </c>
      <c r="L173" s="2" t="n">
        <v>0</v>
      </c>
      <c r="M173" s="2" t="n">
        <v>0</v>
      </c>
      <c r="N173" s="4" t="n">
        <v>65000</v>
      </c>
      <c r="O173" s="4" t="n">
        <v>130000</v>
      </c>
      <c r="P173" s="4" t="n">
        <f aca="false">H173+I173</f>
        <v>550000</v>
      </c>
      <c r="Q173" s="4" t="n">
        <f aca="false">N173+O173</f>
        <v>195000</v>
      </c>
      <c r="R173" s="4" t="n">
        <f aca="false">G173+P173-Q173</f>
        <v>6855000</v>
      </c>
      <c r="S173" s="2" t="n">
        <f aca="false">DATEDIF(E173,$Y$1,"y")</f>
        <v>3</v>
      </c>
      <c r="T173" s="2" t="str">
        <f aca="false">IF(S173&gt;=5,"Senior",IF(S173&gt;=1,"Menengah","Baru"))</f>
        <v>Menengah</v>
      </c>
      <c r="U173" s="9" t="n">
        <f aca="false">J173/(J173+K173+L173+M173)*100</f>
        <v>88</v>
      </c>
      <c r="V173" s="2" t="str">
        <f aca="false">IF(U173&gt;=95,"Baik",IF(U173&gt;=85,"Cukup","Perlu Perhatian"))</f>
        <v>Cukup</v>
      </c>
    </row>
    <row r="174" customFormat="false" ht="15" hidden="false" customHeight="false" outlineLevel="0" collapsed="false">
      <c r="A174" s="2" t="s">
        <v>544</v>
      </c>
      <c r="B174" s="2" t="s">
        <v>545</v>
      </c>
      <c r="C174" s="2" t="s">
        <v>57</v>
      </c>
      <c r="D174" s="2" t="s">
        <v>58</v>
      </c>
      <c r="E174" s="3" t="s">
        <v>546</v>
      </c>
      <c r="F174" s="2" t="s">
        <v>26</v>
      </c>
      <c r="G174" s="4" t="n">
        <v>9500000</v>
      </c>
      <c r="H174" s="4" t="n">
        <v>350000</v>
      </c>
      <c r="I174" s="4" t="n">
        <v>250000</v>
      </c>
      <c r="J174" s="2" t="n">
        <v>22</v>
      </c>
      <c r="K174" s="2" t="n">
        <v>1</v>
      </c>
      <c r="L174" s="2" t="n">
        <v>2</v>
      </c>
      <c r="M174" s="2" t="n">
        <v>0</v>
      </c>
      <c r="N174" s="4" t="n">
        <v>95000</v>
      </c>
      <c r="O174" s="4" t="n">
        <v>190000</v>
      </c>
      <c r="P174" s="4" t="n">
        <f aca="false">H174+I174</f>
        <v>600000</v>
      </c>
      <c r="Q174" s="4" t="n">
        <f aca="false">N174+O174</f>
        <v>285000</v>
      </c>
      <c r="R174" s="4" t="n">
        <f aca="false">G174+P174-Q174</f>
        <v>9815000</v>
      </c>
      <c r="S174" s="2" t="n">
        <f aca="false">DATEDIF(E174,$Y$1,"y")</f>
        <v>3</v>
      </c>
      <c r="T174" s="2" t="str">
        <f aca="false">IF(S174&gt;=5,"Senior",IF(S174&gt;=1,"Menengah","Baru"))</f>
        <v>Menengah</v>
      </c>
      <c r="U174" s="9" t="n">
        <f aca="false">J174/(J174+K174+L174+M174)*100</f>
        <v>88</v>
      </c>
      <c r="V174" s="2" t="str">
        <f aca="false">IF(U174&gt;=95,"Baik",IF(U174&gt;=85,"Cukup","Perlu Perhatian"))</f>
        <v>Cukup</v>
      </c>
    </row>
    <row r="175" customFormat="false" ht="15" hidden="false" customHeight="false" outlineLevel="0" collapsed="false">
      <c r="A175" s="2" t="s">
        <v>547</v>
      </c>
      <c r="B175" s="2" t="s">
        <v>548</v>
      </c>
      <c r="C175" s="2" t="s">
        <v>57</v>
      </c>
      <c r="D175" s="2" t="s">
        <v>137</v>
      </c>
      <c r="E175" s="3" t="s">
        <v>549</v>
      </c>
      <c r="F175" s="2" t="s">
        <v>26</v>
      </c>
      <c r="G175" s="4" t="n">
        <v>5800000</v>
      </c>
      <c r="H175" s="4" t="n">
        <v>400000</v>
      </c>
      <c r="I175" s="4" t="n">
        <v>300000</v>
      </c>
      <c r="J175" s="2" t="n">
        <v>22</v>
      </c>
      <c r="K175" s="2" t="n">
        <v>3</v>
      </c>
      <c r="L175" s="2" t="n">
        <v>2</v>
      </c>
      <c r="M175" s="2" t="n">
        <v>0</v>
      </c>
      <c r="N175" s="4" t="n">
        <v>58000</v>
      </c>
      <c r="O175" s="4" t="n">
        <v>116000</v>
      </c>
      <c r="P175" s="4" t="n">
        <f aca="false">H175+I175</f>
        <v>700000</v>
      </c>
      <c r="Q175" s="4" t="n">
        <f aca="false">N175+O175</f>
        <v>174000</v>
      </c>
      <c r="R175" s="4" t="n">
        <f aca="false">G175+P175-Q175</f>
        <v>6326000</v>
      </c>
      <c r="S175" s="2" t="n">
        <f aca="false">DATEDIF(E175,$Y$1,"y")</f>
        <v>0</v>
      </c>
      <c r="T175" s="2" t="str">
        <f aca="false">IF(S175&gt;=5,"Senior",IF(S175&gt;=1,"Menengah","Baru"))</f>
        <v>Baru</v>
      </c>
      <c r="U175" s="9" t="n">
        <f aca="false">J175/(J175+K175+L175+M175)*100</f>
        <v>81.4814814814815</v>
      </c>
      <c r="V175" s="2" t="str">
        <f aca="false">IF(U175&gt;=95,"Baik",IF(U175&gt;=85,"Cukup","Perlu Perhatian"))</f>
        <v>Perlu Perhatian</v>
      </c>
    </row>
    <row r="176" customFormat="false" ht="15" hidden="false" customHeight="false" outlineLevel="0" collapsed="false">
      <c r="A176" s="2" t="s">
        <v>550</v>
      </c>
      <c r="B176" s="2" t="s">
        <v>551</v>
      </c>
      <c r="C176" s="2" t="s">
        <v>68</v>
      </c>
      <c r="D176" s="2" t="s">
        <v>177</v>
      </c>
      <c r="E176" s="3" t="s">
        <v>552</v>
      </c>
      <c r="F176" s="2" t="s">
        <v>65</v>
      </c>
      <c r="G176" s="4" t="n">
        <v>5800000</v>
      </c>
      <c r="H176" s="4" t="n">
        <v>400000</v>
      </c>
      <c r="I176" s="4" t="n">
        <v>330000</v>
      </c>
      <c r="J176" s="2" t="n">
        <v>23</v>
      </c>
      <c r="K176" s="2" t="n">
        <v>0</v>
      </c>
      <c r="L176" s="2" t="n">
        <v>3</v>
      </c>
      <c r="M176" s="2" t="n">
        <v>0</v>
      </c>
      <c r="N176" s="4" t="n">
        <v>58000</v>
      </c>
      <c r="O176" s="4" t="n">
        <v>116000</v>
      </c>
      <c r="P176" s="4" t="n">
        <f aca="false">H176+I176</f>
        <v>730000</v>
      </c>
      <c r="Q176" s="4" t="n">
        <f aca="false">N176+O176</f>
        <v>174000</v>
      </c>
      <c r="R176" s="4" t="n">
        <f aca="false">G176+P176-Q176</f>
        <v>6356000</v>
      </c>
      <c r="S176" s="2" t="n">
        <f aca="false">DATEDIF(E176,$Y$1,"y")</f>
        <v>6</v>
      </c>
      <c r="T176" s="2" t="str">
        <f aca="false">IF(S176&gt;=5,"Senior",IF(S176&gt;=1,"Menengah","Baru"))</f>
        <v>Senior</v>
      </c>
      <c r="U176" s="9" t="n">
        <f aca="false">J176/(J176+K176+L176+M176)*100</f>
        <v>88.4615384615385</v>
      </c>
      <c r="V176" s="2" t="str">
        <f aca="false">IF(U176&gt;=95,"Baik",IF(U176&gt;=85,"Cukup","Perlu Perhatian"))</f>
        <v>Cukup</v>
      </c>
    </row>
    <row r="177" customFormat="false" ht="15" hidden="false" customHeight="false" outlineLevel="0" collapsed="false">
      <c r="A177" s="2" t="s">
        <v>553</v>
      </c>
      <c r="B177" s="2" t="s">
        <v>554</v>
      </c>
      <c r="C177" s="2" t="s">
        <v>47</v>
      </c>
      <c r="D177" s="2" t="s">
        <v>113</v>
      </c>
      <c r="E177" s="3" t="s">
        <v>555</v>
      </c>
      <c r="F177" s="2" t="s">
        <v>26</v>
      </c>
      <c r="G177" s="4" t="n">
        <v>4800000</v>
      </c>
      <c r="H177" s="4" t="n">
        <v>400000</v>
      </c>
      <c r="I177" s="4" t="n">
        <v>330000</v>
      </c>
      <c r="J177" s="2" t="n">
        <v>23</v>
      </c>
      <c r="K177" s="2" t="n">
        <v>3</v>
      </c>
      <c r="L177" s="2" t="n">
        <v>1</v>
      </c>
      <c r="M177" s="2" t="n">
        <v>0</v>
      </c>
      <c r="N177" s="4" t="n">
        <v>48000</v>
      </c>
      <c r="O177" s="4" t="n">
        <v>96000</v>
      </c>
      <c r="P177" s="4" t="n">
        <f aca="false">H177+I177</f>
        <v>730000</v>
      </c>
      <c r="Q177" s="4" t="n">
        <f aca="false">N177+O177</f>
        <v>144000</v>
      </c>
      <c r="R177" s="4" t="n">
        <f aca="false">G177+P177-Q177</f>
        <v>5386000</v>
      </c>
      <c r="S177" s="2" t="n">
        <f aca="false">DATEDIF(E177,$Y$1,"y")</f>
        <v>6</v>
      </c>
      <c r="T177" s="2" t="str">
        <f aca="false">IF(S177&gt;=5,"Senior",IF(S177&gt;=1,"Menengah","Baru"))</f>
        <v>Senior</v>
      </c>
      <c r="U177" s="9" t="n">
        <f aca="false">J177/(J177+K177+L177+M177)*100</f>
        <v>85.1851851851852</v>
      </c>
      <c r="V177" s="2" t="str">
        <f aca="false">IF(U177&gt;=95,"Baik",IF(U177&gt;=85,"Cukup","Perlu Perhatian"))</f>
        <v>Cukup</v>
      </c>
    </row>
    <row r="178" customFormat="false" ht="15" hidden="false" customHeight="false" outlineLevel="0" collapsed="false">
      <c r="A178" s="2" t="s">
        <v>556</v>
      </c>
      <c r="B178" s="2" t="s">
        <v>557</v>
      </c>
      <c r="C178" s="2" t="s">
        <v>23</v>
      </c>
      <c r="D178" s="2" t="s">
        <v>24</v>
      </c>
      <c r="E178" s="3" t="s">
        <v>558</v>
      </c>
      <c r="F178" s="2" t="s">
        <v>26</v>
      </c>
      <c r="G178" s="4" t="n">
        <v>7200000</v>
      </c>
      <c r="H178" s="4" t="n">
        <v>300000</v>
      </c>
      <c r="I178" s="4" t="n">
        <v>300000</v>
      </c>
      <c r="J178" s="2" t="n">
        <v>23</v>
      </c>
      <c r="K178" s="2" t="n">
        <v>1</v>
      </c>
      <c r="L178" s="2" t="n">
        <v>3</v>
      </c>
      <c r="M178" s="2" t="n">
        <v>0</v>
      </c>
      <c r="N178" s="4" t="n">
        <v>72000</v>
      </c>
      <c r="O178" s="4" t="n">
        <v>144000</v>
      </c>
      <c r="P178" s="4" t="n">
        <f aca="false">H178+I178</f>
        <v>600000</v>
      </c>
      <c r="Q178" s="4" t="n">
        <f aca="false">N178+O178</f>
        <v>216000</v>
      </c>
      <c r="R178" s="4" t="n">
        <f aca="false">G178+P178-Q178</f>
        <v>7584000</v>
      </c>
      <c r="S178" s="2" t="n">
        <f aca="false">DATEDIF(E178,$Y$1,"y")</f>
        <v>7</v>
      </c>
      <c r="T178" s="2" t="str">
        <f aca="false">IF(S178&gt;=5,"Senior",IF(S178&gt;=1,"Menengah","Baru"))</f>
        <v>Senior</v>
      </c>
      <c r="U178" s="9" t="n">
        <f aca="false">J178/(J178+K178+L178+M178)*100</f>
        <v>85.1851851851852</v>
      </c>
      <c r="V178" s="2" t="str">
        <f aca="false">IF(U178&gt;=95,"Baik",IF(U178&gt;=85,"Cukup","Perlu Perhatian"))</f>
        <v>Cukup</v>
      </c>
    </row>
    <row r="179" customFormat="false" ht="15" hidden="false" customHeight="false" outlineLevel="0" collapsed="false">
      <c r="A179" s="2" t="s">
        <v>559</v>
      </c>
      <c r="B179" s="2" t="s">
        <v>371</v>
      </c>
      <c r="C179" s="2" t="s">
        <v>52</v>
      </c>
      <c r="D179" s="2" t="s">
        <v>53</v>
      </c>
      <c r="E179" s="3" t="s">
        <v>560</v>
      </c>
      <c r="F179" s="2" t="s">
        <v>26</v>
      </c>
      <c r="G179" s="4" t="n">
        <v>9500000</v>
      </c>
      <c r="H179" s="4" t="n">
        <v>350000</v>
      </c>
      <c r="I179" s="4" t="n">
        <v>330000</v>
      </c>
      <c r="J179" s="2" t="n">
        <v>21</v>
      </c>
      <c r="K179" s="2" t="n">
        <v>3</v>
      </c>
      <c r="L179" s="2" t="n">
        <v>2</v>
      </c>
      <c r="M179" s="2" t="n">
        <v>0</v>
      </c>
      <c r="N179" s="4" t="n">
        <v>95000</v>
      </c>
      <c r="O179" s="4" t="n">
        <v>190000</v>
      </c>
      <c r="P179" s="4" t="n">
        <f aca="false">H179+I179</f>
        <v>680000</v>
      </c>
      <c r="Q179" s="4" t="n">
        <f aca="false">N179+O179</f>
        <v>285000</v>
      </c>
      <c r="R179" s="4" t="n">
        <f aca="false">G179+P179-Q179</f>
        <v>9895000</v>
      </c>
      <c r="S179" s="2" t="n">
        <f aca="false">DATEDIF(E179,$Y$1,"y")</f>
        <v>5</v>
      </c>
      <c r="T179" s="2" t="str">
        <f aca="false">IF(S179&gt;=5,"Senior",IF(S179&gt;=1,"Menengah","Baru"))</f>
        <v>Senior</v>
      </c>
      <c r="U179" s="9" t="n">
        <f aca="false">J179/(J179+K179+L179+M179)*100</f>
        <v>80.7692307692308</v>
      </c>
      <c r="V179" s="2" t="str">
        <f aca="false">IF(U179&gt;=95,"Baik",IF(U179&gt;=85,"Cukup","Perlu Perhatian"))</f>
        <v>Perlu Perhatian</v>
      </c>
    </row>
    <row r="180" customFormat="false" ht="15" hidden="false" customHeight="false" outlineLevel="0" collapsed="false">
      <c r="A180" s="2" t="s">
        <v>561</v>
      </c>
      <c r="B180" s="2" t="s">
        <v>562</v>
      </c>
      <c r="C180" s="2" t="s">
        <v>86</v>
      </c>
      <c r="D180" s="2" t="s">
        <v>106</v>
      </c>
      <c r="E180" s="3" t="s">
        <v>563</v>
      </c>
      <c r="F180" s="2" t="s">
        <v>26</v>
      </c>
      <c r="G180" s="4" t="n">
        <v>5800000</v>
      </c>
      <c r="H180" s="4" t="n">
        <v>400000</v>
      </c>
      <c r="I180" s="4" t="n">
        <v>300000</v>
      </c>
      <c r="J180" s="2" t="n">
        <v>19</v>
      </c>
      <c r="K180" s="2" t="n">
        <v>1</v>
      </c>
      <c r="L180" s="2" t="n">
        <v>2</v>
      </c>
      <c r="M180" s="2" t="n">
        <v>2</v>
      </c>
      <c r="N180" s="4" t="n">
        <v>58000</v>
      </c>
      <c r="O180" s="4" t="n">
        <v>116000</v>
      </c>
      <c r="P180" s="4" t="n">
        <f aca="false">H180+I180</f>
        <v>700000</v>
      </c>
      <c r="Q180" s="4" t="n">
        <f aca="false">N180+O180</f>
        <v>174000</v>
      </c>
      <c r="R180" s="4" t="n">
        <f aca="false">G180+P180-Q180</f>
        <v>6326000</v>
      </c>
      <c r="S180" s="2" t="n">
        <f aca="false">DATEDIF(E180,$Y$1,"y")</f>
        <v>1</v>
      </c>
      <c r="T180" s="2" t="str">
        <f aca="false">IF(S180&gt;=5,"Senior",IF(S180&gt;=1,"Menengah","Baru"))</f>
        <v>Menengah</v>
      </c>
      <c r="U180" s="9" t="n">
        <f aca="false">J180/(J180+K180+L180+M180)*100</f>
        <v>79.1666666666667</v>
      </c>
      <c r="V180" s="2" t="str">
        <f aca="false">IF(U180&gt;=95,"Baik",IF(U180&gt;=85,"Cukup","Perlu Perhatian"))</f>
        <v>Perlu Perhatian</v>
      </c>
    </row>
    <row r="181" customFormat="false" ht="15" hidden="false" customHeight="false" outlineLevel="0" collapsed="false">
      <c r="A181" s="2" t="s">
        <v>564</v>
      </c>
      <c r="B181" s="2" t="s">
        <v>565</v>
      </c>
      <c r="C181" s="2" t="s">
        <v>47</v>
      </c>
      <c r="D181" s="2" t="s">
        <v>117</v>
      </c>
      <c r="E181" s="3" t="s">
        <v>566</v>
      </c>
      <c r="F181" s="2" t="s">
        <v>26</v>
      </c>
      <c r="G181" s="4" t="n">
        <v>8500000</v>
      </c>
      <c r="H181" s="4" t="n">
        <v>350000</v>
      </c>
      <c r="I181" s="4" t="n">
        <v>300000</v>
      </c>
      <c r="J181" s="2" t="n">
        <v>20</v>
      </c>
      <c r="K181" s="2" t="n">
        <v>2</v>
      </c>
      <c r="L181" s="2" t="n">
        <v>2</v>
      </c>
      <c r="M181" s="2" t="n">
        <v>0</v>
      </c>
      <c r="N181" s="4" t="n">
        <v>85000</v>
      </c>
      <c r="O181" s="4" t="n">
        <v>170000</v>
      </c>
      <c r="P181" s="4" t="n">
        <f aca="false">H181+I181</f>
        <v>650000</v>
      </c>
      <c r="Q181" s="4" t="n">
        <f aca="false">N181+O181</f>
        <v>255000</v>
      </c>
      <c r="R181" s="4" t="n">
        <f aca="false">G181+P181-Q181</f>
        <v>8895000</v>
      </c>
      <c r="S181" s="2" t="n">
        <f aca="false">DATEDIF(E181,$Y$1,"y")</f>
        <v>4</v>
      </c>
      <c r="T181" s="2" t="str">
        <f aca="false">IF(S181&gt;=5,"Senior",IF(S181&gt;=1,"Menengah","Baru"))</f>
        <v>Menengah</v>
      </c>
      <c r="U181" s="9" t="n">
        <f aca="false">J181/(J181+K181+L181+M181)*100</f>
        <v>83.3333333333333</v>
      </c>
      <c r="V181" s="2" t="str">
        <f aca="false">IF(U181&gt;=95,"Baik",IF(U181&gt;=85,"Cukup","Perlu Perhatian"))</f>
        <v>Perlu Perhatian</v>
      </c>
    </row>
    <row r="182" customFormat="false" ht="15" hidden="false" customHeight="false" outlineLevel="0" collapsed="false">
      <c r="A182" s="2" t="s">
        <v>567</v>
      </c>
      <c r="B182" s="2" t="s">
        <v>568</v>
      </c>
      <c r="C182" s="2" t="s">
        <v>86</v>
      </c>
      <c r="D182" s="2" t="s">
        <v>106</v>
      </c>
      <c r="E182" s="3" t="s">
        <v>569</v>
      </c>
      <c r="F182" s="2" t="s">
        <v>26</v>
      </c>
      <c r="G182" s="4" t="n">
        <v>4800000</v>
      </c>
      <c r="H182" s="4" t="n">
        <v>350000</v>
      </c>
      <c r="I182" s="4" t="n">
        <v>250000</v>
      </c>
      <c r="J182" s="2" t="n">
        <v>20</v>
      </c>
      <c r="K182" s="2" t="n">
        <v>0</v>
      </c>
      <c r="L182" s="2" t="n">
        <v>2</v>
      </c>
      <c r="M182" s="2" t="n">
        <v>2</v>
      </c>
      <c r="N182" s="4" t="n">
        <v>48000</v>
      </c>
      <c r="O182" s="4" t="n">
        <v>96000</v>
      </c>
      <c r="P182" s="4" t="n">
        <f aca="false">H182+I182</f>
        <v>600000</v>
      </c>
      <c r="Q182" s="4" t="n">
        <f aca="false">N182+O182</f>
        <v>144000</v>
      </c>
      <c r="R182" s="4" t="n">
        <f aca="false">G182+P182-Q182</f>
        <v>5256000</v>
      </c>
      <c r="S182" s="2" t="n">
        <f aca="false">DATEDIF(E182,$Y$1,"y")</f>
        <v>3</v>
      </c>
      <c r="T182" s="2" t="str">
        <f aca="false">IF(S182&gt;=5,"Senior",IF(S182&gt;=1,"Menengah","Baru"))</f>
        <v>Menengah</v>
      </c>
      <c r="U182" s="9" t="n">
        <f aca="false">J182/(J182+K182+L182+M182)*100</f>
        <v>83.3333333333333</v>
      </c>
      <c r="V182" s="2" t="str">
        <f aca="false">IF(U182&gt;=95,"Baik",IF(U182&gt;=85,"Cukup","Perlu Perhatian"))</f>
        <v>Perlu Perhatian</v>
      </c>
    </row>
    <row r="183" customFormat="false" ht="15" hidden="false" customHeight="false" outlineLevel="0" collapsed="false">
      <c r="A183" s="2" t="s">
        <v>570</v>
      </c>
      <c r="B183" s="2" t="s">
        <v>180</v>
      </c>
      <c r="C183" s="2" t="s">
        <v>52</v>
      </c>
      <c r="D183" s="2" t="s">
        <v>53</v>
      </c>
      <c r="E183" s="3" t="s">
        <v>571</v>
      </c>
      <c r="F183" s="2" t="s">
        <v>26</v>
      </c>
      <c r="G183" s="4" t="n">
        <v>5800000</v>
      </c>
      <c r="H183" s="4" t="n">
        <v>400000</v>
      </c>
      <c r="I183" s="4" t="n">
        <v>330000</v>
      </c>
      <c r="J183" s="2" t="n">
        <v>20</v>
      </c>
      <c r="K183" s="2" t="n">
        <v>1</v>
      </c>
      <c r="L183" s="2" t="n">
        <v>0</v>
      </c>
      <c r="M183" s="2" t="n">
        <v>3</v>
      </c>
      <c r="N183" s="4" t="n">
        <v>58000</v>
      </c>
      <c r="O183" s="4" t="n">
        <v>116000</v>
      </c>
      <c r="P183" s="4" t="n">
        <f aca="false">H183+I183</f>
        <v>730000</v>
      </c>
      <c r="Q183" s="4" t="n">
        <f aca="false">N183+O183</f>
        <v>174000</v>
      </c>
      <c r="R183" s="4" t="n">
        <f aca="false">G183+P183-Q183</f>
        <v>6356000</v>
      </c>
      <c r="S183" s="2" t="n">
        <f aca="false">DATEDIF(E183,$Y$1,"y")</f>
        <v>5</v>
      </c>
      <c r="T183" s="2" t="str">
        <f aca="false">IF(S183&gt;=5,"Senior",IF(S183&gt;=1,"Menengah","Baru"))</f>
        <v>Senior</v>
      </c>
      <c r="U183" s="9" t="n">
        <f aca="false">J183/(J183+K183+L183+M183)*100</f>
        <v>83.3333333333333</v>
      </c>
      <c r="V183" s="2" t="str">
        <f aca="false">IF(U183&gt;=95,"Baik",IF(U183&gt;=85,"Cukup","Perlu Perhatian"))</f>
        <v>Perlu Perhatian</v>
      </c>
    </row>
    <row r="184" customFormat="false" ht="15" hidden="false" customHeight="false" outlineLevel="0" collapsed="false">
      <c r="A184" s="2" t="s">
        <v>572</v>
      </c>
      <c r="B184" s="2" t="s">
        <v>162</v>
      </c>
      <c r="C184" s="2" t="s">
        <v>47</v>
      </c>
      <c r="D184" s="2" t="s">
        <v>48</v>
      </c>
      <c r="E184" s="3" t="s">
        <v>530</v>
      </c>
      <c r="F184" s="2" t="s">
        <v>26</v>
      </c>
      <c r="G184" s="4" t="n">
        <v>9500000</v>
      </c>
      <c r="H184" s="4" t="n">
        <v>300000</v>
      </c>
      <c r="I184" s="4" t="n">
        <v>330000</v>
      </c>
      <c r="J184" s="2" t="n">
        <v>19</v>
      </c>
      <c r="K184" s="2" t="n">
        <v>0</v>
      </c>
      <c r="L184" s="2" t="n">
        <v>0</v>
      </c>
      <c r="M184" s="2" t="n">
        <v>5</v>
      </c>
      <c r="N184" s="4" t="n">
        <v>95000</v>
      </c>
      <c r="O184" s="4" t="n">
        <v>190000</v>
      </c>
      <c r="P184" s="4" t="n">
        <f aca="false">H184+I184</f>
        <v>630000</v>
      </c>
      <c r="Q184" s="4" t="n">
        <f aca="false">N184+O184</f>
        <v>285000</v>
      </c>
      <c r="R184" s="4" t="n">
        <f aca="false">G184+P184-Q184</f>
        <v>9845000</v>
      </c>
      <c r="S184" s="2" t="n">
        <f aca="false">DATEDIF(E184,$Y$1,"y")</f>
        <v>6</v>
      </c>
      <c r="T184" s="2" t="str">
        <f aca="false">IF(S184&gt;=5,"Senior",IF(S184&gt;=1,"Menengah","Baru"))</f>
        <v>Senior</v>
      </c>
      <c r="U184" s="9" t="n">
        <f aca="false">J184/(J184+K184+L184+M184)*100</f>
        <v>79.1666666666667</v>
      </c>
      <c r="V184" s="2" t="str">
        <f aca="false">IF(U184&gt;=95,"Baik",IF(U184&gt;=85,"Cukup","Perlu Perhatian"))</f>
        <v>Perlu Perhatian</v>
      </c>
    </row>
    <row r="185" customFormat="false" ht="15" hidden="false" customHeight="false" outlineLevel="0" collapsed="false">
      <c r="A185" s="2" t="s">
        <v>573</v>
      </c>
      <c r="B185" s="2" t="s">
        <v>273</v>
      </c>
      <c r="C185" s="2" t="s">
        <v>52</v>
      </c>
      <c r="D185" s="2" t="s">
        <v>53</v>
      </c>
      <c r="E185" s="3" t="s">
        <v>493</v>
      </c>
      <c r="F185" s="2" t="s">
        <v>20</v>
      </c>
      <c r="G185" s="4" t="n">
        <v>9500000</v>
      </c>
      <c r="H185" s="4" t="n">
        <v>300000</v>
      </c>
      <c r="I185" s="4" t="n">
        <v>300000</v>
      </c>
      <c r="J185" s="2" t="n">
        <v>23</v>
      </c>
      <c r="K185" s="2" t="n">
        <v>3</v>
      </c>
      <c r="L185" s="2" t="n">
        <v>3</v>
      </c>
      <c r="M185" s="2" t="n">
        <v>0</v>
      </c>
      <c r="N185" s="4" t="n">
        <v>95000</v>
      </c>
      <c r="O185" s="4" t="n">
        <v>190000</v>
      </c>
      <c r="P185" s="4" t="n">
        <f aca="false">H185+I185</f>
        <v>600000</v>
      </c>
      <c r="Q185" s="4" t="n">
        <f aca="false">N185+O185</f>
        <v>285000</v>
      </c>
      <c r="R185" s="4" t="n">
        <f aca="false">G185+P185-Q185</f>
        <v>9815000</v>
      </c>
      <c r="S185" s="2" t="n">
        <f aca="false">DATEDIF(E185,$Y$1,"y")</f>
        <v>5</v>
      </c>
      <c r="T185" s="2" t="str">
        <f aca="false">IF(S185&gt;=5,"Senior",IF(S185&gt;=1,"Menengah","Baru"))</f>
        <v>Senior</v>
      </c>
      <c r="U185" s="9" t="n">
        <f aca="false">J185/(J185+K185+L185+M185)*100</f>
        <v>79.3103448275862</v>
      </c>
      <c r="V185" s="2" t="str">
        <f aca="false">IF(U185&gt;=95,"Baik",IF(U185&gt;=85,"Cukup","Perlu Perhatian"))</f>
        <v>Perlu Perhatian</v>
      </c>
    </row>
    <row r="186" customFormat="false" ht="15" hidden="false" customHeight="false" outlineLevel="0" collapsed="false">
      <c r="A186" s="2" t="s">
        <v>574</v>
      </c>
      <c r="B186" s="2" t="s">
        <v>241</v>
      </c>
      <c r="C186" s="2" t="s">
        <v>68</v>
      </c>
      <c r="D186" s="2" t="s">
        <v>177</v>
      </c>
      <c r="E186" s="3" t="s">
        <v>575</v>
      </c>
      <c r="F186" s="2" t="s">
        <v>65</v>
      </c>
      <c r="G186" s="4" t="n">
        <v>4500000</v>
      </c>
      <c r="H186" s="4" t="n">
        <v>400000</v>
      </c>
      <c r="I186" s="4" t="n">
        <v>330000</v>
      </c>
      <c r="J186" s="2" t="n">
        <v>19</v>
      </c>
      <c r="K186" s="2" t="n">
        <v>0</v>
      </c>
      <c r="L186" s="2" t="n">
        <v>1</v>
      </c>
      <c r="M186" s="2" t="n">
        <v>4</v>
      </c>
      <c r="N186" s="4" t="n">
        <v>45000</v>
      </c>
      <c r="O186" s="4" t="n">
        <v>90000</v>
      </c>
      <c r="P186" s="4" t="n">
        <f aca="false">H186+I186</f>
        <v>730000</v>
      </c>
      <c r="Q186" s="4" t="n">
        <f aca="false">N186+O186</f>
        <v>135000</v>
      </c>
      <c r="R186" s="4" t="n">
        <f aca="false">G186+P186-Q186</f>
        <v>5095000</v>
      </c>
      <c r="S186" s="2" t="n">
        <f aca="false">DATEDIF(E186,$Y$1,"y")</f>
        <v>6</v>
      </c>
      <c r="T186" s="2" t="str">
        <f aca="false">IF(S186&gt;=5,"Senior",IF(S186&gt;=1,"Menengah","Baru"))</f>
        <v>Senior</v>
      </c>
      <c r="U186" s="9" t="n">
        <f aca="false">J186/(J186+K186+L186+M186)*100</f>
        <v>79.1666666666667</v>
      </c>
      <c r="V186" s="2" t="str">
        <f aca="false">IF(U186&gt;=95,"Baik",IF(U186&gt;=85,"Cukup","Perlu Perhatian"))</f>
        <v>Perlu Perhatian</v>
      </c>
    </row>
    <row r="187" customFormat="false" ht="15" hidden="false" customHeight="false" outlineLevel="0" collapsed="false">
      <c r="A187" s="2" t="s">
        <v>576</v>
      </c>
      <c r="B187" s="2" t="s">
        <v>577</v>
      </c>
      <c r="C187" s="2" t="s">
        <v>196</v>
      </c>
      <c r="D187" s="2" t="s">
        <v>197</v>
      </c>
      <c r="E187" s="3" t="s">
        <v>578</v>
      </c>
      <c r="F187" s="2" t="s">
        <v>20</v>
      </c>
      <c r="G187" s="4" t="n">
        <v>5800000</v>
      </c>
      <c r="H187" s="4" t="n">
        <v>300000</v>
      </c>
      <c r="I187" s="4" t="n">
        <v>250000</v>
      </c>
      <c r="J187" s="2" t="n">
        <v>20</v>
      </c>
      <c r="K187" s="2" t="n">
        <v>0</v>
      </c>
      <c r="L187" s="2" t="n">
        <v>2</v>
      </c>
      <c r="M187" s="2" t="n">
        <v>2</v>
      </c>
      <c r="N187" s="4" t="n">
        <v>58000</v>
      </c>
      <c r="O187" s="4" t="n">
        <v>116000</v>
      </c>
      <c r="P187" s="4" t="n">
        <f aca="false">H187+I187</f>
        <v>550000</v>
      </c>
      <c r="Q187" s="4" t="n">
        <f aca="false">N187+O187</f>
        <v>174000</v>
      </c>
      <c r="R187" s="4" t="n">
        <f aca="false">G187+P187-Q187</f>
        <v>6176000</v>
      </c>
      <c r="S187" s="2" t="n">
        <f aca="false">DATEDIF(E187,$Y$1,"y")</f>
        <v>1</v>
      </c>
      <c r="T187" s="2" t="str">
        <f aca="false">IF(S187&gt;=5,"Senior",IF(S187&gt;=1,"Menengah","Baru"))</f>
        <v>Menengah</v>
      </c>
      <c r="U187" s="9" t="n">
        <f aca="false">J187/(J187+K187+L187+M187)*100</f>
        <v>83.3333333333333</v>
      </c>
      <c r="V187" s="2" t="str">
        <f aca="false">IF(U187&gt;=95,"Baik",IF(U187&gt;=85,"Cukup","Perlu Perhatian"))</f>
        <v>Perlu Perhatian</v>
      </c>
    </row>
    <row r="188" customFormat="false" ht="15" hidden="false" customHeight="false" outlineLevel="0" collapsed="false">
      <c r="A188" s="2" t="s">
        <v>579</v>
      </c>
      <c r="B188" s="2" t="s">
        <v>580</v>
      </c>
      <c r="C188" s="2" t="s">
        <v>86</v>
      </c>
      <c r="D188" s="2" t="s">
        <v>106</v>
      </c>
      <c r="E188" s="3" t="s">
        <v>581</v>
      </c>
      <c r="F188" s="2" t="s">
        <v>26</v>
      </c>
      <c r="G188" s="4" t="n">
        <v>8500000</v>
      </c>
      <c r="H188" s="4" t="n">
        <v>350000</v>
      </c>
      <c r="I188" s="4" t="n">
        <v>250000</v>
      </c>
      <c r="J188" s="2" t="n">
        <v>24</v>
      </c>
      <c r="K188" s="2" t="n">
        <v>0</v>
      </c>
      <c r="L188" s="2" t="n">
        <v>2</v>
      </c>
      <c r="M188" s="2" t="n">
        <v>0</v>
      </c>
      <c r="N188" s="4" t="n">
        <v>85000</v>
      </c>
      <c r="O188" s="4" t="n">
        <v>170000</v>
      </c>
      <c r="P188" s="4" t="n">
        <f aca="false">H188+I188</f>
        <v>600000</v>
      </c>
      <c r="Q188" s="4" t="n">
        <f aca="false">N188+O188</f>
        <v>255000</v>
      </c>
      <c r="R188" s="4" t="n">
        <f aca="false">G188+P188-Q188</f>
        <v>8845000</v>
      </c>
      <c r="S188" s="2" t="n">
        <f aca="false">DATEDIF(E188,$Y$1,"y")</f>
        <v>5</v>
      </c>
      <c r="T188" s="2" t="str">
        <f aca="false">IF(S188&gt;=5,"Senior",IF(S188&gt;=1,"Menengah","Baru"))</f>
        <v>Senior</v>
      </c>
      <c r="U188" s="9" t="n">
        <f aca="false">J188/(J188+K188+L188+M188)*100</f>
        <v>92.3076923076923</v>
      </c>
      <c r="V188" s="2" t="str">
        <f aca="false">IF(U188&gt;=95,"Baik",IF(U188&gt;=85,"Cukup","Perlu Perhatian"))</f>
        <v>Cukup</v>
      </c>
    </row>
    <row r="189" customFormat="false" ht="15" hidden="false" customHeight="false" outlineLevel="0" collapsed="false">
      <c r="A189" s="2" t="s">
        <v>582</v>
      </c>
      <c r="B189" s="2" t="s">
        <v>583</v>
      </c>
      <c r="C189" s="2" t="s">
        <v>17</v>
      </c>
      <c r="D189" s="2" t="s">
        <v>36</v>
      </c>
      <c r="E189" s="3" t="s">
        <v>584</v>
      </c>
      <c r="F189" s="2" t="s">
        <v>20</v>
      </c>
      <c r="G189" s="4" t="n">
        <v>6500000</v>
      </c>
      <c r="H189" s="4" t="n">
        <v>350000</v>
      </c>
      <c r="I189" s="4" t="n">
        <v>330000</v>
      </c>
      <c r="J189" s="2" t="n">
        <v>23</v>
      </c>
      <c r="K189" s="2" t="n">
        <v>1</v>
      </c>
      <c r="L189" s="2" t="n">
        <v>1</v>
      </c>
      <c r="M189" s="2" t="n">
        <v>0</v>
      </c>
      <c r="N189" s="4" t="n">
        <v>65000</v>
      </c>
      <c r="O189" s="4" t="n">
        <v>130000</v>
      </c>
      <c r="P189" s="4" t="n">
        <f aca="false">H189+I189</f>
        <v>680000</v>
      </c>
      <c r="Q189" s="4" t="n">
        <f aca="false">N189+O189</f>
        <v>195000</v>
      </c>
      <c r="R189" s="4" t="n">
        <f aca="false">G189+P189-Q189</f>
        <v>6985000</v>
      </c>
      <c r="S189" s="2" t="n">
        <f aca="false">DATEDIF(E189,$Y$1,"y")</f>
        <v>5</v>
      </c>
      <c r="T189" s="2" t="str">
        <f aca="false">IF(S189&gt;=5,"Senior",IF(S189&gt;=1,"Menengah","Baru"))</f>
        <v>Senior</v>
      </c>
      <c r="U189" s="9" t="n">
        <f aca="false">J189/(J189+K189+L189+M189)*100</f>
        <v>92</v>
      </c>
      <c r="V189" s="2" t="str">
        <f aca="false">IF(U189&gt;=95,"Baik",IF(U189&gt;=85,"Cukup","Perlu Perhatian"))</f>
        <v>Cukup</v>
      </c>
    </row>
    <row r="190" customFormat="false" ht="15" hidden="false" customHeight="false" outlineLevel="0" collapsed="false">
      <c r="A190" s="2" t="s">
        <v>585</v>
      </c>
      <c r="B190" s="2" t="s">
        <v>586</v>
      </c>
      <c r="C190" s="2" t="s">
        <v>62</v>
      </c>
      <c r="D190" s="2" t="s">
        <v>63</v>
      </c>
      <c r="E190" s="3" t="s">
        <v>587</v>
      </c>
      <c r="F190" s="2" t="s">
        <v>26</v>
      </c>
      <c r="G190" s="4" t="n">
        <v>4500000</v>
      </c>
      <c r="H190" s="4" t="n">
        <v>300000</v>
      </c>
      <c r="I190" s="4" t="n">
        <v>250000</v>
      </c>
      <c r="J190" s="2" t="n">
        <v>21</v>
      </c>
      <c r="K190" s="2" t="n">
        <v>2</v>
      </c>
      <c r="L190" s="2" t="n">
        <v>1</v>
      </c>
      <c r="M190" s="2" t="n">
        <v>0</v>
      </c>
      <c r="N190" s="4" t="n">
        <v>45000</v>
      </c>
      <c r="O190" s="4" t="n">
        <v>90000</v>
      </c>
      <c r="P190" s="4" t="n">
        <f aca="false">H190+I190</f>
        <v>550000</v>
      </c>
      <c r="Q190" s="4" t="n">
        <f aca="false">N190+O190</f>
        <v>135000</v>
      </c>
      <c r="R190" s="4" t="n">
        <f aca="false">G190+P190-Q190</f>
        <v>4915000</v>
      </c>
      <c r="S190" s="2" t="n">
        <f aca="false">DATEDIF(E190,$Y$1,"y")</f>
        <v>6</v>
      </c>
      <c r="T190" s="2" t="str">
        <f aca="false">IF(S190&gt;=5,"Senior",IF(S190&gt;=1,"Menengah","Baru"))</f>
        <v>Senior</v>
      </c>
      <c r="U190" s="9" t="n">
        <f aca="false">J190/(J190+K190+L190+M190)*100</f>
        <v>87.5</v>
      </c>
      <c r="V190" s="2" t="str">
        <f aca="false">IF(U190&gt;=95,"Baik",IF(U190&gt;=85,"Cukup","Perlu Perhatian"))</f>
        <v>Cukup</v>
      </c>
    </row>
    <row r="191" customFormat="false" ht="15" hidden="false" customHeight="false" outlineLevel="0" collapsed="false">
      <c r="A191" s="2" t="s">
        <v>588</v>
      </c>
      <c r="B191" s="2" t="s">
        <v>589</v>
      </c>
      <c r="C191" s="2" t="s">
        <v>62</v>
      </c>
      <c r="D191" s="2" t="s">
        <v>141</v>
      </c>
      <c r="E191" s="3" t="s">
        <v>295</v>
      </c>
      <c r="F191" s="2" t="s">
        <v>26</v>
      </c>
      <c r="G191" s="4" t="n">
        <v>6500000</v>
      </c>
      <c r="H191" s="4" t="n">
        <v>350000</v>
      </c>
      <c r="I191" s="4" t="n">
        <v>330000</v>
      </c>
      <c r="J191" s="2" t="n">
        <v>23</v>
      </c>
      <c r="K191" s="2" t="n">
        <v>0</v>
      </c>
      <c r="L191" s="2" t="n">
        <v>2</v>
      </c>
      <c r="M191" s="2" t="n">
        <v>0</v>
      </c>
      <c r="N191" s="4" t="n">
        <v>65000</v>
      </c>
      <c r="O191" s="4" t="n">
        <v>130000</v>
      </c>
      <c r="P191" s="4" t="n">
        <f aca="false">H191+I191</f>
        <v>680000</v>
      </c>
      <c r="Q191" s="4" t="n">
        <f aca="false">N191+O191</f>
        <v>195000</v>
      </c>
      <c r="R191" s="4" t="n">
        <f aca="false">G191+P191-Q191</f>
        <v>6985000</v>
      </c>
      <c r="S191" s="2" t="n">
        <f aca="false">DATEDIF(E191,$Y$1,"y")</f>
        <v>2</v>
      </c>
      <c r="T191" s="2" t="str">
        <f aca="false">IF(S191&gt;=5,"Senior",IF(S191&gt;=1,"Menengah","Baru"))</f>
        <v>Menengah</v>
      </c>
      <c r="U191" s="9" t="n">
        <f aca="false">J191/(J191+K191+L191+M191)*100</f>
        <v>92</v>
      </c>
      <c r="V191" s="2" t="str">
        <f aca="false">IF(U191&gt;=95,"Baik",IF(U191&gt;=85,"Cukup","Perlu Perhatian"))</f>
        <v>Cukup</v>
      </c>
    </row>
    <row r="192" customFormat="false" ht="15" hidden="false" customHeight="false" outlineLevel="0" collapsed="false">
      <c r="A192" s="2" t="s">
        <v>590</v>
      </c>
      <c r="B192" s="2" t="s">
        <v>56</v>
      </c>
      <c r="C192" s="2" t="s">
        <v>196</v>
      </c>
      <c r="D192" s="2" t="s">
        <v>204</v>
      </c>
      <c r="E192" s="3" t="s">
        <v>591</v>
      </c>
      <c r="F192" s="2" t="s">
        <v>26</v>
      </c>
      <c r="G192" s="4" t="n">
        <v>4800000</v>
      </c>
      <c r="H192" s="4" t="n">
        <v>350000</v>
      </c>
      <c r="I192" s="4" t="n">
        <v>330000</v>
      </c>
      <c r="J192" s="2" t="n">
        <v>22</v>
      </c>
      <c r="K192" s="2" t="n">
        <v>2</v>
      </c>
      <c r="L192" s="2" t="n">
        <v>0</v>
      </c>
      <c r="M192" s="2" t="n">
        <v>0</v>
      </c>
      <c r="N192" s="4" t="n">
        <v>48000</v>
      </c>
      <c r="O192" s="4" t="n">
        <v>96000</v>
      </c>
      <c r="P192" s="4" t="n">
        <f aca="false">H192+I192</f>
        <v>680000</v>
      </c>
      <c r="Q192" s="4" t="n">
        <f aca="false">N192+O192</f>
        <v>144000</v>
      </c>
      <c r="R192" s="4" t="n">
        <f aca="false">G192+P192-Q192</f>
        <v>5336000</v>
      </c>
      <c r="S192" s="2" t="n">
        <f aca="false">DATEDIF(E192,$Y$1,"y")</f>
        <v>6</v>
      </c>
      <c r="T192" s="2" t="str">
        <f aca="false">IF(S192&gt;=5,"Senior",IF(S192&gt;=1,"Menengah","Baru"))</f>
        <v>Senior</v>
      </c>
      <c r="U192" s="9" t="n">
        <f aca="false">J192/(J192+K192+L192+M192)*100</f>
        <v>91.6666666666667</v>
      </c>
      <c r="V192" s="2" t="str">
        <f aca="false">IF(U192&gt;=95,"Baik",IF(U192&gt;=85,"Cukup","Perlu Perhatian"))</f>
        <v>Cukup</v>
      </c>
    </row>
    <row r="193" customFormat="false" ht="15" hidden="false" customHeight="false" outlineLevel="0" collapsed="false">
      <c r="A193" s="2" t="s">
        <v>592</v>
      </c>
      <c r="B193" s="2" t="s">
        <v>593</v>
      </c>
      <c r="C193" s="2" t="s">
        <v>47</v>
      </c>
      <c r="D193" s="2" t="s">
        <v>48</v>
      </c>
      <c r="E193" s="3" t="s">
        <v>594</v>
      </c>
      <c r="F193" s="2" t="s">
        <v>26</v>
      </c>
      <c r="G193" s="4" t="n">
        <v>8500000</v>
      </c>
      <c r="H193" s="4" t="n">
        <v>400000</v>
      </c>
      <c r="I193" s="4" t="n">
        <v>330000</v>
      </c>
      <c r="J193" s="2" t="n">
        <v>20</v>
      </c>
      <c r="K193" s="2" t="n">
        <v>3</v>
      </c>
      <c r="L193" s="2" t="n">
        <v>3</v>
      </c>
      <c r="M193" s="2" t="n">
        <v>0</v>
      </c>
      <c r="N193" s="4" t="n">
        <v>85000</v>
      </c>
      <c r="O193" s="4" t="n">
        <v>170000</v>
      </c>
      <c r="P193" s="4" t="n">
        <f aca="false">H193+I193</f>
        <v>730000</v>
      </c>
      <c r="Q193" s="4" t="n">
        <f aca="false">N193+O193</f>
        <v>255000</v>
      </c>
      <c r="R193" s="4" t="n">
        <f aca="false">G193+P193-Q193</f>
        <v>8975000</v>
      </c>
      <c r="S193" s="2" t="n">
        <f aca="false">DATEDIF(E193,$Y$1,"y")</f>
        <v>5</v>
      </c>
      <c r="T193" s="2" t="str">
        <f aca="false">IF(S193&gt;=5,"Senior",IF(S193&gt;=1,"Menengah","Baru"))</f>
        <v>Senior</v>
      </c>
      <c r="U193" s="9" t="n">
        <f aca="false">J193/(J193+K193+L193+M193)*100</f>
        <v>76.9230769230769</v>
      </c>
      <c r="V193" s="2" t="str">
        <f aca="false">IF(U193&gt;=95,"Baik",IF(U193&gt;=85,"Cukup","Perlu Perhatian"))</f>
        <v>Perlu Perhatian</v>
      </c>
    </row>
    <row r="194" customFormat="false" ht="15" hidden="false" customHeight="false" outlineLevel="0" collapsed="false">
      <c r="A194" s="2" t="s">
        <v>595</v>
      </c>
      <c r="B194" s="2" t="s">
        <v>81</v>
      </c>
      <c r="C194" s="2" t="s">
        <v>47</v>
      </c>
      <c r="D194" s="2" t="s">
        <v>113</v>
      </c>
      <c r="E194" s="3" t="s">
        <v>64</v>
      </c>
      <c r="F194" s="2" t="s">
        <v>26</v>
      </c>
      <c r="G194" s="4" t="n">
        <v>4500000</v>
      </c>
      <c r="H194" s="4" t="n">
        <v>400000</v>
      </c>
      <c r="I194" s="4" t="n">
        <v>300000</v>
      </c>
      <c r="J194" s="2" t="n">
        <v>22</v>
      </c>
      <c r="K194" s="2" t="n">
        <v>2</v>
      </c>
      <c r="L194" s="2" t="n">
        <v>0</v>
      </c>
      <c r="M194" s="2" t="n">
        <v>0</v>
      </c>
      <c r="N194" s="4" t="n">
        <v>45000</v>
      </c>
      <c r="O194" s="4" t="n">
        <v>90000</v>
      </c>
      <c r="P194" s="4" t="n">
        <f aca="false">H194+I194</f>
        <v>700000</v>
      </c>
      <c r="Q194" s="4" t="n">
        <f aca="false">N194+O194</f>
        <v>135000</v>
      </c>
      <c r="R194" s="4" t="n">
        <f aca="false">G194+P194-Q194</f>
        <v>5065000</v>
      </c>
      <c r="S194" s="2" t="n">
        <f aca="false">DATEDIF(E194,$Y$1,"y")</f>
        <v>0</v>
      </c>
      <c r="T194" s="2" t="str">
        <f aca="false">IF(S194&gt;=5,"Senior",IF(S194&gt;=1,"Menengah","Baru"))</f>
        <v>Baru</v>
      </c>
      <c r="U194" s="9" t="n">
        <f aca="false">J194/(J194+K194+L194+M194)*100</f>
        <v>91.6666666666667</v>
      </c>
      <c r="V194" s="2" t="str">
        <f aca="false">IF(U194&gt;=95,"Baik",IF(U194&gt;=85,"Cukup","Perlu Perhatian"))</f>
        <v>Cukup</v>
      </c>
    </row>
    <row r="195" customFormat="false" ht="15" hidden="false" customHeight="false" outlineLevel="0" collapsed="false">
      <c r="A195" s="2" t="s">
        <v>596</v>
      </c>
      <c r="B195" s="2" t="s">
        <v>597</v>
      </c>
      <c r="C195" s="2" t="s">
        <v>196</v>
      </c>
      <c r="D195" s="2" t="s">
        <v>204</v>
      </c>
      <c r="E195" s="3" t="s">
        <v>598</v>
      </c>
      <c r="F195" s="2" t="s">
        <v>20</v>
      </c>
      <c r="G195" s="4" t="n">
        <v>9500000</v>
      </c>
      <c r="H195" s="4" t="n">
        <v>300000</v>
      </c>
      <c r="I195" s="4" t="n">
        <v>250000</v>
      </c>
      <c r="J195" s="2" t="n">
        <v>20</v>
      </c>
      <c r="K195" s="2" t="n">
        <v>3</v>
      </c>
      <c r="L195" s="2" t="n">
        <v>0</v>
      </c>
      <c r="M195" s="2" t="n">
        <v>1</v>
      </c>
      <c r="N195" s="4" t="n">
        <v>95000</v>
      </c>
      <c r="O195" s="4" t="n">
        <v>190000</v>
      </c>
      <c r="P195" s="4" t="n">
        <f aca="false">H195+I195</f>
        <v>550000</v>
      </c>
      <c r="Q195" s="4" t="n">
        <f aca="false">N195+O195</f>
        <v>285000</v>
      </c>
      <c r="R195" s="4" t="n">
        <f aca="false">G195+P195-Q195</f>
        <v>9765000</v>
      </c>
      <c r="S195" s="2" t="n">
        <f aca="false">DATEDIF(E195,$Y$1,"y")</f>
        <v>1</v>
      </c>
      <c r="T195" s="2" t="str">
        <f aca="false">IF(S195&gt;=5,"Senior",IF(S195&gt;=1,"Menengah","Baru"))</f>
        <v>Menengah</v>
      </c>
      <c r="U195" s="9" t="n">
        <f aca="false">J195/(J195+K195+L195+M195)*100</f>
        <v>83.3333333333333</v>
      </c>
      <c r="V195" s="2" t="str">
        <f aca="false">IF(U195&gt;=95,"Baik",IF(U195&gt;=85,"Cukup","Perlu Perhatian"))</f>
        <v>Perlu Perhatian</v>
      </c>
    </row>
    <row r="196" customFormat="false" ht="15" hidden="false" customHeight="false" outlineLevel="0" collapsed="false">
      <c r="A196" s="2" t="s">
        <v>599</v>
      </c>
      <c r="B196" s="2" t="s">
        <v>600</v>
      </c>
      <c r="C196" s="2" t="s">
        <v>52</v>
      </c>
      <c r="D196" s="2" t="s">
        <v>53</v>
      </c>
      <c r="E196" s="3" t="s">
        <v>601</v>
      </c>
      <c r="F196" s="2" t="s">
        <v>26</v>
      </c>
      <c r="G196" s="4" t="n">
        <v>4200000</v>
      </c>
      <c r="H196" s="4" t="n">
        <v>350000</v>
      </c>
      <c r="I196" s="4" t="n">
        <v>250000</v>
      </c>
      <c r="J196" s="2" t="n">
        <v>22</v>
      </c>
      <c r="K196" s="2" t="n">
        <v>3</v>
      </c>
      <c r="L196" s="2" t="n">
        <v>3</v>
      </c>
      <c r="M196" s="2" t="n">
        <v>0</v>
      </c>
      <c r="N196" s="4" t="n">
        <v>42000</v>
      </c>
      <c r="O196" s="4" t="n">
        <v>84000</v>
      </c>
      <c r="P196" s="4" t="n">
        <f aca="false">H196+I196</f>
        <v>600000</v>
      </c>
      <c r="Q196" s="4" t="n">
        <f aca="false">N196+O196</f>
        <v>126000</v>
      </c>
      <c r="R196" s="4" t="n">
        <f aca="false">G196+P196-Q196</f>
        <v>4674000</v>
      </c>
      <c r="S196" s="2" t="n">
        <f aca="false">DATEDIF(E196,$Y$1,"y")</f>
        <v>1</v>
      </c>
      <c r="T196" s="2" t="str">
        <f aca="false">IF(S196&gt;=5,"Senior",IF(S196&gt;=1,"Menengah","Baru"))</f>
        <v>Menengah</v>
      </c>
      <c r="U196" s="9" t="n">
        <f aca="false">J196/(J196+K196+L196+M196)*100</f>
        <v>78.5714285714286</v>
      </c>
      <c r="V196" s="2" t="str">
        <f aca="false">IF(U196&gt;=95,"Baik",IF(U196&gt;=85,"Cukup","Perlu Perhatian"))</f>
        <v>Perlu Perhatian</v>
      </c>
    </row>
    <row r="197" customFormat="false" ht="15" hidden="false" customHeight="false" outlineLevel="0" collapsed="false">
      <c r="A197" s="2" t="s">
        <v>602</v>
      </c>
      <c r="B197" s="2" t="s">
        <v>216</v>
      </c>
      <c r="C197" s="2" t="s">
        <v>86</v>
      </c>
      <c r="D197" s="2" t="s">
        <v>106</v>
      </c>
      <c r="E197" s="3" t="s">
        <v>603</v>
      </c>
      <c r="F197" s="2" t="s">
        <v>26</v>
      </c>
      <c r="G197" s="4" t="n">
        <v>7200000</v>
      </c>
      <c r="H197" s="4" t="n">
        <v>350000</v>
      </c>
      <c r="I197" s="4" t="n">
        <v>250000</v>
      </c>
      <c r="J197" s="2" t="n">
        <v>23</v>
      </c>
      <c r="K197" s="2" t="n">
        <v>1</v>
      </c>
      <c r="L197" s="2" t="n">
        <v>0</v>
      </c>
      <c r="M197" s="2" t="n">
        <v>0</v>
      </c>
      <c r="N197" s="4" t="n">
        <v>72000</v>
      </c>
      <c r="O197" s="4" t="n">
        <v>144000</v>
      </c>
      <c r="P197" s="4" t="n">
        <f aca="false">H197+I197</f>
        <v>600000</v>
      </c>
      <c r="Q197" s="4" t="n">
        <f aca="false">N197+O197</f>
        <v>216000</v>
      </c>
      <c r="R197" s="4" t="n">
        <f aca="false">G197+P197-Q197</f>
        <v>7584000</v>
      </c>
      <c r="S197" s="2" t="n">
        <f aca="false">DATEDIF(E197,$Y$1,"y")</f>
        <v>4</v>
      </c>
      <c r="T197" s="2" t="str">
        <f aca="false">IF(S197&gt;=5,"Senior",IF(S197&gt;=1,"Menengah","Baru"))</f>
        <v>Menengah</v>
      </c>
      <c r="U197" s="9" t="n">
        <f aca="false">J197/(J197+K197+L197+M197)*100</f>
        <v>95.8333333333333</v>
      </c>
      <c r="V197" s="2" t="str">
        <f aca="false">IF(U197&gt;=95,"Baik",IF(U197&gt;=85,"Cukup","Perlu Perhatian"))</f>
        <v>Baik</v>
      </c>
    </row>
    <row r="198" customFormat="false" ht="15" hidden="false" customHeight="false" outlineLevel="0" collapsed="false">
      <c r="A198" s="2" t="s">
        <v>604</v>
      </c>
      <c r="B198" s="2" t="s">
        <v>605</v>
      </c>
      <c r="C198" s="2" t="s">
        <v>68</v>
      </c>
      <c r="D198" s="2" t="s">
        <v>217</v>
      </c>
      <c r="E198" s="3" t="s">
        <v>606</v>
      </c>
      <c r="F198" s="2" t="s">
        <v>26</v>
      </c>
      <c r="G198" s="4" t="n">
        <v>4200000</v>
      </c>
      <c r="H198" s="4" t="n">
        <v>300000</v>
      </c>
      <c r="I198" s="4" t="n">
        <v>300000</v>
      </c>
      <c r="J198" s="2" t="n">
        <v>18</v>
      </c>
      <c r="K198" s="2" t="n">
        <v>2</v>
      </c>
      <c r="L198" s="2" t="n">
        <v>3</v>
      </c>
      <c r="M198" s="2" t="n">
        <v>1</v>
      </c>
      <c r="N198" s="4" t="n">
        <v>42000</v>
      </c>
      <c r="O198" s="4" t="n">
        <v>84000</v>
      </c>
      <c r="P198" s="4" t="n">
        <f aca="false">H198+I198</f>
        <v>600000</v>
      </c>
      <c r="Q198" s="4" t="n">
        <f aca="false">N198+O198</f>
        <v>126000</v>
      </c>
      <c r="R198" s="4" t="n">
        <f aca="false">G198+P198-Q198</f>
        <v>4674000</v>
      </c>
      <c r="S198" s="2" t="n">
        <f aca="false">DATEDIF(E198,$Y$1,"y")</f>
        <v>6</v>
      </c>
      <c r="T198" s="2" t="str">
        <f aca="false">IF(S198&gt;=5,"Senior",IF(S198&gt;=1,"Menengah","Baru"))</f>
        <v>Senior</v>
      </c>
      <c r="U198" s="9" t="n">
        <f aca="false">J198/(J198+K198+L198+M198)*100</f>
        <v>75</v>
      </c>
      <c r="V198" s="2" t="str">
        <f aca="false">IF(U198&gt;=95,"Baik",IF(U198&gt;=85,"Cukup","Perlu Perhatian"))</f>
        <v>Perlu Perhatian</v>
      </c>
    </row>
    <row r="199" customFormat="false" ht="15" hidden="false" customHeight="false" outlineLevel="0" collapsed="false">
      <c r="A199" s="2" t="s">
        <v>607</v>
      </c>
      <c r="B199" s="2" t="s">
        <v>608</v>
      </c>
      <c r="C199" s="2" t="s">
        <v>62</v>
      </c>
      <c r="D199" s="2" t="s">
        <v>63</v>
      </c>
      <c r="E199" s="3" t="s">
        <v>609</v>
      </c>
      <c r="F199" s="2" t="s">
        <v>26</v>
      </c>
      <c r="G199" s="4" t="n">
        <v>7200000</v>
      </c>
      <c r="H199" s="4" t="n">
        <v>350000</v>
      </c>
      <c r="I199" s="4" t="n">
        <v>250000</v>
      </c>
      <c r="J199" s="2" t="n">
        <v>23</v>
      </c>
      <c r="K199" s="2" t="n">
        <v>1</v>
      </c>
      <c r="L199" s="2" t="n">
        <v>2</v>
      </c>
      <c r="M199" s="2" t="n">
        <v>0</v>
      </c>
      <c r="N199" s="4" t="n">
        <v>72000</v>
      </c>
      <c r="O199" s="4" t="n">
        <v>144000</v>
      </c>
      <c r="P199" s="4" t="n">
        <f aca="false">H199+I199</f>
        <v>600000</v>
      </c>
      <c r="Q199" s="4" t="n">
        <f aca="false">N199+O199</f>
        <v>216000</v>
      </c>
      <c r="R199" s="4" t="n">
        <f aca="false">G199+P199-Q199</f>
        <v>7584000</v>
      </c>
      <c r="S199" s="2" t="n">
        <f aca="false">DATEDIF(E199,$Y$1,"y")</f>
        <v>3</v>
      </c>
      <c r="T199" s="2" t="str">
        <f aca="false">IF(S199&gt;=5,"Senior",IF(S199&gt;=1,"Menengah","Baru"))</f>
        <v>Menengah</v>
      </c>
      <c r="U199" s="9" t="n">
        <f aca="false">J199/(J199+K199+L199+M199)*100</f>
        <v>88.4615384615385</v>
      </c>
      <c r="V199" s="2" t="str">
        <f aca="false">IF(U199&gt;=95,"Baik",IF(U199&gt;=85,"Cukup","Perlu Perhatian"))</f>
        <v>Cukup</v>
      </c>
    </row>
    <row r="200" customFormat="false" ht="15" hidden="false" customHeight="false" outlineLevel="0" collapsed="false">
      <c r="A200" s="2" t="s">
        <v>610</v>
      </c>
      <c r="B200" s="2" t="s">
        <v>611</v>
      </c>
      <c r="C200" s="2" t="s">
        <v>86</v>
      </c>
      <c r="D200" s="2" t="s">
        <v>106</v>
      </c>
      <c r="E200" s="3" t="s">
        <v>612</v>
      </c>
      <c r="F200" s="2" t="s">
        <v>20</v>
      </c>
      <c r="G200" s="4" t="n">
        <v>5200000</v>
      </c>
      <c r="H200" s="4" t="n">
        <v>300000</v>
      </c>
      <c r="I200" s="4" t="n">
        <v>250000</v>
      </c>
      <c r="J200" s="2" t="n">
        <v>20</v>
      </c>
      <c r="K200" s="2" t="n">
        <v>3</v>
      </c>
      <c r="L200" s="2" t="n">
        <v>3</v>
      </c>
      <c r="M200" s="2" t="n">
        <v>0</v>
      </c>
      <c r="N200" s="4" t="n">
        <v>52000</v>
      </c>
      <c r="O200" s="4" t="n">
        <v>104000</v>
      </c>
      <c r="P200" s="4" t="n">
        <f aca="false">H200+I200</f>
        <v>550000</v>
      </c>
      <c r="Q200" s="4" t="n">
        <f aca="false">N200+O200</f>
        <v>156000</v>
      </c>
      <c r="R200" s="4" t="n">
        <f aca="false">G200+P200-Q200</f>
        <v>5594000</v>
      </c>
      <c r="S200" s="2" t="n">
        <f aca="false">DATEDIF(E200,$Y$1,"y")</f>
        <v>1</v>
      </c>
      <c r="T200" s="2" t="str">
        <f aca="false">IF(S200&gt;=5,"Senior",IF(S200&gt;=1,"Menengah","Baru"))</f>
        <v>Menengah</v>
      </c>
      <c r="U200" s="9" t="n">
        <f aca="false">J200/(J200+K200+L200+M200)*100</f>
        <v>76.9230769230769</v>
      </c>
      <c r="V200" s="2" t="str">
        <f aca="false">IF(U200&gt;=95,"Baik",IF(U200&gt;=85,"Cukup","Perlu Perhatian"))</f>
        <v>Perlu Perhatian</v>
      </c>
    </row>
    <row r="201" customFormat="false" ht="15" hidden="false" customHeight="false" outlineLevel="0" collapsed="false">
      <c r="A201" s="2" t="s">
        <v>613</v>
      </c>
      <c r="B201" s="2" t="s">
        <v>614</v>
      </c>
      <c r="C201" s="2" t="s">
        <v>47</v>
      </c>
      <c r="D201" s="2" t="s">
        <v>48</v>
      </c>
      <c r="E201" s="3" t="s">
        <v>615</v>
      </c>
      <c r="F201" s="2" t="s">
        <v>20</v>
      </c>
      <c r="G201" s="4" t="n">
        <v>5800000</v>
      </c>
      <c r="H201" s="4" t="n">
        <v>300000</v>
      </c>
      <c r="I201" s="4" t="n">
        <v>330000</v>
      </c>
      <c r="J201" s="2" t="n">
        <v>24</v>
      </c>
      <c r="K201" s="2" t="n">
        <v>0</v>
      </c>
      <c r="L201" s="2" t="n">
        <v>0</v>
      </c>
      <c r="M201" s="2" t="n">
        <v>0</v>
      </c>
      <c r="N201" s="4" t="n">
        <v>58000</v>
      </c>
      <c r="O201" s="4" t="n">
        <v>116000</v>
      </c>
      <c r="P201" s="4" t="n">
        <f aca="false">H201+I201</f>
        <v>630000</v>
      </c>
      <c r="Q201" s="4" t="n">
        <f aca="false">N201+O201</f>
        <v>174000</v>
      </c>
      <c r="R201" s="4" t="n">
        <f aca="false">G201+P201-Q201</f>
        <v>6256000</v>
      </c>
      <c r="S201" s="2" t="n">
        <f aca="false">DATEDIF(E201,$Y$1,"y")</f>
        <v>2</v>
      </c>
      <c r="T201" s="2" t="str">
        <f aca="false">IF(S201&gt;=5,"Senior",IF(S201&gt;=1,"Menengah","Baru"))</f>
        <v>Menengah</v>
      </c>
      <c r="U201" s="9" t="n">
        <f aca="false">J201/(J201+K201+L201+M201)*100</f>
        <v>100</v>
      </c>
      <c r="V201" s="2" t="str">
        <f aca="false">IF(U201&gt;=95,"Baik",IF(U201&gt;=85,"Cukup","Perlu Perhatian"))</f>
        <v>Baik</v>
      </c>
    </row>
    <row r="202" customFormat="false" ht="15" hidden="false" customHeight="false" outlineLevel="0" collapsed="false">
      <c r="A202" s="2" t="s">
        <v>616</v>
      </c>
      <c r="B202" s="2" t="s">
        <v>617</v>
      </c>
      <c r="C202" s="2" t="s">
        <v>196</v>
      </c>
      <c r="D202" s="2" t="s">
        <v>523</v>
      </c>
      <c r="E202" s="3" t="s">
        <v>618</v>
      </c>
      <c r="F202" s="2" t="s">
        <v>20</v>
      </c>
      <c r="G202" s="4" t="n">
        <v>4200000</v>
      </c>
      <c r="H202" s="4" t="n">
        <v>350000</v>
      </c>
      <c r="I202" s="4" t="n">
        <v>330000</v>
      </c>
      <c r="J202" s="2" t="n">
        <v>23</v>
      </c>
      <c r="K202" s="2" t="n">
        <v>0</v>
      </c>
      <c r="L202" s="2" t="n">
        <v>1</v>
      </c>
      <c r="M202" s="2" t="n">
        <v>0</v>
      </c>
      <c r="N202" s="4" t="n">
        <v>42000</v>
      </c>
      <c r="O202" s="4" t="n">
        <v>84000</v>
      </c>
      <c r="P202" s="4" t="n">
        <f aca="false">H202+I202</f>
        <v>680000</v>
      </c>
      <c r="Q202" s="4" t="n">
        <f aca="false">N202+O202</f>
        <v>126000</v>
      </c>
      <c r="R202" s="4" t="n">
        <f aca="false">G202+P202-Q202</f>
        <v>4754000</v>
      </c>
      <c r="S202" s="2" t="n">
        <f aca="false">DATEDIF(E202,$Y$1,"y")</f>
        <v>5</v>
      </c>
      <c r="T202" s="2" t="str">
        <f aca="false">IF(S202&gt;=5,"Senior",IF(S202&gt;=1,"Menengah","Baru"))</f>
        <v>Senior</v>
      </c>
      <c r="U202" s="9" t="n">
        <f aca="false">J202/(J202+K202+L202+M202)*100</f>
        <v>95.8333333333333</v>
      </c>
      <c r="V202" s="2" t="str">
        <f aca="false">IF(U202&gt;=95,"Baik",IF(U202&gt;=85,"Cukup","Perlu Perhatian"))</f>
        <v>Baik</v>
      </c>
    </row>
    <row r="203" customFormat="false" ht="15" hidden="false" customHeight="false" outlineLevel="0" collapsed="false">
      <c r="A203" s="2" t="s">
        <v>619</v>
      </c>
      <c r="B203" s="2" t="s">
        <v>620</v>
      </c>
      <c r="C203" s="2" t="s">
        <v>52</v>
      </c>
      <c r="D203" s="2" t="s">
        <v>53</v>
      </c>
      <c r="E203" s="3" t="s">
        <v>621</v>
      </c>
      <c r="F203" s="2" t="s">
        <v>20</v>
      </c>
      <c r="G203" s="4" t="n">
        <v>4200000</v>
      </c>
      <c r="H203" s="4" t="n">
        <v>300000</v>
      </c>
      <c r="I203" s="4" t="n">
        <v>330000</v>
      </c>
      <c r="J203" s="2" t="n">
        <v>20</v>
      </c>
      <c r="K203" s="2" t="n">
        <v>1</v>
      </c>
      <c r="L203" s="2" t="n">
        <v>2</v>
      </c>
      <c r="M203" s="2" t="n">
        <v>1</v>
      </c>
      <c r="N203" s="4" t="n">
        <v>42000</v>
      </c>
      <c r="O203" s="4" t="n">
        <v>84000</v>
      </c>
      <c r="P203" s="4" t="n">
        <f aca="false">H203+I203</f>
        <v>630000</v>
      </c>
      <c r="Q203" s="4" t="n">
        <f aca="false">N203+O203</f>
        <v>126000</v>
      </c>
      <c r="R203" s="4" t="n">
        <f aca="false">G203+P203-Q203</f>
        <v>4704000</v>
      </c>
      <c r="S203" s="2" t="n">
        <f aca="false">DATEDIF(E203,$Y$1,"y")</f>
        <v>1</v>
      </c>
      <c r="T203" s="2" t="str">
        <f aca="false">IF(S203&gt;=5,"Senior",IF(S203&gt;=1,"Menengah","Baru"))</f>
        <v>Menengah</v>
      </c>
      <c r="U203" s="9" t="n">
        <f aca="false">J203/(J203+K203+L203+M203)*100</f>
        <v>83.3333333333333</v>
      </c>
      <c r="V203" s="2" t="str">
        <f aca="false">IF(U203&gt;=95,"Baik",IF(U203&gt;=85,"Cukup","Perlu Perhatian"))</f>
        <v>Perlu Perhatian</v>
      </c>
    </row>
    <row r="204" customFormat="false" ht="15" hidden="false" customHeight="false" outlineLevel="0" collapsed="false">
      <c r="A204" s="2" t="s">
        <v>622</v>
      </c>
      <c r="B204" s="2" t="s">
        <v>623</v>
      </c>
      <c r="C204" s="2" t="s">
        <v>68</v>
      </c>
      <c r="D204" s="2" t="s">
        <v>69</v>
      </c>
      <c r="E204" s="3" t="s">
        <v>624</v>
      </c>
      <c r="F204" s="2" t="s">
        <v>26</v>
      </c>
      <c r="G204" s="4" t="n">
        <v>9500000</v>
      </c>
      <c r="H204" s="4" t="n">
        <v>300000</v>
      </c>
      <c r="I204" s="4" t="n">
        <v>300000</v>
      </c>
      <c r="J204" s="2" t="n">
        <v>20</v>
      </c>
      <c r="K204" s="2" t="n">
        <v>2</v>
      </c>
      <c r="L204" s="2" t="n">
        <v>0</v>
      </c>
      <c r="M204" s="2" t="n">
        <v>2</v>
      </c>
      <c r="N204" s="4" t="n">
        <v>95000</v>
      </c>
      <c r="O204" s="4" t="n">
        <v>190000</v>
      </c>
      <c r="P204" s="4" t="n">
        <f aca="false">H204+I204</f>
        <v>600000</v>
      </c>
      <c r="Q204" s="4" t="n">
        <f aca="false">N204+O204</f>
        <v>285000</v>
      </c>
      <c r="R204" s="4" t="n">
        <f aca="false">G204+P204-Q204</f>
        <v>9815000</v>
      </c>
      <c r="S204" s="2" t="n">
        <f aca="false">DATEDIF(E204,$Y$1,"y")</f>
        <v>4</v>
      </c>
      <c r="T204" s="2" t="str">
        <f aca="false">IF(S204&gt;=5,"Senior",IF(S204&gt;=1,"Menengah","Baru"))</f>
        <v>Menengah</v>
      </c>
      <c r="U204" s="9" t="n">
        <f aca="false">J204/(J204+K204+L204+M204)*100</f>
        <v>83.3333333333333</v>
      </c>
      <c r="V204" s="2" t="str">
        <f aca="false">IF(U204&gt;=95,"Baik",IF(U204&gt;=85,"Cukup","Perlu Perhatian"))</f>
        <v>Perlu Perhatian</v>
      </c>
    </row>
    <row r="205" customFormat="false" ht="15" hidden="false" customHeight="false" outlineLevel="0" collapsed="false">
      <c r="A205" s="2" t="s">
        <v>625</v>
      </c>
      <c r="B205" s="2" t="s">
        <v>626</v>
      </c>
      <c r="C205" s="2" t="s">
        <v>57</v>
      </c>
      <c r="D205" s="2" t="s">
        <v>58</v>
      </c>
      <c r="E205" s="3" t="s">
        <v>627</v>
      </c>
      <c r="F205" s="2" t="s">
        <v>26</v>
      </c>
      <c r="G205" s="4" t="n">
        <v>4200000</v>
      </c>
      <c r="H205" s="4" t="n">
        <v>350000</v>
      </c>
      <c r="I205" s="4" t="n">
        <v>330000</v>
      </c>
      <c r="J205" s="2" t="n">
        <v>23</v>
      </c>
      <c r="K205" s="2" t="n">
        <v>3</v>
      </c>
      <c r="L205" s="2" t="n">
        <v>2</v>
      </c>
      <c r="M205" s="2" t="n">
        <v>0</v>
      </c>
      <c r="N205" s="4" t="n">
        <v>42000</v>
      </c>
      <c r="O205" s="4" t="n">
        <v>84000</v>
      </c>
      <c r="P205" s="4" t="n">
        <f aca="false">H205+I205</f>
        <v>680000</v>
      </c>
      <c r="Q205" s="4" t="n">
        <f aca="false">N205+O205</f>
        <v>126000</v>
      </c>
      <c r="R205" s="4" t="n">
        <f aca="false">G205+P205-Q205</f>
        <v>4754000</v>
      </c>
      <c r="S205" s="2" t="n">
        <f aca="false">DATEDIF(E205,$Y$1,"y")</f>
        <v>2</v>
      </c>
      <c r="T205" s="2" t="str">
        <f aca="false">IF(S205&gt;=5,"Senior",IF(S205&gt;=1,"Menengah","Baru"))</f>
        <v>Menengah</v>
      </c>
      <c r="U205" s="9" t="n">
        <f aca="false">J205/(J205+K205+L205+M205)*100</f>
        <v>82.1428571428571</v>
      </c>
      <c r="V205" s="2" t="str">
        <f aca="false">IF(U205&gt;=95,"Baik",IF(U205&gt;=85,"Cukup","Perlu Perhatian"))</f>
        <v>Perlu Perhatian</v>
      </c>
    </row>
    <row r="206" customFormat="false" ht="15" hidden="false" customHeight="false" outlineLevel="0" collapsed="false">
      <c r="A206" s="2" t="s">
        <v>628</v>
      </c>
      <c r="B206" s="2" t="s">
        <v>629</v>
      </c>
      <c r="C206" s="2" t="s">
        <v>57</v>
      </c>
      <c r="D206" s="2" t="s">
        <v>137</v>
      </c>
      <c r="E206" s="3" t="s">
        <v>630</v>
      </c>
      <c r="F206" s="2" t="s">
        <v>20</v>
      </c>
      <c r="G206" s="4" t="n">
        <v>9500000</v>
      </c>
      <c r="H206" s="4" t="n">
        <v>350000</v>
      </c>
      <c r="I206" s="4" t="n">
        <v>250000</v>
      </c>
      <c r="J206" s="2" t="n">
        <v>24</v>
      </c>
      <c r="K206" s="2" t="n">
        <v>1</v>
      </c>
      <c r="L206" s="2" t="n">
        <v>2</v>
      </c>
      <c r="M206" s="2" t="n">
        <v>0</v>
      </c>
      <c r="N206" s="4" t="n">
        <v>95000</v>
      </c>
      <c r="O206" s="4" t="n">
        <v>190000</v>
      </c>
      <c r="P206" s="4" t="n">
        <f aca="false">H206+I206</f>
        <v>600000</v>
      </c>
      <c r="Q206" s="4" t="n">
        <f aca="false">N206+O206</f>
        <v>285000</v>
      </c>
      <c r="R206" s="4" t="n">
        <f aca="false">G206+P206-Q206</f>
        <v>9815000</v>
      </c>
      <c r="S206" s="2" t="n">
        <f aca="false">DATEDIF(E206,$Y$1,"y")</f>
        <v>3</v>
      </c>
      <c r="T206" s="2" t="str">
        <f aca="false">IF(S206&gt;=5,"Senior",IF(S206&gt;=1,"Menengah","Baru"))</f>
        <v>Menengah</v>
      </c>
      <c r="U206" s="9" t="n">
        <f aca="false">J206/(J206+K206+L206+M206)*100</f>
        <v>88.8888888888889</v>
      </c>
      <c r="V206" s="2" t="str">
        <f aca="false">IF(U206&gt;=95,"Baik",IF(U206&gt;=85,"Cukup","Perlu Perhatian"))</f>
        <v>Cukup</v>
      </c>
    </row>
    <row r="207" customFormat="false" ht="15" hidden="false" customHeight="false" outlineLevel="0" collapsed="false">
      <c r="A207" s="2" t="s">
        <v>631</v>
      </c>
      <c r="B207" s="2" t="s">
        <v>632</v>
      </c>
      <c r="C207" s="2" t="s">
        <v>196</v>
      </c>
      <c r="D207" s="2" t="s">
        <v>204</v>
      </c>
      <c r="E207" s="3" t="s">
        <v>633</v>
      </c>
      <c r="F207" s="2" t="s">
        <v>65</v>
      </c>
      <c r="G207" s="4" t="n">
        <v>9500000</v>
      </c>
      <c r="H207" s="4" t="n">
        <v>400000</v>
      </c>
      <c r="I207" s="4" t="n">
        <v>250000</v>
      </c>
      <c r="J207" s="2" t="n">
        <v>21</v>
      </c>
      <c r="K207" s="2" t="n">
        <v>1</v>
      </c>
      <c r="L207" s="2" t="n">
        <v>2</v>
      </c>
      <c r="M207" s="2" t="n">
        <v>0</v>
      </c>
      <c r="N207" s="4" t="n">
        <v>95000</v>
      </c>
      <c r="O207" s="4" t="n">
        <v>190000</v>
      </c>
      <c r="P207" s="4" t="n">
        <f aca="false">H207+I207</f>
        <v>650000</v>
      </c>
      <c r="Q207" s="4" t="n">
        <f aca="false">N207+O207</f>
        <v>285000</v>
      </c>
      <c r="R207" s="4" t="n">
        <f aca="false">G207+P207-Q207</f>
        <v>9865000</v>
      </c>
      <c r="S207" s="2" t="n">
        <f aca="false">DATEDIF(E207,$Y$1,"y")</f>
        <v>2</v>
      </c>
      <c r="T207" s="2" t="str">
        <f aca="false">IF(S207&gt;=5,"Senior",IF(S207&gt;=1,"Menengah","Baru"))</f>
        <v>Menengah</v>
      </c>
      <c r="U207" s="9" t="n">
        <f aca="false">J207/(J207+K207+L207+M207)*100</f>
        <v>87.5</v>
      </c>
      <c r="V207" s="2" t="str">
        <f aca="false">IF(U207&gt;=95,"Baik",IF(U207&gt;=85,"Cukup","Perlu Perhatian"))</f>
        <v>Cukup</v>
      </c>
    </row>
    <row r="208" customFormat="false" ht="15" hidden="false" customHeight="false" outlineLevel="0" collapsed="false">
      <c r="A208" s="2" t="s">
        <v>634</v>
      </c>
      <c r="B208" s="2" t="s">
        <v>116</v>
      </c>
      <c r="C208" s="2" t="s">
        <v>23</v>
      </c>
      <c r="D208" s="2" t="s">
        <v>32</v>
      </c>
      <c r="E208" s="3" t="s">
        <v>635</v>
      </c>
      <c r="F208" s="2" t="s">
        <v>20</v>
      </c>
      <c r="G208" s="4" t="n">
        <v>5200000</v>
      </c>
      <c r="H208" s="4" t="n">
        <v>300000</v>
      </c>
      <c r="I208" s="4" t="n">
        <v>300000</v>
      </c>
      <c r="J208" s="2" t="n">
        <v>21</v>
      </c>
      <c r="K208" s="2" t="n">
        <v>0</v>
      </c>
      <c r="L208" s="2" t="n">
        <v>0</v>
      </c>
      <c r="M208" s="2" t="n">
        <v>3</v>
      </c>
      <c r="N208" s="4" t="n">
        <v>52000</v>
      </c>
      <c r="O208" s="4" t="n">
        <v>104000</v>
      </c>
      <c r="P208" s="4" t="n">
        <f aca="false">H208+I208</f>
        <v>600000</v>
      </c>
      <c r="Q208" s="4" t="n">
        <f aca="false">N208+O208</f>
        <v>156000</v>
      </c>
      <c r="R208" s="4" t="n">
        <f aca="false">G208+P208-Q208</f>
        <v>5644000</v>
      </c>
      <c r="S208" s="2" t="n">
        <f aca="false">DATEDIF(E208,$Y$1,"y")</f>
        <v>3</v>
      </c>
      <c r="T208" s="2" t="str">
        <f aca="false">IF(S208&gt;=5,"Senior",IF(S208&gt;=1,"Menengah","Baru"))</f>
        <v>Menengah</v>
      </c>
      <c r="U208" s="9" t="n">
        <f aca="false">J208/(J208+K208+L208+M208)*100</f>
        <v>87.5</v>
      </c>
      <c r="V208" s="2" t="str">
        <f aca="false">IF(U208&gt;=95,"Baik",IF(U208&gt;=85,"Cukup","Perlu Perhatian"))</f>
        <v>Cukup</v>
      </c>
    </row>
    <row r="209" customFormat="false" ht="15" hidden="false" customHeight="false" outlineLevel="0" collapsed="false">
      <c r="A209" s="2" t="s">
        <v>636</v>
      </c>
      <c r="B209" s="2" t="s">
        <v>637</v>
      </c>
      <c r="C209" s="2" t="s">
        <v>86</v>
      </c>
      <c r="D209" s="2" t="s">
        <v>87</v>
      </c>
      <c r="E209" s="3" t="s">
        <v>638</v>
      </c>
      <c r="F209" s="2" t="s">
        <v>20</v>
      </c>
      <c r="G209" s="4" t="n">
        <v>6500000</v>
      </c>
      <c r="H209" s="4" t="n">
        <v>350000</v>
      </c>
      <c r="I209" s="4" t="n">
        <v>250000</v>
      </c>
      <c r="J209" s="2" t="n">
        <v>19</v>
      </c>
      <c r="K209" s="2" t="n">
        <v>1</v>
      </c>
      <c r="L209" s="2" t="n">
        <v>0</v>
      </c>
      <c r="M209" s="2" t="n">
        <v>4</v>
      </c>
      <c r="N209" s="4" t="n">
        <v>65000</v>
      </c>
      <c r="O209" s="4" t="n">
        <v>130000</v>
      </c>
      <c r="P209" s="4" t="n">
        <f aca="false">H209+I209</f>
        <v>600000</v>
      </c>
      <c r="Q209" s="4" t="n">
        <f aca="false">N209+O209</f>
        <v>195000</v>
      </c>
      <c r="R209" s="4" t="n">
        <f aca="false">G209+P209-Q209</f>
        <v>6905000</v>
      </c>
      <c r="S209" s="2" t="n">
        <f aca="false">DATEDIF(E209,$Y$1,"y")</f>
        <v>2</v>
      </c>
      <c r="T209" s="2" t="str">
        <f aca="false">IF(S209&gt;=5,"Senior",IF(S209&gt;=1,"Menengah","Baru"))</f>
        <v>Menengah</v>
      </c>
      <c r="U209" s="9" t="n">
        <f aca="false">J209/(J209+K209+L209+M209)*100</f>
        <v>79.1666666666667</v>
      </c>
      <c r="V209" s="2" t="str">
        <f aca="false">IF(U209&gt;=95,"Baik",IF(U209&gt;=85,"Cukup","Perlu Perhatian"))</f>
        <v>Perlu Perhatian</v>
      </c>
    </row>
    <row r="210" customFormat="false" ht="15" hidden="false" customHeight="false" outlineLevel="0" collapsed="false">
      <c r="A210" s="2" t="s">
        <v>639</v>
      </c>
      <c r="B210" s="2" t="s">
        <v>640</v>
      </c>
      <c r="C210" s="2" t="s">
        <v>47</v>
      </c>
      <c r="D210" s="2" t="s">
        <v>117</v>
      </c>
      <c r="E210" s="3" t="s">
        <v>641</v>
      </c>
      <c r="F210" s="2" t="s">
        <v>26</v>
      </c>
      <c r="G210" s="4" t="n">
        <v>5800000</v>
      </c>
      <c r="H210" s="4" t="n">
        <v>350000</v>
      </c>
      <c r="I210" s="4" t="n">
        <v>300000</v>
      </c>
      <c r="J210" s="2" t="n">
        <v>22</v>
      </c>
      <c r="K210" s="2" t="n">
        <v>2</v>
      </c>
      <c r="L210" s="2" t="n">
        <v>2</v>
      </c>
      <c r="M210" s="2" t="n">
        <v>0</v>
      </c>
      <c r="N210" s="4" t="n">
        <v>58000</v>
      </c>
      <c r="O210" s="4" t="n">
        <v>116000</v>
      </c>
      <c r="P210" s="4" t="n">
        <f aca="false">H210+I210</f>
        <v>650000</v>
      </c>
      <c r="Q210" s="4" t="n">
        <f aca="false">N210+O210</f>
        <v>174000</v>
      </c>
      <c r="R210" s="4" t="n">
        <f aca="false">G210+P210-Q210</f>
        <v>6276000</v>
      </c>
      <c r="S210" s="2" t="n">
        <f aca="false">DATEDIF(E210,$Y$1,"y")</f>
        <v>4</v>
      </c>
      <c r="T210" s="2" t="str">
        <f aca="false">IF(S210&gt;=5,"Senior",IF(S210&gt;=1,"Menengah","Baru"))</f>
        <v>Menengah</v>
      </c>
      <c r="U210" s="9" t="n">
        <f aca="false">J210/(J210+K210+L210+M210)*100</f>
        <v>84.6153846153846</v>
      </c>
      <c r="V210" s="2" t="str">
        <f aca="false">IF(U210&gt;=95,"Baik",IF(U210&gt;=85,"Cukup","Perlu Perhatian"))</f>
        <v>Perlu Perhatian</v>
      </c>
    </row>
    <row r="211" customFormat="false" ht="15" hidden="false" customHeight="false" outlineLevel="0" collapsed="false">
      <c r="A211" s="2" t="s">
        <v>642</v>
      </c>
      <c r="B211" s="2" t="s">
        <v>210</v>
      </c>
      <c r="C211" s="2" t="s">
        <v>86</v>
      </c>
      <c r="D211" s="2" t="s">
        <v>106</v>
      </c>
      <c r="E211" s="3" t="s">
        <v>643</v>
      </c>
      <c r="F211" s="2" t="s">
        <v>20</v>
      </c>
      <c r="G211" s="4" t="n">
        <v>8500000</v>
      </c>
      <c r="H211" s="4" t="n">
        <v>350000</v>
      </c>
      <c r="I211" s="4" t="n">
        <v>250000</v>
      </c>
      <c r="J211" s="2" t="n">
        <v>20</v>
      </c>
      <c r="K211" s="2" t="n">
        <v>2</v>
      </c>
      <c r="L211" s="2" t="n">
        <v>3</v>
      </c>
      <c r="M211" s="2" t="n">
        <v>0</v>
      </c>
      <c r="N211" s="4" t="n">
        <v>85000</v>
      </c>
      <c r="O211" s="4" t="n">
        <v>170000</v>
      </c>
      <c r="P211" s="4" t="n">
        <f aca="false">H211+I211</f>
        <v>600000</v>
      </c>
      <c r="Q211" s="4" t="n">
        <f aca="false">N211+O211</f>
        <v>255000</v>
      </c>
      <c r="R211" s="4" t="n">
        <f aca="false">G211+P211-Q211</f>
        <v>8845000</v>
      </c>
      <c r="S211" s="2" t="n">
        <f aca="false">DATEDIF(E211,$Y$1,"y")</f>
        <v>2</v>
      </c>
      <c r="T211" s="2" t="str">
        <f aca="false">IF(S211&gt;=5,"Senior",IF(S211&gt;=1,"Menengah","Baru"))</f>
        <v>Menengah</v>
      </c>
      <c r="U211" s="9" t="n">
        <f aca="false">J211/(J211+K211+L211+M211)*100</f>
        <v>80</v>
      </c>
      <c r="V211" s="2" t="str">
        <f aca="false">IF(U211&gt;=95,"Baik",IF(U211&gt;=85,"Cukup","Perlu Perhatian"))</f>
        <v>Perlu Perhatian</v>
      </c>
    </row>
    <row r="212" customFormat="false" ht="15" hidden="false" customHeight="false" outlineLevel="0" collapsed="false">
      <c r="A212" s="2" t="s">
        <v>644</v>
      </c>
      <c r="B212" s="2" t="s">
        <v>645</v>
      </c>
      <c r="C212" s="2" t="s">
        <v>47</v>
      </c>
      <c r="D212" s="2" t="s">
        <v>113</v>
      </c>
      <c r="E212" s="3" t="s">
        <v>646</v>
      </c>
      <c r="F212" s="2" t="s">
        <v>20</v>
      </c>
      <c r="G212" s="4" t="n">
        <v>9500000</v>
      </c>
      <c r="H212" s="4" t="n">
        <v>400000</v>
      </c>
      <c r="I212" s="4" t="n">
        <v>330000</v>
      </c>
      <c r="J212" s="2" t="n">
        <v>23</v>
      </c>
      <c r="K212" s="2" t="n">
        <v>3</v>
      </c>
      <c r="L212" s="2" t="n">
        <v>2</v>
      </c>
      <c r="M212" s="2" t="n">
        <v>0</v>
      </c>
      <c r="N212" s="4" t="n">
        <v>95000</v>
      </c>
      <c r="O212" s="4" t="n">
        <v>190000</v>
      </c>
      <c r="P212" s="4" t="n">
        <f aca="false">H212+I212</f>
        <v>730000</v>
      </c>
      <c r="Q212" s="4" t="n">
        <f aca="false">N212+O212</f>
        <v>285000</v>
      </c>
      <c r="R212" s="4" t="n">
        <f aca="false">G212+P212-Q212</f>
        <v>9945000</v>
      </c>
      <c r="S212" s="2" t="n">
        <f aca="false">DATEDIF(E212,$Y$1,"y")</f>
        <v>5</v>
      </c>
      <c r="T212" s="2" t="str">
        <f aca="false">IF(S212&gt;=5,"Senior",IF(S212&gt;=1,"Menengah","Baru"))</f>
        <v>Senior</v>
      </c>
      <c r="U212" s="9" t="n">
        <f aca="false">J212/(J212+K212+L212+M212)*100</f>
        <v>82.1428571428571</v>
      </c>
      <c r="V212" s="2" t="str">
        <f aca="false">IF(U212&gt;=95,"Baik",IF(U212&gt;=85,"Cukup","Perlu Perhatian"))</f>
        <v>Perlu Perhatian</v>
      </c>
    </row>
    <row r="213" customFormat="false" ht="15" hidden="false" customHeight="false" outlineLevel="0" collapsed="false">
      <c r="A213" s="2" t="s">
        <v>647</v>
      </c>
      <c r="B213" s="2" t="s">
        <v>186</v>
      </c>
      <c r="C213" s="2" t="s">
        <v>68</v>
      </c>
      <c r="D213" s="2" t="s">
        <v>69</v>
      </c>
      <c r="E213" s="3" t="s">
        <v>648</v>
      </c>
      <c r="F213" s="2" t="s">
        <v>26</v>
      </c>
      <c r="G213" s="4" t="n">
        <v>5200000</v>
      </c>
      <c r="H213" s="4" t="n">
        <v>350000</v>
      </c>
      <c r="I213" s="4" t="n">
        <v>330000</v>
      </c>
      <c r="J213" s="2" t="n">
        <v>23</v>
      </c>
      <c r="K213" s="2" t="n">
        <v>2</v>
      </c>
      <c r="L213" s="2" t="n">
        <v>2</v>
      </c>
      <c r="M213" s="2" t="n">
        <v>0</v>
      </c>
      <c r="N213" s="4" t="n">
        <v>52000</v>
      </c>
      <c r="O213" s="4" t="n">
        <v>104000</v>
      </c>
      <c r="P213" s="4" t="n">
        <f aca="false">H213+I213</f>
        <v>680000</v>
      </c>
      <c r="Q213" s="4" t="n">
        <f aca="false">N213+O213</f>
        <v>156000</v>
      </c>
      <c r="R213" s="4" t="n">
        <f aca="false">G213+P213-Q213</f>
        <v>5724000</v>
      </c>
      <c r="S213" s="2" t="n">
        <f aca="false">DATEDIF(E213,$Y$1,"y")</f>
        <v>3</v>
      </c>
      <c r="T213" s="2" t="str">
        <f aca="false">IF(S213&gt;=5,"Senior",IF(S213&gt;=1,"Menengah","Baru"))</f>
        <v>Menengah</v>
      </c>
      <c r="U213" s="9" t="n">
        <f aca="false">J213/(J213+K213+L213+M213)*100</f>
        <v>85.1851851851852</v>
      </c>
      <c r="V213" s="2" t="str">
        <f aca="false">IF(U213&gt;=95,"Baik",IF(U213&gt;=85,"Cukup","Perlu Perhatian"))</f>
        <v>Cukup</v>
      </c>
    </row>
    <row r="214" customFormat="false" ht="15" hidden="false" customHeight="false" outlineLevel="0" collapsed="false">
      <c r="A214" s="2" t="s">
        <v>649</v>
      </c>
      <c r="B214" s="2" t="s">
        <v>650</v>
      </c>
      <c r="C214" s="2" t="s">
        <v>52</v>
      </c>
      <c r="D214" s="2" t="s">
        <v>53</v>
      </c>
      <c r="E214" s="3" t="s">
        <v>651</v>
      </c>
      <c r="F214" s="2" t="s">
        <v>20</v>
      </c>
      <c r="G214" s="4" t="n">
        <v>9500000</v>
      </c>
      <c r="H214" s="4" t="n">
        <v>350000</v>
      </c>
      <c r="I214" s="4" t="n">
        <v>250000</v>
      </c>
      <c r="J214" s="2" t="n">
        <v>22</v>
      </c>
      <c r="K214" s="2" t="n">
        <v>0</v>
      </c>
      <c r="L214" s="2" t="n">
        <v>0</v>
      </c>
      <c r="M214" s="2" t="n">
        <v>2</v>
      </c>
      <c r="N214" s="4" t="n">
        <v>95000</v>
      </c>
      <c r="O214" s="4" t="n">
        <v>190000</v>
      </c>
      <c r="P214" s="4" t="n">
        <f aca="false">H214+I214</f>
        <v>600000</v>
      </c>
      <c r="Q214" s="4" t="n">
        <f aca="false">N214+O214</f>
        <v>285000</v>
      </c>
      <c r="R214" s="4" t="n">
        <f aca="false">G214+P214-Q214</f>
        <v>9815000</v>
      </c>
      <c r="S214" s="2" t="n">
        <f aca="false">DATEDIF(E214,$Y$1,"y")</f>
        <v>3</v>
      </c>
      <c r="T214" s="2" t="str">
        <f aca="false">IF(S214&gt;=5,"Senior",IF(S214&gt;=1,"Menengah","Baru"))</f>
        <v>Menengah</v>
      </c>
      <c r="U214" s="9" t="n">
        <f aca="false">J214/(J214+K214+L214+M214)*100</f>
        <v>91.6666666666667</v>
      </c>
      <c r="V214" s="2" t="str">
        <f aca="false">IF(U214&gt;=95,"Baik",IF(U214&gt;=85,"Cukup","Perlu Perhatian"))</f>
        <v>Cukup</v>
      </c>
    </row>
    <row r="215" customFormat="false" ht="15" hidden="false" customHeight="false" outlineLevel="0" collapsed="false">
      <c r="A215" s="2" t="s">
        <v>652</v>
      </c>
      <c r="B215" s="2" t="s">
        <v>653</v>
      </c>
      <c r="C215" s="2" t="s">
        <v>196</v>
      </c>
      <c r="D215" s="2" t="s">
        <v>197</v>
      </c>
      <c r="E215" s="3" t="s">
        <v>493</v>
      </c>
      <c r="F215" s="2" t="s">
        <v>26</v>
      </c>
      <c r="G215" s="4" t="n">
        <v>5200000</v>
      </c>
      <c r="H215" s="4" t="n">
        <v>300000</v>
      </c>
      <c r="I215" s="4" t="n">
        <v>330000</v>
      </c>
      <c r="J215" s="2" t="n">
        <v>19</v>
      </c>
      <c r="K215" s="2" t="n">
        <v>0</v>
      </c>
      <c r="L215" s="2" t="n">
        <v>1</v>
      </c>
      <c r="M215" s="2" t="n">
        <v>4</v>
      </c>
      <c r="N215" s="4" t="n">
        <v>52000</v>
      </c>
      <c r="O215" s="4" t="n">
        <v>104000</v>
      </c>
      <c r="P215" s="4" t="n">
        <f aca="false">H215+I215</f>
        <v>630000</v>
      </c>
      <c r="Q215" s="4" t="n">
        <f aca="false">N215+O215</f>
        <v>156000</v>
      </c>
      <c r="R215" s="4" t="n">
        <f aca="false">G215+P215-Q215</f>
        <v>5674000</v>
      </c>
      <c r="S215" s="2" t="n">
        <f aca="false">DATEDIF(E215,$Y$1,"y")</f>
        <v>5</v>
      </c>
      <c r="T215" s="2" t="str">
        <f aca="false">IF(S215&gt;=5,"Senior",IF(S215&gt;=1,"Menengah","Baru"))</f>
        <v>Senior</v>
      </c>
      <c r="U215" s="9" t="n">
        <f aca="false">J215/(J215+K215+L215+M215)*100</f>
        <v>79.1666666666667</v>
      </c>
      <c r="V215" s="2" t="str">
        <f aca="false">IF(U215&gt;=95,"Baik",IF(U215&gt;=85,"Cukup","Perlu Perhatian"))</f>
        <v>Perlu Perhatian</v>
      </c>
    </row>
    <row r="216" customFormat="false" ht="15" hidden="false" customHeight="false" outlineLevel="0" collapsed="false">
      <c r="A216" s="2" t="s">
        <v>654</v>
      </c>
      <c r="B216" s="2" t="s">
        <v>655</v>
      </c>
      <c r="C216" s="2" t="s">
        <v>68</v>
      </c>
      <c r="D216" s="2" t="s">
        <v>69</v>
      </c>
      <c r="E216" s="3" t="s">
        <v>656</v>
      </c>
      <c r="F216" s="2" t="s">
        <v>26</v>
      </c>
      <c r="G216" s="4" t="n">
        <v>8500000</v>
      </c>
      <c r="H216" s="4" t="n">
        <v>400000</v>
      </c>
      <c r="I216" s="4" t="n">
        <v>300000</v>
      </c>
      <c r="J216" s="2" t="n">
        <v>18</v>
      </c>
      <c r="K216" s="2" t="n">
        <v>0</v>
      </c>
      <c r="L216" s="2" t="n">
        <v>3</v>
      </c>
      <c r="M216" s="2" t="n">
        <v>3</v>
      </c>
      <c r="N216" s="4" t="n">
        <v>85000</v>
      </c>
      <c r="O216" s="4" t="n">
        <v>170000</v>
      </c>
      <c r="P216" s="4" t="n">
        <f aca="false">H216+I216</f>
        <v>700000</v>
      </c>
      <c r="Q216" s="4" t="n">
        <f aca="false">N216+O216</f>
        <v>255000</v>
      </c>
      <c r="R216" s="4" t="n">
        <f aca="false">G216+P216-Q216</f>
        <v>8945000</v>
      </c>
      <c r="S216" s="2" t="n">
        <f aca="false">DATEDIF(E216,$Y$1,"y")</f>
        <v>0</v>
      </c>
      <c r="T216" s="2" t="str">
        <f aca="false">IF(S216&gt;=5,"Senior",IF(S216&gt;=1,"Menengah","Baru"))</f>
        <v>Baru</v>
      </c>
      <c r="U216" s="9" t="n">
        <f aca="false">J216/(J216+K216+L216+M216)*100</f>
        <v>75</v>
      </c>
      <c r="V216" s="2" t="str">
        <f aca="false">IF(U216&gt;=95,"Baik",IF(U216&gt;=85,"Cukup","Perlu Perhatian"))</f>
        <v>Perlu Perhatian</v>
      </c>
    </row>
    <row r="217" customFormat="false" ht="15" hidden="false" customHeight="false" outlineLevel="0" collapsed="false">
      <c r="A217" s="2" t="s">
        <v>657</v>
      </c>
      <c r="B217" s="2" t="s">
        <v>658</v>
      </c>
      <c r="C217" s="2" t="s">
        <v>86</v>
      </c>
      <c r="D217" s="2" t="s">
        <v>106</v>
      </c>
      <c r="E217" s="3" t="s">
        <v>659</v>
      </c>
      <c r="F217" s="2" t="s">
        <v>65</v>
      </c>
      <c r="G217" s="4" t="n">
        <v>4200000</v>
      </c>
      <c r="H217" s="4" t="n">
        <v>400000</v>
      </c>
      <c r="I217" s="4" t="n">
        <v>330000</v>
      </c>
      <c r="J217" s="2" t="n">
        <v>23</v>
      </c>
      <c r="K217" s="2" t="n">
        <v>3</v>
      </c>
      <c r="L217" s="2" t="n">
        <v>1</v>
      </c>
      <c r="M217" s="2" t="n">
        <v>0</v>
      </c>
      <c r="N217" s="4" t="n">
        <v>42000</v>
      </c>
      <c r="O217" s="4" t="n">
        <v>84000</v>
      </c>
      <c r="P217" s="4" t="n">
        <f aca="false">H217+I217</f>
        <v>730000</v>
      </c>
      <c r="Q217" s="4" t="n">
        <f aca="false">N217+O217</f>
        <v>126000</v>
      </c>
      <c r="R217" s="4" t="n">
        <f aca="false">G217+P217-Q217</f>
        <v>4804000</v>
      </c>
      <c r="S217" s="2" t="n">
        <f aca="false">DATEDIF(E217,$Y$1,"y")</f>
        <v>1</v>
      </c>
      <c r="T217" s="2" t="str">
        <f aca="false">IF(S217&gt;=5,"Senior",IF(S217&gt;=1,"Menengah","Baru"))</f>
        <v>Menengah</v>
      </c>
      <c r="U217" s="9" t="n">
        <f aca="false">J217/(J217+K217+L217+M217)*100</f>
        <v>85.1851851851852</v>
      </c>
      <c r="V217" s="2" t="str">
        <f aca="false">IF(U217&gt;=95,"Baik",IF(U217&gt;=85,"Cukup","Perlu Perhatian"))</f>
        <v>Cukup</v>
      </c>
    </row>
    <row r="218" customFormat="false" ht="15" hidden="false" customHeight="false" outlineLevel="0" collapsed="false">
      <c r="A218" s="2" t="s">
        <v>660</v>
      </c>
      <c r="B218" s="2" t="s">
        <v>661</v>
      </c>
      <c r="C218" s="2" t="s">
        <v>86</v>
      </c>
      <c r="D218" s="2" t="s">
        <v>87</v>
      </c>
      <c r="E218" s="3" t="s">
        <v>662</v>
      </c>
      <c r="F218" s="2" t="s">
        <v>20</v>
      </c>
      <c r="G218" s="4" t="n">
        <v>9500000</v>
      </c>
      <c r="H218" s="4" t="n">
        <v>350000</v>
      </c>
      <c r="I218" s="4" t="n">
        <v>300000</v>
      </c>
      <c r="J218" s="2" t="n">
        <v>20</v>
      </c>
      <c r="K218" s="2" t="n">
        <v>3</v>
      </c>
      <c r="L218" s="2" t="n">
        <v>0</v>
      </c>
      <c r="M218" s="2" t="n">
        <v>1</v>
      </c>
      <c r="N218" s="4" t="n">
        <v>95000</v>
      </c>
      <c r="O218" s="4" t="n">
        <v>190000</v>
      </c>
      <c r="P218" s="4" t="n">
        <f aca="false">H218+I218</f>
        <v>650000</v>
      </c>
      <c r="Q218" s="4" t="n">
        <f aca="false">N218+O218</f>
        <v>285000</v>
      </c>
      <c r="R218" s="4" t="n">
        <f aca="false">G218+P218-Q218</f>
        <v>9865000</v>
      </c>
      <c r="S218" s="2" t="n">
        <f aca="false">DATEDIF(E218,$Y$1,"y")</f>
        <v>4</v>
      </c>
      <c r="T218" s="2" t="str">
        <f aca="false">IF(S218&gt;=5,"Senior",IF(S218&gt;=1,"Menengah","Baru"))</f>
        <v>Menengah</v>
      </c>
      <c r="U218" s="9" t="n">
        <f aca="false">J218/(J218+K218+L218+M218)*100</f>
        <v>83.3333333333333</v>
      </c>
      <c r="V218" s="2" t="str">
        <f aca="false">IF(U218&gt;=95,"Baik",IF(U218&gt;=85,"Cukup","Perlu Perhatian"))</f>
        <v>Perlu Perhatian</v>
      </c>
    </row>
    <row r="219" customFormat="false" ht="15" hidden="false" customHeight="false" outlineLevel="0" collapsed="false">
      <c r="A219" s="2" t="s">
        <v>663</v>
      </c>
      <c r="B219" s="2" t="s">
        <v>664</v>
      </c>
      <c r="C219" s="2" t="s">
        <v>52</v>
      </c>
      <c r="D219" s="2" t="s">
        <v>53</v>
      </c>
      <c r="E219" s="3" t="s">
        <v>665</v>
      </c>
      <c r="F219" s="2" t="s">
        <v>20</v>
      </c>
      <c r="G219" s="4" t="n">
        <v>4500000</v>
      </c>
      <c r="H219" s="4" t="n">
        <v>400000</v>
      </c>
      <c r="I219" s="4" t="n">
        <v>330000</v>
      </c>
      <c r="J219" s="2" t="n">
        <v>24</v>
      </c>
      <c r="K219" s="2" t="n">
        <v>0</v>
      </c>
      <c r="L219" s="2" t="n">
        <v>0</v>
      </c>
      <c r="M219" s="2" t="n">
        <v>0</v>
      </c>
      <c r="N219" s="4" t="n">
        <v>45000</v>
      </c>
      <c r="O219" s="4" t="n">
        <v>90000</v>
      </c>
      <c r="P219" s="4" t="n">
        <f aca="false">H219+I219</f>
        <v>730000</v>
      </c>
      <c r="Q219" s="4" t="n">
        <f aca="false">N219+O219</f>
        <v>135000</v>
      </c>
      <c r="R219" s="4" t="n">
        <f aca="false">G219+P219-Q219</f>
        <v>5095000</v>
      </c>
      <c r="S219" s="2" t="n">
        <f aca="false">DATEDIF(E219,$Y$1,"y")</f>
        <v>4</v>
      </c>
      <c r="T219" s="2" t="str">
        <f aca="false">IF(S219&gt;=5,"Senior",IF(S219&gt;=1,"Menengah","Baru"))</f>
        <v>Menengah</v>
      </c>
      <c r="U219" s="9" t="n">
        <f aca="false">J219/(J219+K219+L219+M219)*100</f>
        <v>100</v>
      </c>
      <c r="V219" s="2" t="str">
        <f aca="false">IF(U219&gt;=95,"Baik",IF(U219&gt;=85,"Cukup","Perlu Perhatian"))</f>
        <v>Baik</v>
      </c>
    </row>
    <row r="220" customFormat="false" ht="15" hidden="false" customHeight="false" outlineLevel="0" collapsed="false">
      <c r="A220" s="2" t="s">
        <v>666</v>
      </c>
      <c r="B220" s="2" t="s">
        <v>667</v>
      </c>
      <c r="C220" s="2" t="s">
        <v>62</v>
      </c>
      <c r="D220" s="2" t="s">
        <v>63</v>
      </c>
      <c r="E220" s="3" t="s">
        <v>668</v>
      </c>
      <c r="F220" s="2" t="s">
        <v>26</v>
      </c>
      <c r="G220" s="4" t="n">
        <v>4800000</v>
      </c>
      <c r="H220" s="4" t="n">
        <v>300000</v>
      </c>
      <c r="I220" s="4" t="n">
        <v>300000</v>
      </c>
      <c r="J220" s="2" t="n">
        <v>24</v>
      </c>
      <c r="K220" s="2" t="n">
        <v>3</v>
      </c>
      <c r="L220" s="2" t="n">
        <v>2</v>
      </c>
      <c r="M220" s="2" t="n">
        <v>0</v>
      </c>
      <c r="N220" s="4" t="n">
        <v>48000</v>
      </c>
      <c r="O220" s="4" t="n">
        <v>96000</v>
      </c>
      <c r="P220" s="4" t="n">
        <f aca="false">H220+I220</f>
        <v>600000</v>
      </c>
      <c r="Q220" s="4" t="n">
        <f aca="false">N220+O220</f>
        <v>144000</v>
      </c>
      <c r="R220" s="4" t="n">
        <f aca="false">G220+P220-Q220</f>
        <v>5256000</v>
      </c>
      <c r="S220" s="2" t="n">
        <f aca="false">DATEDIF(E220,$Y$1,"y")</f>
        <v>6</v>
      </c>
      <c r="T220" s="2" t="str">
        <f aca="false">IF(S220&gt;=5,"Senior",IF(S220&gt;=1,"Menengah","Baru"))</f>
        <v>Senior</v>
      </c>
      <c r="U220" s="9" t="n">
        <f aca="false">J220/(J220+K220+L220+M220)*100</f>
        <v>82.7586206896552</v>
      </c>
      <c r="V220" s="2" t="str">
        <f aca="false">IF(U220&gt;=95,"Baik",IF(U220&gt;=85,"Cukup","Perlu Perhatian"))</f>
        <v>Perlu Perhatian</v>
      </c>
    </row>
    <row r="221" customFormat="false" ht="15" hidden="false" customHeight="false" outlineLevel="0" collapsed="false">
      <c r="A221" s="2" t="s">
        <v>669</v>
      </c>
      <c r="B221" s="2" t="s">
        <v>597</v>
      </c>
      <c r="C221" s="2" t="s">
        <v>86</v>
      </c>
      <c r="D221" s="2" t="s">
        <v>87</v>
      </c>
      <c r="E221" s="3" t="s">
        <v>670</v>
      </c>
      <c r="F221" s="2" t="s">
        <v>20</v>
      </c>
      <c r="G221" s="4" t="n">
        <v>8500000</v>
      </c>
      <c r="H221" s="4" t="n">
        <v>350000</v>
      </c>
      <c r="I221" s="4" t="n">
        <v>250000</v>
      </c>
      <c r="J221" s="2" t="n">
        <v>18</v>
      </c>
      <c r="K221" s="2" t="n">
        <v>2</v>
      </c>
      <c r="L221" s="2" t="n">
        <v>0</v>
      </c>
      <c r="M221" s="2" t="n">
        <v>4</v>
      </c>
      <c r="N221" s="4" t="n">
        <v>85000</v>
      </c>
      <c r="O221" s="4" t="n">
        <v>170000</v>
      </c>
      <c r="P221" s="4" t="n">
        <f aca="false">H221+I221</f>
        <v>600000</v>
      </c>
      <c r="Q221" s="4" t="n">
        <f aca="false">N221+O221</f>
        <v>255000</v>
      </c>
      <c r="R221" s="4" t="n">
        <f aca="false">G221+P221-Q221</f>
        <v>8845000</v>
      </c>
      <c r="S221" s="2" t="n">
        <f aca="false">DATEDIF(E221,$Y$1,"y")</f>
        <v>4</v>
      </c>
      <c r="T221" s="2" t="str">
        <f aca="false">IF(S221&gt;=5,"Senior",IF(S221&gt;=1,"Menengah","Baru"))</f>
        <v>Menengah</v>
      </c>
      <c r="U221" s="9" t="n">
        <f aca="false">J221/(J221+K221+L221+M221)*100</f>
        <v>75</v>
      </c>
      <c r="V221" s="2" t="str">
        <f aca="false">IF(U221&gt;=95,"Baik",IF(U221&gt;=85,"Cukup","Perlu Perhatian"))</f>
        <v>Perlu Perhatian</v>
      </c>
    </row>
  </sheetData>
  <autoFilter ref="A1:V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3"/>
    <col collapsed="false" customWidth="true" hidden="false" outlineLevel="0" max="6" min="3" style="0" width="38"/>
  </cols>
  <sheetData>
    <row r="1" customFormat="false" ht="16.15" hidden="false" customHeight="false" outlineLevel="0" collapsed="false">
      <c r="A1" s="10" t="s">
        <v>681</v>
      </c>
    </row>
    <row r="2" customFormat="false" ht="15" hidden="false" customHeight="false" outlineLevel="0" collapsed="false">
      <c r="A2" s="8" t="s">
        <v>682</v>
      </c>
    </row>
    <row r="4" customFormat="false" ht="15" hidden="false" customHeight="false" outlineLevel="0" collapsed="false">
      <c r="A4" s="1" t="s">
        <v>2</v>
      </c>
      <c r="B4" s="1" t="s">
        <v>683</v>
      </c>
      <c r="C4" s="1" t="s">
        <v>684</v>
      </c>
      <c r="D4" s="1" t="s">
        <v>685</v>
      </c>
      <c r="E4" s="1" t="s">
        <v>686</v>
      </c>
      <c r="F4" s="1" t="s">
        <v>687</v>
      </c>
    </row>
    <row r="5" customFormat="false" ht="15" hidden="false" customHeight="false" outlineLevel="0" collapsed="false">
      <c r="A5" s="2" t="s">
        <v>17</v>
      </c>
      <c r="B5" s="2" t="n">
        <f aca="false">COUNTIF(Kunci_Jawaban!C:C,A5)</f>
        <v>24</v>
      </c>
      <c r="C5" s="4" t="n">
        <f aca="false">SUMIF(Kunci_Jawaban!C:C,A5,Kunci_Jawaban!G:G)</f>
        <v>147300000</v>
      </c>
      <c r="D5" s="4" t="n">
        <f aca="false">AVERAGEIF(Kunci_Jawaban!C:C,A5,Kunci_Jawaban!G:G)</f>
        <v>6137500</v>
      </c>
      <c r="E5" s="9" t="n">
        <f aca="false">AVERAGEIFS(Kunci_Jawaban!U:U,Kunci_Jawaban!C:C,A5)</f>
        <v>83.6397452855786</v>
      </c>
      <c r="F5" s="2" t="n">
        <f aca="false">COUNTIFS(Kunci_Jawaban!C:C,A5,Kunci_Jawaban!F:F,"Kontrak")</f>
        <v>8</v>
      </c>
    </row>
    <row r="6" customFormat="false" ht="15" hidden="false" customHeight="false" outlineLevel="0" collapsed="false">
      <c r="A6" s="2" t="s">
        <v>57</v>
      </c>
      <c r="B6" s="2" t="n">
        <f aca="false">COUNTIF(Kunci_Jawaban!C:C,A6)</f>
        <v>25</v>
      </c>
      <c r="C6" s="4" t="n">
        <f aca="false">SUMIF(Kunci_Jawaban!C:C,A6,Kunci_Jawaban!G:G)</f>
        <v>173300000</v>
      </c>
      <c r="D6" s="4" t="n">
        <f aca="false">AVERAGEIF(Kunci_Jawaban!C:C,A6,Kunci_Jawaban!G:G)</f>
        <v>6932000</v>
      </c>
      <c r="E6" s="9" t="n">
        <f aca="false">AVERAGEIFS(Kunci_Jawaban!U:U,Kunci_Jawaban!C:C,A6)</f>
        <v>83.9947404319818</v>
      </c>
      <c r="F6" s="2" t="n">
        <f aca="false">COUNTIFS(Kunci_Jawaban!C:C,A6,Kunci_Jawaban!F:F,"Kontrak")</f>
        <v>10</v>
      </c>
    </row>
    <row r="7" customFormat="false" ht="15" hidden="false" customHeight="false" outlineLevel="0" collapsed="false">
      <c r="A7" s="2" t="s">
        <v>47</v>
      </c>
      <c r="B7" s="2" t="n">
        <f aca="false">COUNTIF(Kunci_Jawaban!C:C,A7)</f>
        <v>31</v>
      </c>
      <c r="C7" s="4" t="n">
        <f aca="false">SUMIF(Kunci_Jawaban!C:C,A7,Kunci_Jawaban!G:G)</f>
        <v>207500000</v>
      </c>
      <c r="D7" s="4" t="n">
        <f aca="false">AVERAGEIF(Kunci_Jawaban!C:C,A7,Kunci_Jawaban!G:G)</f>
        <v>6693548.38709677</v>
      </c>
      <c r="E7" s="9" t="n">
        <f aca="false">AVERAGEIFS(Kunci_Jawaban!U:U,Kunci_Jawaban!C:C,A7)</f>
        <v>85.7590625499413</v>
      </c>
      <c r="F7" s="2" t="n">
        <f aca="false">COUNTIFS(Kunci_Jawaban!C:C,A7,Kunci_Jawaban!F:F,"Kontrak")</f>
        <v>13</v>
      </c>
    </row>
    <row r="8" customFormat="false" ht="15" hidden="false" customHeight="false" outlineLevel="0" collapsed="false">
      <c r="A8" s="2" t="s">
        <v>86</v>
      </c>
      <c r="B8" s="2" t="n">
        <f aca="false">COUNTIF(Kunci_Jawaban!C:C,A8)</f>
        <v>23</v>
      </c>
      <c r="C8" s="4" t="n">
        <f aca="false">SUMIF(Kunci_Jawaban!C:C,A8,Kunci_Jawaban!G:G)</f>
        <v>136900000</v>
      </c>
      <c r="D8" s="4" t="n">
        <f aca="false">AVERAGEIF(Kunci_Jawaban!C:C,A8,Kunci_Jawaban!G:G)</f>
        <v>5952173.91304348</v>
      </c>
      <c r="E8" s="9" t="n">
        <f aca="false">AVERAGEIFS(Kunci_Jawaban!U:U,Kunci_Jawaban!C:C,A8)</f>
        <v>83.3570720744634</v>
      </c>
      <c r="F8" s="2" t="n">
        <f aca="false">COUNTIFS(Kunci_Jawaban!C:C,A8,Kunci_Jawaban!F:F,"Kontrak")</f>
        <v>8</v>
      </c>
    </row>
    <row r="9" customFormat="false" ht="15" hidden="false" customHeight="false" outlineLevel="0" collapsed="false">
      <c r="A9" s="2" t="s">
        <v>62</v>
      </c>
      <c r="B9" s="2" t="n">
        <f aca="false">COUNTIF(Kunci_Jawaban!C:C,A9)</f>
        <v>25</v>
      </c>
      <c r="C9" s="4" t="n">
        <f aca="false">SUMIF(Kunci_Jawaban!C:C,A9,Kunci_Jawaban!G:G)</f>
        <v>153600000</v>
      </c>
      <c r="D9" s="4" t="n">
        <f aca="false">AVERAGEIF(Kunci_Jawaban!C:C,A9,Kunci_Jawaban!G:G)</f>
        <v>6144000</v>
      </c>
      <c r="E9" s="9" t="n">
        <f aca="false">AVERAGEIFS(Kunci_Jawaban!U:U,Kunci_Jawaban!C:C,A9)</f>
        <v>85.7776138548552</v>
      </c>
      <c r="F9" s="2" t="n">
        <f aca="false">COUNTIFS(Kunci_Jawaban!C:C,A9,Kunci_Jawaban!F:F,"Kontrak")</f>
        <v>4</v>
      </c>
    </row>
    <row r="10" customFormat="false" ht="15" hidden="false" customHeight="false" outlineLevel="0" collapsed="false">
      <c r="A10" s="2" t="s">
        <v>52</v>
      </c>
      <c r="B10" s="2" t="n">
        <f aca="false">COUNTIF(Kunci_Jawaban!C:C,A10)</f>
        <v>32</v>
      </c>
      <c r="C10" s="4" t="n">
        <f aca="false">SUMIF(Kunci_Jawaban!C:C,A10,Kunci_Jawaban!G:G)</f>
        <v>210100000</v>
      </c>
      <c r="D10" s="4" t="n">
        <f aca="false">AVERAGEIF(Kunci_Jawaban!C:C,A10,Kunci_Jawaban!G:G)</f>
        <v>6565625</v>
      </c>
      <c r="E10" s="9" t="n">
        <f aca="false">AVERAGEIFS(Kunci_Jawaban!U:U,Kunci_Jawaban!C:C,A10)</f>
        <v>83.528967639959</v>
      </c>
      <c r="F10" s="2" t="n">
        <f aca="false">COUNTIFS(Kunci_Jawaban!C:C,A10,Kunci_Jawaban!F:F,"Kontrak")</f>
        <v>12</v>
      </c>
    </row>
    <row r="11" customFormat="false" ht="15" hidden="false" customHeight="false" outlineLevel="0" collapsed="false">
      <c r="A11" s="2" t="s">
        <v>196</v>
      </c>
      <c r="B11" s="2" t="n">
        <f aca="false">COUNTIF(Kunci_Jawaban!C:C,A11)</f>
        <v>16</v>
      </c>
      <c r="C11" s="4" t="n">
        <f aca="false">SUMIF(Kunci_Jawaban!C:C,A11,Kunci_Jawaban!G:G)</f>
        <v>106000000</v>
      </c>
      <c r="D11" s="4" t="n">
        <f aca="false">AVERAGEIF(Kunci_Jawaban!C:C,A11,Kunci_Jawaban!G:G)</f>
        <v>6625000</v>
      </c>
      <c r="E11" s="9" t="n">
        <f aca="false">AVERAGEIFS(Kunci_Jawaban!U:U,Kunci_Jawaban!C:C,A11)</f>
        <v>84.1182827389724</v>
      </c>
      <c r="F11" s="2" t="n">
        <f aca="false">COUNTIFS(Kunci_Jawaban!C:C,A11,Kunci_Jawaban!F:F,"Kontrak")</f>
        <v>7</v>
      </c>
    </row>
    <row r="12" customFormat="false" ht="15" hidden="false" customHeight="false" outlineLevel="0" collapsed="false">
      <c r="A12" s="2" t="s">
        <v>68</v>
      </c>
      <c r="B12" s="2" t="n">
        <f aca="false">COUNTIF(Kunci_Jawaban!C:C,A12)</f>
        <v>21</v>
      </c>
      <c r="C12" s="4" t="n">
        <f aca="false">SUMIF(Kunci_Jawaban!C:C,A12,Kunci_Jawaban!G:G)</f>
        <v>130100000</v>
      </c>
      <c r="D12" s="4" t="n">
        <f aca="false">AVERAGEIF(Kunci_Jawaban!C:C,A12,Kunci_Jawaban!G:G)</f>
        <v>6195238.0952381</v>
      </c>
      <c r="E12" s="9" t="n">
        <f aca="false">AVERAGEIFS(Kunci_Jawaban!U:U,Kunci_Jawaban!C:C,A12)</f>
        <v>83.7213310316759</v>
      </c>
      <c r="F12" s="2" t="n">
        <f aca="false">COUNTIFS(Kunci_Jawaban!C:C,A12,Kunci_Jawaban!F:F,"Kontrak")</f>
        <v>4</v>
      </c>
    </row>
    <row r="13" customFormat="false" ht="15" hidden="false" customHeight="false" outlineLevel="0" collapsed="false">
      <c r="A13" s="2" t="s">
        <v>23</v>
      </c>
      <c r="B13" s="2" t="n">
        <f aca="false">COUNTIF(Kunci_Jawaban!C:C,A13)</f>
        <v>23</v>
      </c>
      <c r="C13" s="4" t="n">
        <f aca="false">SUMIF(Kunci_Jawaban!C:C,A13,Kunci_Jawaban!G:G)</f>
        <v>140600000</v>
      </c>
      <c r="D13" s="4" t="n">
        <f aca="false">AVERAGEIF(Kunci_Jawaban!C:C,A13,Kunci_Jawaban!G:G)</f>
        <v>6113043.47826087</v>
      </c>
      <c r="E13" s="9" t="n">
        <f aca="false">AVERAGEIFS(Kunci_Jawaban!U:U,Kunci_Jawaban!C:C,A13)</f>
        <v>82.6757979374171</v>
      </c>
      <c r="F13" s="2" t="n">
        <f aca="false">COUNTIFS(Kunci_Jawaban!C:C,A13,Kunci_Jawaban!F:F,"Kontrak")</f>
        <v>12</v>
      </c>
    </row>
    <row r="14" customFormat="false" ht="15" hidden="false" customHeight="false" outlineLevel="0" collapsed="false">
      <c r="A14" s="2" t="s">
        <v>688</v>
      </c>
      <c r="B14" s="2" t="n">
        <f aca="false">SUM(B5:B13)</f>
        <v>220</v>
      </c>
      <c r="C14" s="4" t="n">
        <f aca="false">SUM(C5:C13)</f>
        <v>1405400000</v>
      </c>
      <c r="D14" s="2"/>
      <c r="E14" s="2"/>
      <c r="F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55"/>
  </cols>
  <sheetData>
    <row r="1" customFormat="false" ht="15" hidden="false" customHeight="false" outlineLevel="0" collapsed="false">
      <c r="A1" s="11" t="s">
        <v>689</v>
      </c>
      <c r="B1" s="11" t="s">
        <v>690</v>
      </c>
      <c r="C1" s="11" t="s">
        <v>691</v>
      </c>
    </row>
    <row r="2" customFormat="false" ht="23.85" hidden="false" customHeight="false" outlineLevel="0" collapsed="false">
      <c r="A2" s="12" t="s">
        <v>671</v>
      </c>
      <c r="B2" s="12" t="s">
        <v>692</v>
      </c>
      <c r="C2" s="12" t="s">
        <v>693</v>
      </c>
    </row>
    <row r="3" customFormat="false" ht="15" hidden="false" customHeight="false" outlineLevel="0" collapsed="false">
      <c r="A3" s="12" t="s">
        <v>672</v>
      </c>
      <c r="B3" s="12" t="s">
        <v>694</v>
      </c>
      <c r="C3" s="12" t="s">
        <v>695</v>
      </c>
    </row>
    <row r="4" customFormat="false" ht="35.05" hidden="false" customHeight="false" outlineLevel="0" collapsed="false">
      <c r="A4" s="12" t="s">
        <v>696</v>
      </c>
      <c r="B4" s="12" t="s">
        <v>697</v>
      </c>
      <c r="C4" s="12" t="s">
        <v>698</v>
      </c>
    </row>
    <row r="5" customFormat="false" ht="23.85" hidden="false" customHeight="false" outlineLevel="0" collapsed="false">
      <c r="A5" s="12" t="s">
        <v>674</v>
      </c>
      <c r="B5" s="12" t="s">
        <v>699</v>
      </c>
      <c r="C5" s="12" t="s">
        <v>700</v>
      </c>
    </row>
    <row r="6" customFormat="false" ht="23.85" hidden="false" customHeight="false" outlineLevel="0" collapsed="false">
      <c r="A6" s="12" t="s">
        <v>675</v>
      </c>
      <c r="B6" s="12" t="s">
        <v>701</v>
      </c>
      <c r="C6" s="12" t="s">
        <v>702</v>
      </c>
    </row>
    <row r="7" customFormat="false" ht="23.85" hidden="false" customHeight="false" outlineLevel="0" collapsed="false">
      <c r="A7" s="12" t="s">
        <v>676</v>
      </c>
      <c r="B7" s="12" t="s">
        <v>703</v>
      </c>
      <c r="C7" s="12" t="s">
        <v>704</v>
      </c>
    </row>
    <row r="8" customFormat="false" ht="23.85" hidden="false" customHeight="false" outlineLevel="0" collapsed="false">
      <c r="A8" s="12" t="s">
        <v>677</v>
      </c>
      <c r="B8" s="12" t="s">
        <v>705</v>
      </c>
      <c r="C8" s="12" t="s">
        <v>706</v>
      </c>
    </row>
    <row r="9" customFormat="false" ht="23.85" hidden="false" customHeight="false" outlineLevel="0" collapsed="false">
      <c r="A9" s="12" t="s">
        <v>707</v>
      </c>
      <c r="B9" s="12" t="s">
        <v>708</v>
      </c>
      <c r="C9" s="12" t="s">
        <v>709</v>
      </c>
    </row>
    <row r="10" customFormat="false" ht="15" hidden="false" customHeight="false" outlineLevel="0" collapsed="false">
      <c r="A10" s="12"/>
      <c r="B10" s="12"/>
      <c r="C10" s="12"/>
    </row>
    <row r="11" customFormat="false" ht="57.45" hidden="false" customHeight="false" outlineLevel="0" collapsed="false">
      <c r="A11" s="12" t="s">
        <v>710</v>
      </c>
      <c r="B11" s="12"/>
      <c r="C11" s="12" t="s">
        <v>711</v>
      </c>
      <c r="D11" s="13" t="s">
        <v>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1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35"/>
  </cols>
  <sheetData>
    <row r="1" customFormat="false" ht="16.15" hidden="false" customHeight="false" outlineLevel="0" collapsed="false">
      <c r="A1" s="10" t="s">
        <v>713</v>
      </c>
    </row>
    <row r="2" customFormat="false" ht="15" hidden="false" customHeight="false" outlineLevel="0" collapsed="false">
      <c r="A2" s="8" t="s">
        <v>714</v>
      </c>
    </row>
    <row r="4" customFormat="false" ht="15" hidden="false" customHeight="false" outlineLevel="0" collapsed="false">
      <c r="A4" s="14" t="s">
        <v>715</v>
      </c>
    </row>
    <row r="5" customFormat="false" ht="15" hidden="false" customHeight="false" outlineLevel="0" collapsed="false">
      <c r="A5" s="1" t="s">
        <v>2</v>
      </c>
      <c r="B5" s="1" t="s">
        <v>716</v>
      </c>
      <c r="C5" s="1" t="s">
        <v>717</v>
      </c>
    </row>
    <row r="6" customFormat="false" ht="15" hidden="false" customHeight="false" outlineLevel="0" collapsed="false">
      <c r="A6" s="2" t="s">
        <v>17</v>
      </c>
      <c r="B6" s="2" t="s">
        <v>718</v>
      </c>
      <c r="C6" s="4" t="n">
        <v>750000</v>
      </c>
    </row>
    <row r="7" customFormat="false" ht="15" hidden="false" customHeight="false" outlineLevel="0" collapsed="false">
      <c r="A7" s="2" t="s">
        <v>57</v>
      </c>
      <c r="B7" s="2" t="s">
        <v>719</v>
      </c>
      <c r="C7" s="4" t="n">
        <v>600000</v>
      </c>
    </row>
    <row r="8" customFormat="false" ht="15" hidden="false" customHeight="false" outlineLevel="0" collapsed="false">
      <c r="A8" s="2" t="s">
        <v>47</v>
      </c>
      <c r="B8" s="2" t="s">
        <v>720</v>
      </c>
      <c r="C8" s="4" t="n">
        <v>900000</v>
      </c>
    </row>
    <row r="9" customFormat="false" ht="15" hidden="false" customHeight="false" outlineLevel="0" collapsed="false">
      <c r="A9" s="2" t="s">
        <v>86</v>
      </c>
      <c r="B9" s="2" t="s">
        <v>721</v>
      </c>
      <c r="C9" s="4" t="n">
        <v>500000</v>
      </c>
    </row>
    <row r="10" customFormat="false" ht="15" hidden="false" customHeight="false" outlineLevel="0" collapsed="false">
      <c r="A10" s="2" t="s">
        <v>62</v>
      </c>
      <c r="B10" s="2" t="s">
        <v>722</v>
      </c>
      <c r="C10" s="4" t="n">
        <v>500000</v>
      </c>
    </row>
    <row r="11" customFormat="false" ht="15" hidden="false" customHeight="false" outlineLevel="0" collapsed="false">
      <c r="A11" s="2" t="s">
        <v>52</v>
      </c>
      <c r="B11" s="2" t="s">
        <v>723</v>
      </c>
      <c r="C11" s="4" t="n">
        <v>1200000</v>
      </c>
    </row>
    <row r="12" customFormat="false" ht="15" hidden="false" customHeight="false" outlineLevel="0" collapsed="false">
      <c r="A12" s="2" t="s">
        <v>196</v>
      </c>
      <c r="B12" s="2" t="s">
        <v>724</v>
      </c>
      <c r="C12" s="4" t="n">
        <v>500000</v>
      </c>
    </row>
    <row r="13" customFormat="false" ht="15" hidden="false" customHeight="false" outlineLevel="0" collapsed="false">
      <c r="A13" s="2" t="s">
        <v>68</v>
      </c>
      <c r="B13" s="2" t="s">
        <v>725</v>
      </c>
      <c r="C13" s="4" t="n">
        <v>750000</v>
      </c>
    </row>
    <row r="14" customFormat="false" ht="15" hidden="false" customHeight="false" outlineLevel="0" collapsed="false">
      <c r="A14" s="2" t="s">
        <v>23</v>
      </c>
      <c r="B14" s="2" t="s">
        <v>726</v>
      </c>
      <c r="C14" s="4" t="n">
        <v>1200000</v>
      </c>
    </row>
    <row r="17" customFormat="false" ht="15" hidden="false" customHeight="false" outlineLevel="0" collapsed="false">
      <c r="A17" s="14" t="s">
        <v>727</v>
      </c>
    </row>
    <row r="18" customFormat="false" ht="15" hidden="false" customHeight="false" outlineLevel="0" collapsed="false">
      <c r="A18" s="11" t="s">
        <v>728</v>
      </c>
      <c r="B18" s="11" t="s">
        <v>729</v>
      </c>
      <c r="C18" s="11" t="s">
        <v>730</v>
      </c>
      <c r="D18" s="11" t="s">
        <v>731</v>
      </c>
    </row>
    <row r="19" customFormat="false" ht="15" hidden="false" customHeight="false" outlineLevel="0" collapsed="false">
      <c r="A19" s="15" t="s">
        <v>732</v>
      </c>
      <c r="B19" s="16" t="n">
        <v>0</v>
      </c>
      <c r="C19" s="16" t="n">
        <v>0.05</v>
      </c>
      <c r="D19" s="16" t="n">
        <v>0.1</v>
      </c>
    </row>
    <row r="22" customFormat="false" ht="15" hidden="false" customHeight="false" outlineLevel="0" collapsed="false">
      <c r="A22" s="14" t="s">
        <v>733</v>
      </c>
    </row>
    <row r="23" customFormat="false" ht="23.85" hidden="false" customHeight="false" outlineLevel="0" collapsed="false">
      <c r="A23" s="1" t="s">
        <v>0</v>
      </c>
      <c r="B23" s="1" t="s">
        <v>1</v>
      </c>
      <c r="C23" s="1" t="s">
        <v>2</v>
      </c>
      <c r="D23" s="1" t="s">
        <v>675</v>
      </c>
      <c r="E23" s="1" t="s">
        <v>734</v>
      </c>
      <c r="F23" s="1" t="s">
        <v>735</v>
      </c>
      <c r="G23" s="1" t="s">
        <v>736</v>
      </c>
    </row>
    <row r="24" customFormat="false" ht="15" hidden="false" customHeight="false" outlineLevel="0" collapsed="false">
      <c r="A24" s="0" t="str">
        <f aca="false">Kunci_Jawaban!A2</f>
        <v>EMP1001</v>
      </c>
      <c r="B24" s="0" t="str">
        <f aca="false">Kunci_Jawaban!B2</f>
        <v>Ayu Santoso</v>
      </c>
      <c r="C24" s="0" t="str">
        <f aca="false">Kunci_Jawaban!C2</f>
        <v>Finance</v>
      </c>
      <c r="D24" s="0" t="str">
        <f aca="false">Kunci_Jawaban!T2</f>
        <v>Menengah</v>
      </c>
      <c r="E24" s="17" t="n">
        <f aca="false">VLOOKUP(C24,$A$6:$C$14,3,FALSE())</f>
        <v>750000</v>
      </c>
      <c r="F24" s="17" t="n">
        <f aca="false">INDEX($C$6:$C$14,MATCH(C24,$A$6:$A$14,0))</f>
        <v>750000</v>
      </c>
      <c r="G24" s="18" t="n">
        <f aca="false">HLOOKUP(D24,$B$18:$D$19,2,FALSE())</f>
        <v>0.05</v>
      </c>
    </row>
    <row r="25" customFormat="false" ht="15" hidden="false" customHeight="false" outlineLevel="0" collapsed="false">
      <c r="A25" s="0" t="str">
        <f aca="false">Kunci_Jawaban!A3</f>
        <v>EMP1002</v>
      </c>
      <c r="B25" s="0" t="str">
        <f aca="false">Kunci_Jawaban!B3</f>
        <v>Ahmad Santoso</v>
      </c>
      <c r="C25" s="0" t="str">
        <f aca="false">Kunci_Jawaban!C3</f>
        <v>Quality Control</v>
      </c>
      <c r="D25" s="0" t="str">
        <f aca="false">Kunci_Jawaban!T3</f>
        <v>Menengah</v>
      </c>
      <c r="E25" s="19"/>
      <c r="F25" s="19"/>
      <c r="G25" s="19"/>
    </row>
    <row r="26" customFormat="false" ht="15" hidden="false" customHeight="false" outlineLevel="0" collapsed="false">
      <c r="A26" s="0" t="str">
        <f aca="false">Kunci_Jawaban!A4</f>
        <v>EMP1003</v>
      </c>
      <c r="B26" s="0" t="str">
        <f aca="false">Kunci_Jawaban!B4</f>
        <v>Arif Lubis</v>
      </c>
      <c r="C26" s="0" t="str">
        <f aca="false">Kunci_Jawaban!C4</f>
        <v>Finance</v>
      </c>
      <c r="D26" s="0" t="str">
        <f aca="false">Kunci_Jawaban!T4</f>
        <v>Senior</v>
      </c>
      <c r="E26" s="19"/>
      <c r="F26" s="19"/>
      <c r="G26" s="19"/>
    </row>
    <row r="27" customFormat="false" ht="15" hidden="false" customHeight="false" outlineLevel="0" collapsed="false">
      <c r="A27" s="0" t="str">
        <f aca="false">Kunci_Jawaban!A5</f>
        <v>EMP1004</v>
      </c>
      <c r="B27" s="0" t="str">
        <f aca="false">Kunci_Jawaban!B5</f>
        <v>Rina Handayani</v>
      </c>
      <c r="C27" s="0" t="str">
        <f aca="false">Kunci_Jawaban!C5</f>
        <v>Quality Control</v>
      </c>
      <c r="D27" s="0" t="str">
        <f aca="false">Kunci_Jawaban!T5</f>
        <v>Menengah</v>
      </c>
      <c r="E27" s="19"/>
      <c r="F27" s="19"/>
      <c r="G27" s="19"/>
    </row>
    <row r="28" customFormat="false" ht="15" hidden="false" customHeight="false" outlineLevel="0" collapsed="false">
      <c r="A28" s="0" t="str">
        <f aca="false">Kunci_Jawaban!A6</f>
        <v>EMP1005</v>
      </c>
      <c r="B28" s="0" t="str">
        <f aca="false">Kunci_Jawaban!B6</f>
        <v>Rina Simanjuntak</v>
      </c>
      <c r="C28" s="0" t="str">
        <f aca="false">Kunci_Jawaban!C6</f>
        <v>Finance</v>
      </c>
      <c r="D28" s="0" t="str">
        <f aca="false">Kunci_Jawaban!T6</f>
        <v>Baru</v>
      </c>
      <c r="E28" s="19"/>
      <c r="F28" s="19"/>
      <c r="G28" s="19"/>
    </row>
    <row r="29" customFormat="false" ht="15" hidden="false" customHeight="false" outlineLevel="0" collapsed="false">
      <c r="A29" s="0" t="str">
        <f aca="false">Kunci_Jawaban!A7</f>
        <v>EMP1006</v>
      </c>
      <c r="B29" s="0" t="str">
        <f aca="false">Kunci_Jawaban!B7</f>
        <v>Dedi Hidayat</v>
      </c>
      <c r="C29" s="0" t="str">
        <f aca="false">Kunci_Jawaban!C7</f>
        <v>Quality Control</v>
      </c>
      <c r="D29" s="0" t="str">
        <f aca="false">Kunci_Jawaban!T7</f>
        <v>Senior</v>
      </c>
      <c r="E29" s="19"/>
      <c r="F29" s="19"/>
      <c r="G29" s="19"/>
    </row>
    <row r="30" customFormat="false" ht="15" hidden="false" customHeight="false" outlineLevel="0" collapsed="false">
      <c r="A30" s="0" t="str">
        <f aca="false">Kunci_Jawaban!A8</f>
        <v>EMP1007</v>
      </c>
      <c r="B30" s="0" t="str">
        <f aca="false">Kunci_Jawaban!B8</f>
        <v>Yuni Wardani</v>
      </c>
      <c r="C30" s="0" t="str">
        <f aca="false">Kunci_Jawaban!C8</f>
        <v>Quality Control</v>
      </c>
      <c r="D30" s="0" t="str">
        <f aca="false">Kunci_Jawaban!T8</f>
        <v>Senior</v>
      </c>
      <c r="E30" s="19"/>
      <c r="F30" s="19"/>
      <c r="G30" s="19"/>
    </row>
    <row r="31" customFormat="false" ht="15" hidden="false" customHeight="false" outlineLevel="0" collapsed="false">
      <c r="A31" s="0" t="str">
        <f aca="false">Kunci_Jawaban!A9</f>
        <v>EMP1008</v>
      </c>
      <c r="B31" s="0" t="str">
        <f aca="false">Kunci_Jawaban!B9</f>
        <v>Taufik Wijaya</v>
      </c>
      <c r="C31" s="0" t="str">
        <f aca="false">Kunci_Jawaban!C9</f>
        <v>HRD</v>
      </c>
      <c r="D31" s="0" t="str">
        <f aca="false">Kunci_Jawaban!T9</f>
        <v>Menengah</v>
      </c>
      <c r="E31" s="19"/>
      <c r="F31" s="19"/>
      <c r="G31" s="19"/>
    </row>
    <row r="32" customFormat="false" ht="15" hidden="false" customHeight="false" outlineLevel="0" collapsed="false">
      <c r="A32" s="0" t="str">
        <f aca="false">Kunci_Jawaban!A10</f>
        <v>EMP1009</v>
      </c>
      <c r="B32" s="0" t="str">
        <f aca="false">Kunci_Jawaban!B10</f>
        <v>Anisa Handayani</v>
      </c>
      <c r="C32" s="0" t="str">
        <f aca="false">Kunci_Jawaban!C10</f>
        <v>Marketing</v>
      </c>
      <c r="D32" s="0" t="str">
        <f aca="false">Kunci_Jawaban!T10</f>
        <v>Menengah</v>
      </c>
      <c r="E32" s="19"/>
      <c r="F32" s="19"/>
      <c r="G32" s="19"/>
    </row>
    <row r="33" customFormat="false" ht="15" hidden="false" customHeight="false" outlineLevel="0" collapsed="false">
      <c r="A33" s="0" t="str">
        <f aca="false">Kunci_Jawaban!A11</f>
        <v>EMP1010</v>
      </c>
      <c r="B33" s="0" t="str">
        <f aca="false">Kunci_Jawaban!B11</f>
        <v>Maya Nugroho</v>
      </c>
      <c r="C33" s="0" t="str">
        <f aca="false">Kunci_Jawaban!C11</f>
        <v>Gudang</v>
      </c>
      <c r="D33" s="0" t="str">
        <f aca="false">Kunci_Jawaban!T11</f>
        <v>Menengah</v>
      </c>
      <c r="E33" s="19"/>
      <c r="F33" s="19"/>
      <c r="G33" s="19"/>
    </row>
    <row r="34" customFormat="false" ht="15" hidden="false" customHeight="false" outlineLevel="0" collapsed="false">
      <c r="A34" s="0" t="str">
        <f aca="false">Kunci_Jawaban!A12</f>
        <v>EMP1011</v>
      </c>
      <c r="B34" s="0" t="str">
        <f aca="false">Kunci_Jawaban!B12</f>
        <v>Rahmat Pratama</v>
      </c>
      <c r="C34" s="0" t="str">
        <f aca="false">Kunci_Jawaban!C12</f>
        <v>Maintenance</v>
      </c>
      <c r="D34" s="0" t="str">
        <f aca="false">Kunci_Jawaban!T12</f>
        <v>Baru</v>
      </c>
      <c r="E34" s="19"/>
      <c r="F34" s="19"/>
      <c r="G34" s="19"/>
    </row>
    <row r="35" customFormat="false" ht="15" hidden="false" customHeight="false" outlineLevel="0" collapsed="false">
      <c r="A35" s="0" t="str">
        <f aca="false">Kunci_Jawaban!A13</f>
        <v>EMP1012</v>
      </c>
      <c r="B35" s="0" t="str">
        <f aca="false">Kunci_Jawaban!B13</f>
        <v>Yudi Wardani</v>
      </c>
      <c r="C35" s="0" t="str">
        <f aca="false">Kunci_Jawaban!C13</f>
        <v>Purchasing</v>
      </c>
      <c r="D35" s="0" t="str">
        <f aca="false">Kunci_Jawaban!T13</f>
        <v>Menengah</v>
      </c>
      <c r="E35" s="19"/>
      <c r="F35" s="19"/>
      <c r="G35" s="19"/>
    </row>
    <row r="36" customFormat="false" ht="15" hidden="false" customHeight="false" outlineLevel="0" collapsed="false">
      <c r="A36" s="0" t="str">
        <f aca="false">Kunci_Jawaban!A14</f>
        <v>EMP1013</v>
      </c>
      <c r="B36" s="0" t="str">
        <f aca="false">Kunci_Jawaban!B14</f>
        <v>Rudi Kurniawan</v>
      </c>
      <c r="C36" s="0" t="str">
        <f aca="false">Kunci_Jawaban!C14</f>
        <v>Finance</v>
      </c>
      <c r="D36" s="0" t="str">
        <f aca="false">Kunci_Jawaban!T14</f>
        <v>Menengah</v>
      </c>
      <c r="E36" s="19"/>
      <c r="F36" s="19"/>
      <c r="G36" s="19"/>
    </row>
    <row r="37" customFormat="false" ht="15" hidden="false" customHeight="false" outlineLevel="0" collapsed="false">
      <c r="A37" s="0" t="str">
        <f aca="false">Kunci_Jawaban!A15</f>
        <v>EMP1014</v>
      </c>
      <c r="B37" s="0" t="str">
        <f aca="false">Kunci_Jawaban!B15</f>
        <v>Anisa Santoso</v>
      </c>
      <c r="C37" s="0" t="str">
        <f aca="false">Kunci_Jawaban!C15</f>
        <v>Quality Control</v>
      </c>
      <c r="D37" s="0" t="str">
        <f aca="false">Kunci_Jawaban!T15</f>
        <v>Menengah</v>
      </c>
      <c r="E37" s="19"/>
      <c r="F37" s="19"/>
      <c r="G37" s="19"/>
    </row>
    <row r="38" customFormat="false" ht="15" hidden="false" customHeight="false" outlineLevel="0" collapsed="false">
      <c r="A38" s="0" t="str">
        <f aca="false">Kunci_Jawaban!A16</f>
        <v>EMP1015</v>
      </c>
      <c r="B38" s="0" t="str">
        <f aca="false">Kunci_Jawaban!B16</f>
        <v>Yudi Saputra</v>
      </c>
      <c r="C38" s="0" t="str">
        <f aca="false">Kunci_Jawaban!C16</f>
        <v>Gudang</v>
      </c>
      <c r="D38" s="0" t="str">
        <f aca="false">Kunci_Jawaban!T16</f>
        <v>Menengah</v>
      </c>
      <c r="E38" s="19"/>
      <c r="F38" s="19"/>
      <c r="G38" s="19"/>
    </row>
    <row r="39" customFormat="false" ht="15" hidden="false" customHeight="false" outlineLevel="0" collapsed="false">
      <c r="A39" s="0" t="str">
        <f aca="false">Kunci_Jawaban!A17</f>
        <v>EMP1016</v>
      </c>
      <c r="B39" s="0" t="str">
        <f aca="false">Kunci_Jawaban!B17</f>
        <v>Yudi Rahayu</v>
      </c>
      <c r="C39" s="0" t="str">
        <f aca="false">Kunci_Jawaban!C17</f>
        <v>Finance</v>
      </c>
      <c r="D39" s="0" t="str">
        <f aca="false">Kunci_Jawaban!T17</f>
        <v>Menengah</v>
      </c>
      <c r="E39" s="19"/>
      <c r="F39" s="19"/>
      <c r="G39" s="19"/>
    </row>
    <row r="40" customFormat="false" ht="15" hidden="false" customHeight="false" outlineLevel="0" collapsed="false">
      <c r="A40" s="0" t="str">
        <f aca="false">Kunci_Jawaban!A18</f>
        <v>EMP1017</v>
      </c>
      <c r="B40" s="0" t="str">
        <f aca="false">Kunci_Jawaban!B18</f>
        <v>Sari Santoso</v>
      </c>
      <c r="C40" s="0" t="str">
        <f aca="false">Kunci_Jawaban!C18</f>
        <v>IT</v>
      </c>
      <c r="D40" s="0" t="str">
        <f aca="false">Kunci_Jawaban!T18</f>
        <v>Baru</v>
      </c>
      <c r="E40" s="19"/>
      <c r="F40" s="19"/>
      <c r="G40" s="19"/>
    </row>
    <row r="41" customFormat="false" ht="15" hidden="false" customHeight="false" outlineLevel="0" collapsed="false">
      <c r="A41" s="0" t="str">
        <f aca="false">Kunci_Jawaban!A19</f>
        <v>EMP1018</v>
      </c>
      <c r="B41" s="0" t="str">
        <f aca="false">Kunci_Jawaban!B19</f>
        <v>Ahmad Susanti</v>
      </c>
      <c r="C41" s="0" t="str">
        <f aca="false">Kunci_Jawaban!C19</f>
        <v>Quality Control</v>
      </c>
      <c r="D41" s="0" t="str">
        <f aca="false">Kunci_Jawaban!T19</f>
        <v>Menengah</v>
      </c>
      <c r="E41" s="19"/>
      <c r="F41" s="19"/>
      <c r="G41" s="19"/>
    </row>
    <row r="42" customFormat="false" ht="15" hidden="false" customHeight="false" outlineLevel="0" collapsed="false">
      <c r="A42" s="0" t="str">
        <f aca="false">Kunci_Jawaban!A20</f>
        <v>EMP1019</v>
      </c>
      <c r="B42" s="0" t="str">
        <f aca="false">Kunci_Jawaban!B20</f>
        <v>Wahyu Gunawan</v>
      </c>
      <c r="C42" s="0" t="str">
        <f aca="false">Kunci_Jawaban!C20</f>
        <v>HRD</v>
      </c>
      <c r="D42" s="0" t="str">
        <f aca="false">Kunci_Jawaban!T20</f>
        <v>Senior</v>
      </c>
      <c r="E42" s="19"/>
      <c r="F42" s="19"/>
      <c r="G42" s="19"/>
    </row>
    <row r="43" customFormat="false" ht="15" hidden="false" customHeight="false" outlineLevel="0" collapsed="false">
      <c r="A43" s="0" t="str">
        <f aca="false">Kunci_Jawaban!A21</f>
        <v>EMP1020</v>
      </c>
      <c r="B43" s="0" t="str">
        <f aca="false">Kunci_Jawaban!B21</f>
        <v>Dewi Handayani</v>
      </c>
      <c r="C43" s="0" t="str">
        <f aca="false">Kunci_Jawaban!C21</f>
        <v>Purchasing</v>
      </c>
      <c r="D43" s="0" t="str">
        <f aca="false">Kunci_Jawaban!T21</f>
        <v>Menengah</v>
      </c>
      <c r="E43" s="19"/>
      <c r="F43" s="19"/>
      <c r="G43" s="19"/>
    </row>
    <row r="44" customFormat="false" ht="15" hidden="false" customHeight="false" outlineLevel="0" collapsed="false">
      <c r="A44" s="0" t="str">
        <f aca="false">Kunci_Jawaban!A22</f>
        <v>EMP1021</v>
      </c>
      <c r="B44" s="0" t="str">
        <f aca="false">Kunci_Jawaban!B22</f>
        <v>Novi Nugroho</v>
      </c>
      <c r="C44" s="0" t="str">
        <f aca="false">Kunci_Jawaban!C22</f>
        <v>Quality Control</v>
      </c>
      <c r="D44" s="0" t="str">
        <f aca="false">Kunci_Jawaban!T22</f>
        <v>Menengah</v>
      </c>
      <c r="E44" s="19"/>
      <c r="F44" s="19"/>
      <c r="G44" s="19"/>
    </row>
    <row r="45" customFormat="false" ht="15" hidden="false" customHeight="false" outlineLevel="0" collapsed="false">
      <c r="A45" s="0" t="str">
        <f aca="false">Kunci_Jawaban!A23</f>
        <v>EMP1022</v>
      </c>
      <c r="B45" s="0" t="str">
        <f aca="false">Kunci_Jawaban!B23</f>
        <v>Deni Yulianti</v>
      </c>
      <c r="C45" s="0" t="str">
        <f aca="false">Kunci_Jawaban!C23</f>
        <v>Marketing</v>
      </c>
      <c r="D45" s="0" t="str">
        <f aca="false">Kunci_Jawaban!T23</f>
        <v>Menengah</v>
      </c>
      <c r="E45" s="19"/>
      <c r="F45" s="19"/>
      <c r="G45" s="19"/>
    </row>
    <row r="46" customFormat="false" ht="15" hidden="false" customHeight="false" outlineLevel="0" collapsed="false">
      <c r="A46" s="0" t="str">
        <f aca="false">Kunci_Jawaban!A24</f>
        <v>EMP1023</v>
      </c>
      <c r="B46" s="0" t="str">
        <f aca="false">Kunci_Jawaban!B24</f>
        <v>Fajar Gunawan</v>
      </c>
      <c r="C46" s="0" t="str">
        <f aca="false">Kunci_Jawaban!C24</f>
        <v>IT</v>
      </c>
      <c r="D46" s="0" t="str">
        <f aca="false">Kunci_Jawaban!T24</f>
        <v>Senior</v>
      </c>
      <c r="E46" s="19"/>
      <c r="F46" s="19"/>
      <c r="G46" s="19"/>
    </row>
    <row r="47" customFormat="false" ht="15" hidden="false" customHeight="false" outlineLevel="0" collapsed="false">
      <c r="A47" s="0" t="str">
        <f aca="false">Kunci_Jawaban!A25</f>
        <v>EMP1024</v>
      </c>
      <c r="B47" s="0" t="str">
        <f aca="false">Kunci_Jawaban!B25</f>
        <v>Dewi Wijaya</v>
      </c>
      <c r="C47" s="0" t="str">
        <f aca="false">Kunci_Jawaban!C25</f>
        <v>Marketing</v>
      </c>
      <c r="D47" s="0" t="str">
        <f aca="false">Kunci_Jawaban!T25</f>
        <v>Senior</v>
      </c>
      <c r="E47" s="19"/>
      <c r="F47" s="19"/>
      <c r="G47" s="19"/>
    </row>
    <row r="48" customFormat="false" ht="15" hidden="false" customHeight="false" outlineLevel="0" collapsed="false">
      <c r="A48" s="0" t="str">
        <f aca="false">Kunci_Jawaban!A26</f>
        <v>EMP1025</v>
      </c>
      <c r="B48" s="0" t="str">
        <f aca="false">Kunci_Jawaban!B26</f>
        <v>Ratna Kurniawan</v>
      </c>
      <c r="C48" s="0" t="str">
        <f aca="false">Kunci_Jawaban!C26</f>
        <v>HRD</v>
      </c>
      <c r="D48" s="0" t="str">
        <f aca="false">Kunci_Jawaban!T26</f>
        <v>Baru</v>
      </c>
      <c r="E48" s="19"/>
      <c r="F48" s="19"/>
      <c r="G48" s="19"/>
    </row>
    <row r="49" customFormat="false" ht="15" hidden="false" customHeight="false" outlineLevel="0" collapsed="false">
      <c r="A49" s="0" t="str">
        <f aca="false">Kunci_Jawaban!A27</f>
        <v>EMP1026</v>
      </c>
      <c r="B49" s="0" t="str">
        <f aca="false">Kunci_Jawaban!B27</f>
        <v>Yuni Susanti</v>
      </c>
      <c r="C49" s="0" t="str">
        <f aca="false">Kunci_Jawaban!C27</f>
        <v>HRD</v>
      </c>
      <c r="D49" s="0" t="str">
        <f aca="false">Kunci_Jawaban!T27</f>
        <v>Menengah</v>
      </c>
      <c r="E49" s="19"/>
      <c r="F49" s="19"/>
      <c r="G49" s="19"/>
    </row>
    <row r="50" customFormat="false" ht="15" hidden="false" customHeight="false" outlineLevel="0" collapsed="false">
      <c r="A50" s="0" t="str">
        <f aca="false">Kunci_Jawaban!A28</f>
        <v>EMP1027</v>
      </c>
      <c r="B50" s="0" t="str">
        <f aca="false">Kunci_Jawaban!B28</f>
        <v>Novi Ramadhan</v>
      </c>
      <c r="C50" s="0" t="str">
        <f aca="false">Kunci_Jawaban!C28</f>
        <v>Quality Control</v>
      </c>
      <c r="D50" s="0" t="str">
        <f aca="false">Kunci_Jawaban!T28</f>
        <v>Menengah</v>
      </c>
      <c r="E50" s="19"/>
      <c r="F50" s="19"/>
      <c r="G50" s="19"/>
    </row>
    <row r="51" customFormat="false" ht="15" hidden="false" customHeight="false" outlineLevel="0" collapsed="false">
      <c r="A51" s="0" t="str">
        <f aca="false">Kunci_Jawaban!A29</f>
        <v>EMP1028</v>
      </c>
      <c r="B51" s="0" t="str">
        <f aca="false">Kunci_Jawaban!B29</f>
        <v>Fajar Setiawan</v>
      </c>
      <c r="C51" s="0" t="str">
        <f aca="false">Kunci_Jawaban!C29</f>
        <v>Marketing</v>
      </c>
      <c r="D51" s="0" t="str">
        <f aca="false">Kunci_Jawaban!T29</f>
        <v>Baru</v>
      </c>
      <c r="E51" s="19"/>
      <c r="F51" s="19"/>
      <c r="G51" s="19"/>
    </row>
    <row r="52" customFormat="false" ht="15" hidden="false" customHeight="false" outlineLevel="0" collapsed="false">
      <c r="A52" s="0" t="str">
        <f aca="false">Kunci_Jawaban!A30</f>
        <v>EMP1029</v>
      </c>
      <c r="B52" s="0" t="str">
        <f aca="false">Kunci_Jawaban!B30</f>
        <v>Rizky Wardani</v>
      </c>
      <c r="C52" s="0" t="str">
        <f aca="false">Kunci_Jawaban!C30</f>
        <v>Quality Control</v>
      </c>
      <c r="D52" s="0" t="str">
        <f aca="false">Kunci_Jawaban!T30</f>
        <v>Menengah</v>
      </c>
      <c r="E52" s="19"/>
      <c r="F52" s="19"/>
      <c r="G52" s="19"/>
    </row>
    <row r="53" customFormat="false" ht="15" hidden="false" customHeight="false" outlineLevel="0" collapsed="false">
      <c r="A53" s="0" t="str">
        <f aca="false">Kunci_Jawaban!A31</f>
        <v>EMP1030</v>
      </c>
      <c r="B53" s="0" t="str">
        <f aca="false">Kunci_Jawaban!B31</f>
        <v>Bayu Sitorus</v>
      </c>
      <c r="C53" s="0" t="str">
        <f aca="false">Kunci_Jawaban!C31</f>
        <v>Marketing</v>
      </c>
      <c r="D53" s="0" t="str">
        <f aca="false">Kunci_Jawaban!T31</f>
        <v>Senior</v>
      </c>
      <c r="E53" s="19"/>
      <c r="F53" s="19"/>
      <c r="G53" s="19"/>
    </row>
    <row r="56" customFormat="false" ht="45" hidden="false" customHeight="true" outlineLevel="0" collapsed="false">
      <c r="A56" s="20" t="s">
        <v>737</v>
      </c>
      <c r="B56" s="20"/>
      <c r="C56" s="20"/>
      <c r="D56" s="20"/>
      <c r="E56" s="20"/>
      <c r="F56" s="20"/>
      <c r="G56" s="20"/>
    </row>
  </sheetData>
  <mergeCells count="1">
    <mergeCell ref="A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2026-08-17T07:03:38Z</dcterms:created>
  <dc:creator>openpyxl</dc:creator>
  <dc:description/>
  <dc:language>en-US</dc:language>
  <cp:lastModifiedBy/>
  <dcterms:modified xsi:type="dcterms:W3CDTF">2026-08-17T07:03:39Z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