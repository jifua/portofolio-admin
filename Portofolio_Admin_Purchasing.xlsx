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Mentah" sheetId="1" state="visible" r:id="rId3"/>
    <sheet name="Latihan_Isi_Sendiri" sheetId="2" state="visible" r:id="rId4"/>
    <sheet name="Kunci_Jawaban" sheetId="3" state="visible" r:id="rId5"/>
    <sheet name="Rekap_Ringkasan" sheetId="4" state="visible" r:id="rId6"/>
    <sheet name="Panduan_Rumus" sheetId="5" state="visible" r:id="rId7"/>
    <sheet name="Latihan_Lookup" sheetId="6" state="visible" r:id="rId8"/>
  </sheets>
  <definedNames>
    <definedName function="false" hidden="true" localSheetId="0" name="_xlnm._FilterDatabase" vbProcedure="false">Data_Mentah!$A$1:$K$231</definedName>
    <definedName function="false" hidden="true" localSheetId="2" name="_xlnm._FilterDatabase" vbProcedure="false">Kunci_Jawaban!$A$1:$N$231</definedName>
    <definedName function="false" hidden="true" localSheetId="1" name="_xlnm._FilterDatabase" vbProcedure="false">Latihan_Isi_Sendiri!$A$1:$N$231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<sst xmlns="http://schemas.openxmlformats.org/spreadsheetml/2006/main" count="5304" uniqueCount="798">
  <si>
    <t xml:space="preserve">No PO</t>
  </si>
  <si>
    <t xml:space="preserve">Tanggal PO</t>
  </si>
  <si>
    <t xml:space="preserve">Supplier</t>
  </si>
  <si>
    <t xml:space="preserve">Kode Barang</t>
  </si>
  <si>
    <t xml:space="preserve">Nama Barang</t>
  </si>
  <si>
    <t xml:space="preserve">Kategori</t>
  </si>
  <si>
    <t xml:space="preserve">Qty</t>
  </si>
  <si>
    <t xml:space="preserve">Harga Satuan</t>
  </si>
  <si>
    <t xml:space="preserve">Status PO</t>
  </si>
  <si>
    <t xml:space="preserve">Lead Time Janji (hari)</t>
  </si>
  <si>
    <t xml:space="preserve">Tanggal Terima Aktual</t>
  </si>
  <si>
    <t xml:space="preserve">PO-2024-0001</t>
  </si>
  <si>
    <t xml:space="preserve">2024-04-01</t>
  </si>
  <si>
    <t xml:space="preserve">PT Indo Chemical</t>
  </si>
  <si>
    <t xml:space="preserve">BA701</t>
  </si>
  <si>
    <t xml:space="preserve">Resin Polimer</t>
  </si>
  <si>
    <t xml:space="preserve">Bahan Baku</t>
  </si>
  <si>
    <t xml:space="preserve">Cancelled</t>
  </si>
  <si>
    <t xml:space="preserve">PO-2024-0002</t>
  </si>
  <si>
    <t xml:space="preserve">2024-03-24</t>
  </si>
  <si>
    <t xml:space="preserve">PT Mega Sparepart</t>
  </si>
  <si>
    <t xml:space="preserve">SP954</t>
  </si>
  <si>
    <t xml:space="preserve">Sensor Proximity</t>
  </si>
  <si>
    <t xml:space="preserve">Sparepart Mesin</t>
  </si>
  <si>
    <t xml:space="preserve">Approved</t>
  </si>
  <si>
    <t xml:space="preserve">PO-2024-0003</t>
  </si>
  <si>
    <t xml:space="preserve">2024-06-18</t>
  </si>
  <si>
    <t xml:space="preserve">CV Anugrah Teknik</t>
  </si>
  <si>
    <t xml:space="preserve">CO909</t>
  </si>
  <si>
    <t xml:space="preserve">Masker</t>
  </si>
  <si>
    <t xml:space="preserve">Consumables</t>
  </si>
  <si>
    <t xml:space="preserve">Received</t>
  </si>
  <si>
    <t xml:space="preserve">2024-06-23</t>
  </si>
  <si>
    <t xml:space="preserve">PO-2024-0004</t>
  </si>
  <si>
    <t xml:space="preserve">2024-02-20</t>
  </si>
  <si>
    <t xml:space="preserve">SP448</t>
  </si>
  <si>
    <t xml:space="preserve">Bearing 6205</t>
  </si>
  <si>
    <t xml:space="preserve">PO-2024-0005</t>
  </si>
  <si>
    <t xml:space="preserve">2024-01-16</t>
  </si>
  <si>
    <t xml:space="preserve">PT Karya Abadi</t>
  </si>
  <si>
    <t xml:space="preserve">AT333</t>
  </si>
  <si>
    <t xml:space="preserve">Ballpoint</t>
  </si>
  <si>
    <t xml:space="preserve">ATK</t>
  </si>
  <si>
    <t xml:space="preserve">PO-2024-0006</t>
  </si>
  <si>
    <t xml:space="preserve">2024-04-05</t>
  </si>
  <si>
    <t xml:space="preserve">CO187</t>
  </si>
  <si>
    <t xml:space="preserve">Isolasi Kabel</t>
  </si>
  <si>
    <t xml:space="preserve">Pending</t>
  </si>
  <si>
    <t xml:space="preserve">PO-2024-0007</t>
  </si>
  <si>
    <t xml:space="preserve">2024-02-12</t>
  </si>
  <si>
    <t xml:space="preserve">SP828</t>
  </si>
  <si>
    <t xml:space="preserve">Gear Reducer</t>
  </si>
  <si>
    <t xml:space="preserve">PO-2024-0008</t>
  </si>
  <si>
    <t xml:space="preserve">2024-07-03</t>
  </si>
  <si>
    <t xml:space="preserve">CV Sentosa Jaya</t>
  </si>
  <si>
    <t xml:space="preserve">BA415</t>
  </si>
  <si>
    <t xml:space="preserve">Plat Baja 2mm</t>
  </si>
  <si>
    <t xml:space="preserve">PO-2024-0009</t>
  </si>
  <si>
    <t xml:space="preserve">2024-03-08</t>
  </si>
  <si>
    <t xml:space="preserve">SP559</t>
  </si>
  <si>
    <t xml:space="preserve">2024-03-09</t>
  </si>
  <si>
    <t xml:space="preserve">PO-2024-0010</t>
  </si>
  <si>
    <t xml:space="preserve">2024-02-15</t>
  </si>
  <si>
    <t xml:space="preserve">BA711</t>
  </si>
  <si>
    <t xml:space="preserve">Cat Epoxy</t>
  </si>
  <si>
    <t xml:space="preserve">Bahan Kimia</t>
  </si>
  <si>
    <t xml:space="preserve">PO-2024-0011</t>
  </si>
  <si>
    <t xml:space="preserve">2024-05-29</t>
  </si>
  <si>
    <t xml:space="preserve">AT842</t>
  </si>
  <si>
    <t xml:space="preserve">Kertas A4</t>
  </si>
  <si>
    <t xml:space="preserve">PO-2024-0012</t>
  </si>
  <si>
    <t xml:space="preserve">2024-10-19</t>
  </si>
  <si>
    <t xml:space="preserve">CV Sinar Terang</t>
  </si>
  <si>
    <t xml:space="preserve">SP273</t>
  </si>
  <si>
    <t xml:space="preserve">2024-10-29</t>
  </si>
  <si>
    <t xml:space="preserve">PO-2024-0013</t>
  </si>
  <si>
    <t xml:space="preserve">2024-02-02</t>
  </si>
  <si>
    <t xml:space="preserve">PT Baja Perkasa</t>
  </si>
  <si>
    <t xml:space="preserve">AT531</t>
  </si>
  <si>
    <t xml:space="preserve">Map Folder</t>
  </si>
  <si>
    <t xml:space="preserve">PO-2024-0014</t>
  </si>
  <si>
    <t xml:space="preserve">2024-05-08</t>
  </si>
  <si>
    <t xml:space="preserve">CV Mitra Logistik</t>
  </si>
  <si>
    <t xml:space="preserve">CO708</t>
  </si>
  <si>
    <t xml:space="preserve">2024-05-15</t>
  </si>
  <si>
    <t xml:space="preserve">PO-2024-0015</t>
  </si>
  <si>
    <t xml:space="preserve">2024-01-04</t>
  </si>
  <si>
    <t xml:space="preserve">BA489</t>
  </si>
  <si>
    <t xml:space="preserve">Label Sticker</t>
  </si>
  <si>
    <t xml:space="preserve">Bahan Kemasan</t>
  </si>
  <si>
    <t xml:space="preserve">2024-01-14</t>
  </si>
  <si>
    <t xml:space="preserve">PO-2024-0016</t>
  </si>
  <si>
    <t xml:space="preserve">2024-06-02</t>
  </si>
  <si>
    <t xml:space="preserve">BA590</t>
  </si>
  <si>
    <t xml:space="preserve">Thinner</t>
  </si>
  <si>
    <t xml:space="preserve">PO-2024-0017</t>
  </si>
  <si>
    <t xml:space="preserve">PT Global Packaging</t>
  </si>
  <si>
    <t xml:space="preserve">BA433</t>
  </si>
  <si>
    <t xml:space="preserve">PO-2024-0018</t>
  </si>
  <si>
    <t xml:space="preserve">2024-07-05</t>
  </si>
  <si>
    <t xml:space="preserve">BA706</t>
  </si>
  <si>
    <t xml:space="preserve">PO-2024-0019</t>
  </si>
  <si>
    <t xml:space="preserve">CO548</t>
  </si>
  <si>
    <t xml:space="preserve">PO-2024-0020</t>
  </si>
  <si>
    <t xml:space="preserve">2024-07-28</t>
  </si>
  <si>
    <t xml:space="preserve">SP347</t>
  </si>
  <si>
    <t xml:space="preserve">Motor AC 1HP</t>
  </si>
  <si>
    <t xml:space="preserve">PO-2024-0021</t>
  </si>
  <si>
    <t xml:space="preserve">2024-02-07</t>
  </si>
  <si>
    <t xml:space="preserve">BA696</t>
  </si>
  <si>
    <t xml:space="preserve">Degreaser</t>
  </si>
  <si>
    <t xml:space="preserve">2024-02-23</t>
  </si>
  <si>
    <t xml:space="preserve">PO-2024-0022</t>
  </si>
  <si>
    <t xml:space="preserve">2024-01-19</t>
  </si>
  <si>
    <t xml:space="preserve">Baterai AA</t>
  </si>
  <si>
    <t xml:space="preserve">2024-01-27</t>
  </si>
  <si>
    <t xml:space="preserve">PO-2024-0023</t>
  </si>
  <si>
    <t xml:space="preserve">2024-03-26</t>
  </si>
  <si>
    <t xml:space="preserve">BA760</t>
  </si>
  <si>
    <t xml:space="preserve">Kawat Tembaga</t>
  </si>
  <si>
    <t xml:space="preserve">PO-2024-0024</t>
  </si>
  <si>
    <t xml:space="preserve">2024-08-08</t>
  </si>
  <si>
    <t xml:space="preserve">BA364</t>
  </si>
  <si>
    <t xml:space="preserve">PO-2024-0025</t>
  </si>
  <si>
    <t xml:space="preserve">2024-10-24</t>
  </si>
  <si>
    <t xml:space="preserve">SP483</t>
  </si>
  <si>
    <t xml:space="preserve">PO-2024-0026</t>
  </si>
  <si>
    <t xml:space="preserve">2024-12-19</t>
  </si>
  <si>
    <t xml:space="preserve">SP125</t>
  </si>
  <si>
    <t xml:space="preserve">2024-12-21</t>
  </si>
  <si>
    <t xml:space="preserve">PO-2024-0027</t>
  </si>
  <si>
    <t xml:space="preserve">2024-03-13</t>
  </si>
  <si>
    <t xml:space="preserve">BA566</t>
  </si>
  <si>
    <t xml:space="preserve">Plastik Wrap</t>
  </si>
  <si>
    <t xml:space="preserve">2024-03-25</t>
  </si>
  <si>
    <t xml:space="preserve">PO-2024-0028</t>
  </si>
  <si>
    <t xml:space="preserve">2024-02-19</t>
  </si>
  <si>
    <t xml:space="preserve">CO426</t>
  </si>
  <si>
    <t xml:space="preserve">PO-2024-0029</t>
  </si>
  <si>
    <t xml:space="preserve">2024-06-24</t>
  </si>
  <si>
    <t xml:space="preserve">CO858</t>
  </si>
  <si>
    <t xml:space="preserve">2024-07-02</t>
  </si>
  <si>
    <t xml:space="preserve">PO-2024-0030</t>
  </si>
  <si>
    <t xml:space="preserve">2024-10-13</t>
  </si>
  <si>
    <t xml:space="preserve">AT916</t>
  </si>
  <si>
    <t xml:space="preserve">Tinta Printer</t>
  </si>
  <si>
    <t xml:space="preserve">2024-10-27</t>
  </si>
  <si>
    <t xml:space="preserve">PO-2024-0031</t>
  </si>
  <si>
    <t xml:space="preserve">2024-01-15</t>
  </si>
  <si>
    <t xml:space="preserve">SP706</t>
  </si>
  <si>
    <t xml:space="preserve">2024-01-21</t>
  </si>
  <si>
    <t xml:space="preserve">PO-2024-0032</t>
  </si>
  <si>
    <t xml:space="preserve">2024-05-22</t>
  </si>
  <si>
    <t xml:space="preserve">BA918</t>
  </si>
  <si>
    <t xml:space="preserve">2024-05-30</t>
  </si>
  <si>
    <t xml:space="preserve">PO-2024-0033</t>
  </si>
  <si>
    <t xml:space="preserve">2024-08-22</t>
  </si>
  <si>
    <t xml:space="preserve">BA640</t>
  </si>
  <si>
    <t xml:space="preserve">Lakban Bening</t>
  </si>
  <si>
    <t xml:space="preserve">PO-2024-0034</t>
  </si>
  <si>
    <t xml:space="preserve">2024-07-19</t>
  </si>
  <si>
    <t xml:space="preserve">BA460</t>
  </si>
  <si>
    <t xml:space="preserve">Kain Katun Roll</t>
  </si>
  <si>
    <t xml:space="preserve">PO-2024-0035</t>
  </si>
  <si>
    <t xml:space="preserve">2024-11-10</t>
  </si>
  <si>
    <t xml:space="preserve">BA420</t>
  </si>
  <si>
    <t xml:space="preserve">2024-11-18</t>
  </si>
  <si>
    <t xml:space="preserve">PO-2024-0036</t>
  </si>
  <si>
    <t xml:space="preserve">BA528</t>
  </si>
  <si>
    <t xml:space="preserve">PO-2024-0037</t>
  </si>
  <si>
    <t xml:space="preserve">CO810</t>
  </si>
  <si>
    <t xml:space="preserve">PO-2024-0038</t>
  </si>
  <si>
    <t xml:space="preserve">2024-05-27</t>
  </si>
  <si>
    <t xml:space="preserve">SP962</t>
  </si>
  <si>
    <t xml:space="preserve">PO-2024-0039</t>
  </si>
  <si>
    <t xml:space="preserve">2024-09-05</t>
  </si>
  <si>
    <t xml:space="preserve">SP675</t>
  </si>
  <si>
    <t xml:space="preserve">2024-09-19</t>
  </si>
  <si>
    <t xml:space="preserve">PO-2024-0040</t>
  </si>
  <si>
    <t xml:space="preserve">2024-12-29</t>
  </si>
  <si>
    <t xml:space="preserve">AT184</t>
  </si>
  <si>
    <t xml:space="preserve">PO-2024-0041</t>
  </si>
  <si>
    <t xml:space="preserve">PT Sumber Makmur</t>
  </si>
  <si>
    <t xml:space="preserve">BA650</t>
  </si>
  <si>
    <t xml:space="preserve">Kardus Box L</t>
  </si>
  <si>
    <t xml:space="preserve">PO-2024-0042</t>
  </si>
  <si>
    <t xml:space="preserve">2024-09-10</t>
  </si>
  <si>
    <t xml:space="preserve">BA686</t>
  </si>
  <si>
    <t xml:space="preserve">PO-2024-0043</t>
  </si>
  <si>
    <t xml:space="preserve">2024-10-04</t>
  </si>
  <si>
    <t xml:space="preserve">CO659</t>
  </si>
  <si>
    <t xml:space="preserve">2024-10-11</t>
  </si>
  <si>
    <t xml:space="preserve">PO-2024-0044</t>
  </si>
  <si>
    <t xml:space="preserve">2024-01-17</t>
  </si>
  <si>
    <t xml:space="preserve">BA982</t>
  </si>
  <si>
    <t xml:space="preserve">PO-2024-0045</t>
  </si>
  <si>
    <t xml:space="preserve">2024-04-17</t>
  </si>
  <si>
    <t xml:space="preserve">CO981</t>
  </si>
  <si>
    <t xml:space="preserve">Majun</t>
  </si>
  <si>
    <t xml:space="preserve">2024-04-23</t>
  </si>
  <si>
    <t xml:space="preserve">PO-2024-0046</t>
  </si>
  <si>
    <t xml:space="preserve">2024-04-15</t>
  </si>
  <si>
    <t xml:space="preserve">BA645</t>
  </si>
  <si>
    <t xml:space="preserve">Pelumas Industri</t>
  </si>
  <si>
    <t xml:space="preserve">2024-04-24</t>
  </si>
  <si>
    <t xml:space="preserve">PO-2024-0047</t>
  </si>
  <si>
    <t xml:space="preserve">2024-10-20</t>
  </si>
  <si>
    <t xml:space="preserve">BA238</t>
  </si>
  <si>
    <t xml:space="preserve">PO-2024-0048</t>
  </si>
  <si>
    <t xml:space="preserve">2024-12-01</t>
  </si>
  <si>
    <t xml:space="preserve">CO355</t>
  </si>
  <si>
    <t xml:space="preserve">PO-2024-0049</t>
  </si>
  <si>
    <t xml:space="preserve">2024-09-07</t>
  </si>
  <si>
    <t xml:space="preserve">BA742</t>
  </si>
  <si>
    <t xml:space="preserve">2024-09-14</t>
  </si>
  <si>
    <t xml:space="preserve">PO-2024-0050</t>
  </si>
  <si>
    <t xml:space="preserve">2024-09-20</t>
  </si>
  <si>
    <t xml:space="preserve">CO565</t>
  </si>
  <si>
    <t xml:space="preserve">2024-09-22</t>
  </si>
  <si>
    <t xml:space="preserve">PO-2024-0051</t>
  </si>
  <si>
    <t xml:space="preserve">BA507</t>
  </si>
  <si>
    <t xml:space="preserve">PO-2024-0052</t>
  </si>
  <si>
    <t xml:space="preserve">2024-05-17</t>
  </si>
  <si>
    <t xml:space="preserve">BA660</t>
  </si>
  <si>
    <t xml:space="preserve">PO-2024-0053</t>
  </si>
  <si>
    <t xml:space="preserve">BA741</t>
  </si>
  <si>
    <t xml:space="preserve">2024-07-04</t>
  </si>
  <si>
    <t xml:space="preserve">PO-2024-0054</t>
  </si>
  <si>
    <t xml:space="preserve">2024-08-21</t>
  </si>
  <si>
    <t xml:space="preserve">AT805</t>
  </si>
  <si>
    <t xml:space="preserve">PO-2024-0055</t>
  </si>
  <si>
    <t xml:space="preserve">2024-03-22</t>
  </si>
  <si>
    <t xml:space="preserve">BA356</t>
  </si>
  <si>
    <t xml:space="preserve">PO-2024-0056</t>
  </si>
  <si>
    <t xml:space="preserve">CO843</t>
  </si>
  <si>
    <t xml:space="preserve">2024-01-29</t>
  </si>
  <si>
    <t xml:space="preserve">PO-2024-0057</t>
  </si>
  <si>
    <t xml:space="preserve">2024-01-01</t>
  </si>
  <si>
    <t xml:space="preserve">AT235</t>
  </si>
  <si>
    <t xml:space="preserve">2024-01-09</t>
  </si>
  <si>
    <t xml:space="preserve">PO-2024-0058</t>
  </si>
  <si>
    <t xml:space="preserve">2024-01-05</t>
  </si>
  <si>
    <t xml:space="preserve">BA810</t>
  </si>
  <si>
    <t xml:space="preserve">Biji Plastik HDPE</t>
  </si>
  <si>
    <t xml:space="preserve">PO-2024-0059</t>
  </si>
  <si>
    <t xml:space="preserve">2024-02-22</t>
  </si>
  <si>
    <t xml:space="preserve">BA406</t>
  </si>
  <si>
    <t xml:space="preserve">PO-2024-0060</t>
  </si>
  <si>
    <t xml:space="preserve">2024-11-24</t>
  </si>
  <si>
    <t xml:space="preserve">BA676</t>
  </si>
  <si>
    <t xml:space="preserve">2024-11-29</t>
  </si>
  <si>
    <t xml:space="preserve">PO-2024-0061</t>
  </si>
  <si>
    <t xml:space="preserve">2024-07-29</t>
  </si>
  <si>
    <t xml:space="preserve">CO980</t>
  </si>
  <si>
    <t xml:space="preserve">PO-2024-0062</t>
  </si>
  <si>
    <t xml:space="preserve">2024-03-04</t>
  </si>
  <si>
    <t xml:space="preserve">CO459</t>
  </si>
  <si>
    <t xml:space="preserve">2024-03-10</t>
  </si>
  <si>
    <t xml:space="preserve">PO-2024-0063</t>
  </si>
  <si>
    <t xml:space="preserve">2024-05-21</t>
  </si>
  <si>
    <t xml:space="preserve">SP715</t>
  </si>
  <si>
    <t xml:space="preserve">PO-2024-0064</t>
  </si>
  <si>
    <t xml:space="preserve">2024-12-03</t>
  </si>
  <si>
    <t xml:space="preserve">SP721</t>
  </si>
  <si>
    <t xml:space="preserve">PO-2024-0065</t>
  </si>
  <si>
    <t xml:space="preserve">2024-11-26</t>
  </si>
  <si>
    <t xml:space="preserve">SP495</t>
  </si>
  <si>
    <t xml:space="preserve">2024-12-09</t>
  </si>
  <si>
    <t xml:space="preserve">PO-2024-0066</t>
  </si>
  <si>
    <t xml:space="preserve">2024-09-27</t>
  </si>
  <si>
    <t xml:space="preserve">BA235</t>
  </si>
  <si>
    <t xml:space="preserve">2024-10-07</t>
  </si>
  <si>
    <t xml:space="preserve">PO-2024-0067</t>
  </si>
  <si>
    <t xml:space="preserve">BA114</t>
  </si>
  <si>
    <t xml:space="preserve">2024-02-14</t>
  </si>
  <si>
    <t xml:space="preserve">PO-2024-0068</t>
  </si>
  <si>
    <t xml:space="preserve">2024-09-16</t>
  </si>
  <si>
    <t xml:space="preserve">CO885</t>
  </si>
  <si>
    <t xml:space="preserve">PO-2024-0069</t>
  </si>
  <si>
    <t xml:space="preserve">2024-11-23</t>
  </si>
  <si>
    <t xml:space="preserve">BA256</t>
  </si>
  <si>
    <t xml:space="preserve">Solvent</t>
  </si>
  <si>
    <t xml:space="preserve">2024-12-08</t>
  </si>
  <si>
    <t xml:space="preserve">PO-2024-0070</t>
  </si>
  <si>
    <t xml:space="preserve">2024-03-20</t>
  </si>
  <si>
    <t xml:space="preserve">BA700</t>
  </si>
  <si>
    <t xml:space="preserve">2024-03-31</t>
  </si>
  <si>
    <t xml:space="preserve">PO-2024-0071</t>
  </si>
  <si>
    <t xml:space="preserve">2024-01-30</t>
  </si>
  <si>
    <t xml:space="preserve">BA218</t>
  </si>
  <si>
    <t xml:space="preserve">2024-02-03</t>
  </si>
  <si>
    <t xml:space="preserve">PO-2024-0072</t>
  </si>
  <si>
    <t xml:space="preserve">2024-01-07</t>
  </si>
  <si>
    <t xml:space="preserve">CO267</t>
  </si>
  <si>
    <t xml:space="preserve">Sarung Tangan</t>
  </si>
  <si>
    <t xml:space="preserve">PO-2024-0073</t>
  </si>
  <si>
    <t xml:space="preserve">2024-07-09</t>
  </si>
  <si>
    <t xml:space="preserve">CO850</t>
  </si>
  <si>
    <t xml:space="preserve">PO-2024-0074</t>
  </si>
  <si>
    <t xml:space="preserve">2024-06-20</t>
  </si>
  <si>
    <t xml:space="preserve">BA165</t>
  </si>
  <si>
    <t xml:space="preserve">2024-07-07</t>
  </si>
  <si>
    <t xml:space="preserve">PO-2024-0075</t>
  </si>
  <si>
    <t xml:space="preserve">BA476</t>
  </si>
  <si>
    <t xml:space="preserve">PO-2024-0076</t>
  </si>
  <si>
    <t xml:space="preserve">2024-12-11</t>
  </si>
  <si>
    <t xml:space="preserve">SP102</t>
  </si>
  <si>
    <t xml:space="preserve">2024-12-24</t>
  </si>
  <si>
    <t xml:space="preserve">PO-2024-0077</t>
  </si>
  <si>
    <t xml:space="preserve">2024-07-15</t>
  </si>
  <si>
    <t xml:space="preserve">SP666</t>
  </si>
  <si>
    <t xml:space="preserve">2024-07-24</t>
  </si>
  <si>
    <t xml:space="preserve">PO-2024-0078</t>
  </si>
  <si>
    <t xml:space="preserve">2024-06-12</t>
  </si>
  <si>
    <t xml:space="preserve">BA481</t>
  </si>
  <si>
    <t xml:space="preserve">PO-2024-0079</t>
  </si>
  <si>
    <t xml:space="preserve">BA510</t>
  </si>
  <si>
    <t xml:space="preserve">PO-2024-0080</t>
  </si>
  <si>
    <t xml:space="preserve">2024-06-16</t>
  </si>
  <si>
    <t xml:space="preserve">BA108</t>
  </si>
  <si>
    <t xml:space="preserve">PO-2024-0081</t>
  </si>
  <si>
    <t xml:space="preserve">2024-08-25</t>
  </si>
  <si>
    <t xml:space="preserve">BA891</t>
  </si>
  <si>
    <t xml:space="preserve">PO-2024-0082</t>
  </si>
  <si>
    <t xml:space="preserve">2024-05-05</t>
  </si>
  <si>
    <t xml:space="preserve">BA124</t>
  </si>
  <si>
    <t xml:space="preserve">2024-05-11</t>
  </si>
  <si>
    <t xml:space="preserve">PO-2024-0083</t>
  </si>
  <si>
    <t xml:space="preserve">CO206</t>
  </si>
  <si>
    <t xml:space="preserve">PO-2024-0084</t>
  </si>
  <si>
    <t xml:space="preserve">2024-09-08</t>
  </si>
  <si>
    <t xml:space="preserve">SP195</t>
  </si>
  <si>
    <t xml:space="preserve">PO-2024-0085</t>
  </si>
  <si>
    <t xml:space="preserve">2024-07-30</t>
  </si>
  <si>
    <t xml:space="preserve">AT694</t>
  </si>
  <si>
    <t xml:space="preserve">PO-2024-0086</t>
  </si>
  <si>
    <t xml:space="preserve">2024-10-30</t>
  </si>
  <si>
    <t xml:space="preserve">BA778</t>
  </si>
  <si>
    <t xml:space="preserve">2024-11-09</t>
  </si>
  <si>
    <t xml:space="preserve">PO-2024-0087</t>
  </si>
  <si>
    <t xml:space="preserve">2024-07-20</t>
  </si>
  <si>
    <t xml:space="preserve">BA378</t>
  </si>
  <si>
    <t xml:space="preserve">PO-2024-0088</t>
  </si>
  <si>
    <t xml:space="preserve">2024-10-26</t>
  </si>
  <si>
    <t xml:space="preserve">SP268</t>
  </si>
  <si>
    <t xml:space="preserve">2024-11-04</t>
  </si>
  <si>
    <t xml:space="preserve">PO-2024-0089</t>
  </si>
  <si>
    <t xml:space="preserve">AT574</t>
  </si>
  <si>
    <t xml:space="preserve">PO-2024-0090</t>
  </si>
  <si>
    <t xml:space="preserve">2024-04-20</t>
  </si>
  <si>
    <t xml:space="preserve">2024-04-25</t>
  </si>
  <si>
    <t xml:space="preserve">PO-2024-0091</t>
  </si>
  <si>
    <t xml:space="preserve">2024-05-13</t>
  </si>
  <si>
    <t xml:space="preserve">BA975</t>
  </si>
  <si>
    <t xml:space="preserve">PO-2024-0092</t>
  </si>
  <si>
    <t xml:space="preserve">2024-02-18</t>
  </si>
  <si>
    <t xml:space="preserve">BA224</t>
  </si>
  <si>
    <t xml:space="preserve">PO-2024-0093</t>
  </si>
  <si>
    <t xml:space="preserve">2024-03-07</t>
  </si>
  <si>
    <t xml:space="preserve">AT802</t>
  </si>
  <si>
    <t xml:space="preserve">PO-2024-0094</t>
  </si>
  <si>
    <t xml:space="preserve">2024-02-08</t>
  </si>
  <si>
    <t xml:space="preserve">BA761</t>
  </si>
  <si>
    <t xml:space="preserve">PO-2024-0095</t>
  </si>
  <si>
    <t xml:space="preserve">2024-01-22</t>
  </si>
  <si>
    <t xml:space="preserve">BA687</t>
  </si>
  <si>
    <t xml:space="preserve">2024-02-05</t>
  </si>
  <si>
    <t xml:space="preserve">PO-2024-0096</t>
  </si>
  <si>
    <t xml:space="preserve">2024-03-29</t>
  </si>
  <si>
    <t xml:space="preserve">SP381</t>
  </si>
  <si>
    <t xml:space="preserve">Belt Conveyor</t>
  </si>
  <si>
    <t xml:space="preserve">PO-2024-0097</t>
  </si>
  <si>
    <t xml:space="preserve">BA762</t>
  </si>
  <si>
    <t xml:space="preserve">PO-2024-0098</t>
  </si>
  <si>
    <t xml:space="preserve">2024-02-01</t>
  </si>
  <si>
    <t xml:space="preserve">BA240</t>
  </si>
  <si>
    <t xml:space="preserve">PO-2024-0099</t>
  </si>
  <si>
    <t xml:space="preserve">2024-05-07</t>
  </si>
  <si>
    <t xml:space="preserve">BA900</t>
  </si>
  <si>
    <t xml:space="preserve">2024-05-20</t>
  </si>
  <si>
    <t xml:space="preserve">PO-2024-0100</t>
  </si>
  <si>
    <t xml:space="preserve">2024-10-16</t>
  </si>
  <si>
    <t xml:space="preserve">BA376</t>
  </si>
  <si>
    <t xml:space="preserve">PO-2024-0101</t>
  </si>
  <si>
    <t xml:space="preserve">2024-05-23</t>
  </si>
  <si>
    <t xml:space="preserve">AT466</t>
  </si>
  <si>
    <t xml:space="preserve">Stapler</t>
  </si>
  <si>
    <t xml:space="preserve">PO-2024-0102</t>
  </si>
  <si>
    <t xml:space="preserve">2024-05-06</t>
  </si>
  <si>
    <t xml:space="preserve">BA935</t>
  </si>
  <si>
    <t xml:space="preserve">PO-2024-0103</t>
  </si>
  <si>
    <t xml:space="preserve">2024-10-21</t>
  </si>
  <si>
    <t xml:space="preserve">BA280</t>
  </si>
  <si>
    <t xml:space="preserve">PO-2024-0104</t>
  </si>
  <si>
    <t xml:space="preserve">CO681</t>
  </si>
  <si>
    <t xml:space="preserve">PO-2024-0105</t>
  </si>
  <si>
    <t xml:space="preserve">2024-09-09</t>
  </si>
  <si>
    <t xml:space="preserve">BA602</t>
  </si>
  <si>
    <t xml:space="preserve">2024-09-24</t>
  </si>
  <si>
    <t xml:space="preserve">PO-2024-0106</t>
  </si>
  <si>
    <t xml:space="preserve">2024-01-11</t>
  </si>
  <si>
    <t xml:space="preserve">AT439</t>
  </si>
  <si>
    <t xml:space="preserve">PO-2024-0107</t>
  </si>
  <si>
    <t xml:space="preserve">BA251</t>
  </si>
  <si>
    <t xml:space="preserve">PO-2024-0108</t>
  </si>
  <si>
    <t xml:space="preserve">2024-07-10</t>
  </si>
  <si>
    <t xml:space="preserve">PO-2024-0109</t>
  </si>
  <si>
    <t xml:space="preserve">2024-08-11</t>
  </si>
  <si>
    <t xml:space="preserve">CO278</t>
  </si>
  <si>
    <t xml:space="preserve">PO-2024-0110</t>
  </si>
  <si>
    <t xml:space="preserve">2024-07-01</t>
  </si>
  <si>
    <t xml:space="preserve">CO934</t>
  </si>
  <si>
    <t xml:space="preserve">2024-07-08</t>
  </si>
  <si>
    <t xml:space="preserve">PO-2024-0111</t>
  </si>
  <si>
    <t xml:space="preserve">CO500</t>
  </si>
  <si>
    <t xml:space="preserve">2024-04-08</t>
  </si>
  <si>
    <t xml:space="preserve">PO-2024-0112</t>
  </si>
  <si>
    <t xml:space="preserve">BA244</t>
  </si>
  <si>
    <t xml:space="preserve">2024-11-30</t>
  </si>
  <si>
    <t xml:space="preserve">PO-2024-0113</t>
  </si>
  <si>
    <t xml:space="preserve">2024-11-21</t>
  </si>
  <si>
    <t xml:space="preserve">CO557</t>
  </si>
  <si>
    <t xml:space="preserve">2024-11-27</t>
  </si>
  <si>
    <t xml:space="preserve">PO-2024-0114</t>
  </si>
  <si>
    <t xml:space="preserve">CO149</t>
  </si>
  <si>
    <t xml:space="preserve">PO-2024-0115</t>
  </si>
  <si>
    <t xml:space="preserve">AT659</t>
  </si>
  <si>
    <t xml:space="preserve">PO-2024-0116</t>
  </si>
  <si>
    <t xml:space="preserve">SP175</t>
  </si>
  <si>
    <t xml:space="preserve">PO-2024-0117</t>
  </si>
  <si>
    <t xml:space="preserve">BA484</t>
  </si>
  <si>
    <t xml:space="preserve">2024-02-29</t>
  </si>
  <si>
    <t xml:space="preserve">PO-2024-0118</t>
  </si>
  <si>
    <t xml:space="preserve">2024-10-31</t>
  </si>
  <si>
    <t xml:space="preserve">AT541</t>
  </si>
  <si>
    <t xml:space="preserve">PO-2024-0119</t>
  </si>
  <si>
    <t xml:space="preserve">2024-03-21</t>
  </si>
  <si>
    <t xml:space="preserve">BA310</t>
  </si>
  <si>
    <t xml:space="preserve">PO-2024-0120</t>
  </si>
  <si>
    <t xml:space="preserve">BA198</t>
  </si>
  <si>
    <t xml:space="preserve">PO-2024-0121</t>
  </si>
  <si>
    <t xml:space="preserve">2024-03-19</t>
  </si>
  <si>
    <t xml:space="preserve">BA537</t>
  </si>
  <si>
    <t xml:space="preserve">Kardus Box S</t>
  </si>
  <si>
    <t xml:space="preserve">PO-2024-0122</t>
  </si>
  <si>
    <t xml:space="preserve">2024-09-02</t>
  </si>
  <si>
    <t xml:space="preserve">BA311</t>
  </si>
  <si>
    <t xml:space="preserve">PO-2024-0123</t>
  </si>
  <si>
    <t xml:space="preserve">AT600</t>
  </si>
  <si>
    <t xml:space="preserve">2024-03-18</t>
  </si>
  <si>
    <t xml:space="preserve">PO-2024-0124</t>
  </si>
  <si>
    <t xml:space="preserve">2024-04-04</t>
  </si>
  <si>
    <t xml:space="preserve">AT291</t>
  </si>
  <si>
    <t xml:space="preserve">2024-04-16</t>
  </si>
  <si>
    <t xml:space="preserve">PO-2024-0125</t>
  </si>
  <si>
    <t xml:space="preserve">BA254</t>
  </si>
  <si>
    <t xml:space="preserve">PO-2024-0126</t>
  </si>
  <si>
    <t xml:space="preserve">SP162</t>
  </si>
  <si>
    <t xml:space="preserve">PO-2024-0127</t>
  </si>
  <si>
    <t xml:space="preserve">2024-10-01</t>
  </si>
  <si>
    <t xml:space="preserve">BA587</t>
  </si>
  <si>
    <t xml:space="preserve">2024-10-10</t>
  </si>
  <si>
    <t xml:space="preserve">PO-2024-0128</t>
  </si>
  <si>
    <t xml:space="preserve">BA250</t>
  </si>
  <si>
    <t xml:space="preserve">2024-10-25</t>
  </si>
  <si>
    <t xml:space="preserve">PO-2024-0129</t>
  </si>
  <si>
    <t xml:space="preserve">BA180</t>
  </si>
  <si>
    <t xml:space="preserve">PO-2024-0130</t>
  </si>
  <si>
    <t xml:space="preserve">BA669</t>
  </si>
  <si>
    <t xml:space="preserve">2024-06-25</t>
  </si>
  <si>
    <t xml:space="preserve">PO-2024-0131</t>
  </si>
  <si>
    <t xml:space="preserve">CO701</t>
  </si>
  <si>
    <t xml:space="preserve">2024-08-27</t>
  </si>
  <si>
    <t xml:space="preserve">PO-2024-0132</t>
  </si>
  <si>
    <t xml:space="preserve">2024-10-17</t>
  </si>
  <si>
    <t xml:space="preserve">BA208</t>
  </si>
  <si>
    <t xml:space="preserve">PO-2024-0133</t>
  </si>
  <si>
    <t xml:space="preserve">BA770</t>
  </si>
  <si>
    <t xml:space="preserve">2024-07-06</t>
  </si>
  <si>
    <t xml:space="preserve">PO-2024-0134</t>
  </si>
  <si>
    <t xml:space="preserve">2024-03-14</t>
  </si>
  <si>
    <t xml:space="preserve">BA139</t>
  </si>
  <si>
    <t xml:space="preserve">PO-2024-0135</t>
  </si>
  <si>
    <t xml:space="preserve">2024-08-31</t>
  </si>
  <si>
    <t xml:space="preserve">BA445</t>
  </si>
  <si>
    <t xml:space="preserve">PO-2024-0136</t>
  </si>
  <si>
    <t xml:space="preserve">2024-04-26</t>
  </si>
  <si>
    <t xml:space="preserve">BA892</t>
  </si>
  <si>
    <t xml:space="preserve">PO-2024-0137</t>
  </si>
  <si>
    <t xml:space="preserve">2024-04-06</t>
  </si>
  <si>
    <t xml:space="preserve">SP858</t>
  </si>
  <si>
    <t xml:space="preserve">PO-2024-0138</t>
  </si>
  <si>
    <t xml:space="preserve">BA826</t>
  </si>
  <si>
    <t xml:space="preserve">2024-10-02</t>
  </si>
  <si>
    <t xml:space="preserve">PO-2024-0139</t>
  </si>
  <si>
    <t xml:space="preserve">SP355</t>
  </si>
  <si>
    <t xml:space="preserve">PO-2024-0140</t>
  </si>
  <si>
    <t xml:space="preserve">AT506</t>
  </si>
  <si>
    <t xml:space="preserve">PO-2024-0141</t>
  </si>
  <si>
    <t xml:space="preserve">BA281</t>
  </si>
  <si>
    <t xml:space="preserve">PO-2024-0142</t>
  </si>
  <si>
    <t xml:space="preserve">BA391</t>
  </si>
  <si>
    <t xml:space="preserve">PO-2024-0143</t>
  </si>
  <si>
    <t xml:space="preserve">CO375</t>
  </si>
  <si>
    <t xml:space="preserve">2024-05-01</t>
  </si>
  <si>
    <t xml:space="preserve">PO-2024-0144</t>
  </si>
  <si>
    <t xml:space="preserve">BA329</t>
  </si>
  <si>
    <t xml:space="preserve">PO-2024-0145</t>
  </si>
  <si>
    <t xml:space="preserve">2024-08-04</t>
  </si>
  <si>
    <t xml:space="preserve">BA358</t>
  </si>
  <si>
    <t xml:space="preserve">PO-2024-0146</t>
  </si>
  <si>
    <t xml:space="preserve">PO-2024-0147</t>
  </si>
  <si>
    <t xml:space="preserve">2024-11-07</t>
  </si>
  <si>
    <t xml:space="preserve">BA593</t>
  </si>
  <si>
    <t xml:space="preserve">PO-2024-0148</t>
  </si>
  <si>
    <t xml:space="preserve">CO292</t>
  </si>
  <si>
    <t xml:space="preserve">PO-2024-0149</t>
  </si>
  <si>
    <t xml:space="preserve">2024-11-03</t>
  </si>
  <si>
    <t xml:space="preserve">CO797</t>
  </si>
  <si>
    <t xml:space="preserve">PO-2024-0150</t>
  </si>
  <si>
    <t xml:space="preserve">2024-05-12</t>
  </si>
  <si>
    <t xml:space="preserve">AT854</t>
  </si>
  <si>
    <t xml:space="preserve">PO-2024-0151</t>
  </si>
  <si>
    <t xml:space="preserve">2024-11-22</t>
  </si>
  <si>
    <t xml:space="preserve">CO619</t>
  </si>
  <si>
    <t xml:space="preserve">PO-2024-0152</t>
  </si>
  <si>
    <t xml:space="preserve">2024-04-02</t>
  </si>
  <si>
    <t xml:space="preserve">BA231</t>
  </si>
  <si>
    <t xml:space="preserve">PO-2024-0153</t>
  </si>
  <si>
    <t xml:space="preserve">2024-04-03</t>
  </si>
  <si>
    <t xml:space="preserve">CO327</t>
  </si>
  <si>
    <t xml:space="preserve">PO-2024-0154</t>
  </si>
  <si>
    <t xml:space="preserve">2024-08-03</t>
  </si>
  <si>
    <t xml:space="preserve">BA699</t>
  </si>
  <si>
    <t xml:space="preserve">PO-2024-0155</t>
  </si>
  <si>
    <t xml:space="preserve">2024-01-28</t>
  </si>
  <si>
    <t xml:space="preserve">BA172</t>
  </si>
  <si>
    <t xml:space="preserve">2024-02-13</t>
  </si>
  <si>
    <t xml:space="preserve">PO-2024-0156</t>
  </si>
  <si>
    <t xml:space="preserve">2024-06-01</t>
  </si>
  <si>
    <t xml:space="preserve">PO-2024-0157</t>
  </si>
  <si>
    <t xml:space="preserve">CO897</t>
  </si>
  <si>
    <t xml:space="preserve">PO-2024-0158</t>
  </si>
  <si>
    <t xml:space="preserve">2024-11-20</t>
  </si>
  <si>
    <t xml:space="preserve">BA380</t>
  </si>
  <si>
    <t xml:space="preserve">PO-2024-0159</t>
  </si>
  <si>
    <t xml:space="preserve">SP544</t>
  </si>
  <si>
    <t xml:space="preserve">2024-09-21</t>
  </si>
  <si>
    <t xml:space="preserve">PO-2024-0160</t>
  </si>
  <si>
    <t xml:space="preserve">2024-01-03</t>
  </si>
  <si>
    <t xml:space="preserve">BA848</t>
  </si>
  <si>
    <t xml:space="preserve">PO-2024-0161</t>
  </si>
  <si>
    <t xml:space="preserve">2024-04-07</t>
  </si>
  <si>
    <t xml:space="preserve">CO741</t>
  </si>
  <si>
    <t xml:space="preserve">PO-2024-0162</t>
  </si>
  <si>
    <t xml:space="preserve">AT702</t>
  </si>
  <si>
    <t xml:space="preserve">2024-03-12</t>
  </si>
  <si>
    <t xml:space="preserve">PO-2024-0163</t>
  </si>
  <si>
    <t xml:space="preserve">2024-05-28</t>
  </si>
  <si>
    <t xml:space="preserve">CO710</t>
  </si>
  <si>
    <t xml:space="preserve">2024-06-05</t>
  </si>
  <si>
    <t xml:space="preserve">PO-2024-0164</t>
  </si>
  <si>
    <t xml:space="preserve">SP931</t>
  </si>
  <si>
    <t xml:space="preserve">2024-09-13</t>
  </si>
  <si>
    <t xml:space="preserve">PO-2024-0165</t>
  </si>
  <si>
    <t xml:space="preserve">2024-01-12</t>
  </si>
  <si>
    <t xml:space="preserve">BA226</t>
  </si>
  <si>
    <t xml:space="preserve">2024-01-25</t>
  </si>
  <si>
    <t xml:space="preserve">PO-2024-0166</t>
  </si>
  <si>
    <t xml:space="preserve">2024-11-15</t>
  </si>
  <si>
    <t xml:space="preserve">BA777</t>
  </si>
  <si>
    <t xml:space="preserve">PO-2024-0167</t>
  </si>
  <si>
    <t xml:space="preserve">2024-08-15</t>
  </si>
  <si>
    <t xml:space="preserve">2024-08-20</t>
  </si>
  <si>
    <t xml:space="preserve">PO-2024-0168</t>
  </si>
  <si>
    <t xml:space="preserve">CO376</t>
  </si>
  <si>
    <t xml:space="preserve">2024-08-12</t>
  </si>
  <si>
    <t xml:space="preserve">PO-2024-0169</t>
  </si>
  <si>
    <t xml:space="preserve">2024-11-12</t>
  </si>
  <si>
    <t xml:space="preserve">BA903</t>
  </si>
  <si>
    <t xml:space="preserve">2024-11-19</t>
  </si>
  <si>
    <t xml:space="preserve">PO-2024-0170</t>
  </si>
  <si>
    <t xml:space="preserve">BA402</t>
  </si>
  <si>
    <t xml:space="preserve">PO-2024-0171</t>
  </si>
  <si>
    <t xml:space="preserve">BA787</t>
  </si>
  <si>
    <t xml:space="preserve">PO-2024-0172</t>
  </si>
  <si>
    <t xml:space="preserve">2024-03-17</t>
  </si>
  <si>
    <t xml:space="preserve">BA840</t>
  </si>
  <si>
    <t xml:space="preserve">PO-2024-0173</t>
  </si>
  <si>
    <t xml:space="preserve">BA151</t>
  </si>
  <si>
    <t xml:space="preserve">PO-2024-0174</t>
  </si>
  <si>
    <t xml:space="preserve">AT197</t>
  </si>
  <si>
    <t xml:space="preserve">PO-2024-0175</t>
  </si>
  <si>
    <t xml:space="preserve">2024-06-17</t>
  </si>
  <si>
    <t xml:space="preserve">AT374</t>
  </si>
  <si>
    <t xml:space="preserve">PO-2024-0176</t>
  </si>
  <si>
    <t xml:space="preserve">2024-02-28</t>
  </si>
  <si>
    <t xml:space="preserve">AT378</t>
  </si>
  <si>
    <t xml:space="preserve">PO-2024-0177</t>
  </si>
  <si>
    <t xml:space="preserve">BA812</t>
  </si>
  <si>
    <t xml:space="preserve">PO-2024-0178</t>
  </si>
  <si>
    <t xml:space="preserve">BA921</t>
  </si>
  <si>
    <t xml:space="preserve">PO-2024-0179</t>
  </si>
  <si>
    <t xml:space="preserve">CO594</t>
  </si>
  <si>
    <t xml:space="preserve">PO-2024-0180</t>
  </si>
  <si>
    <t xml:space="preserve">2024-01-24</t>
  </si>
  <si>
    <t xml:space="preserve">BA112</t>
  </si>
  <si>
    <t xml:space="preserve">PO-2024-0181</t>
  </si>
  <si>
    <t xml:space="preserve">CO631</t>
  </si>
  <si>
    <t xml:space="preserve">PO-2024-0182</t>
  </si>
  <si>
    <t xml:space="preserve">2024-06-26</t>
  </si>
  <si>
    <t xml:space="preserve">SP727</t>
  </si>
  <si>
    <t xml:space="preserve">PO-2024-0183</t>
  </si>
  <si>
    <t xml:space="preserve">2024-09-15</t>
  </si>
  <si>
    <t xml:space="preserve">AT176</t>
  </si>
  <si>
    <t xml:space="preserve">PO-2024-0184</t>
  </si>
  <si>
    <t xml:space="preserve">2024-01-26</t>
  </si>
  <si>
    <t xml:space="preserve">SP758</t>
  </si>
  <si>
    <t xml:space="preserve">PO-2024-0185</t>
  </si>
  <si>
    <t xml:space="preserve">2024-08-23</t>
  </si>
  <si>
    <t xml:space="preserve">BA190</t>
  </si>
  <si>
    <t xml:space="preserve">PO-2024-0186</t>
  </si>
  <si>
    <t xml:space="preserve">BA522</t>
  </si>
  <si>
    <t xml:space="preserve">2024-12-05</t>
  </si>
  <si>
    <t xml:space="preserve">PO-2024-0187</t>
  </si>
  <si>
    <t xml:space="preserve">2024-09-17</t>
  </si>
  <si>
    <t xml:space="preserve">SP449</t>
  </si>
  <si>
    <t xml:space="preserve">PO-2024-0188</t>
  </si>
  <si>
    <t xml:space="preserve">BA584</t>
  </si>
  <si>
    <t xml:space="preserve">PO-2024-0189</t>
  </si>
  <si>
    <t xml:space="preserve">BA463</t>
  </si>
  <si>
    <t xml:space="preserve">2024-02-25</t>
  </si>
  <si>
    <t xml:space="preserve">PO-2024-0190</t>
  </si>
  <si>
    <t xml:space="preserve">AT941</t>
  </si>
  <si>
    <t xml:space="preserve">PO-2024-0191</t>
  </si>
  <si>
    <t xml:space="preserve">AT568</t>
  </si>
  <si>
    <t xml:space="preserve">PO-2024-0192</t>
  </si>
  <si>
    <t xml:space="preserve">2024-07-31</t>
  </si>
  <si>
    <t xml:space="preserve">CO226</t>
  </si>
  <si>
    <t xml:space="preserve">PO-2024-0193</t>
  </si>
  <si>
    <t xml:space="preserve">BA853</t>
  </si>
  <si>
    <t xml:space="preserve">PO-2024-0194</t>
  </si>
  <si>
    <t xml:space="preserve">2024-09-04</t>
  </si>
  <si>
    <t xml:space="preserve">SP277</t>
  </si>
  <si>
    <t xml:space="preserve">PO-2024-0195</t>
  </si>
  <si>
    <t xml:space="preserve">AT809</t>
  </si>
  <si>
    <t xml:space="preserve">PO-2024-0196</t>
  </si>
  <si>
    <t xml:space="preserve">2024-08-19</t>
  </si>
  <si>
    <t xml:space="preserve">SP716</t>
  </si>
  <si>
    <t xml:space="preserve">PO-2024-0197</t>
  </si>
  <si>
    <t xml:space="preserve">2024-12-30</t>
  </si>
  <si>
    <t xml:space="preserve">CO305</t>
  </si>
  <si>
    <t xml:space="preserve">PO-2024-0198</t>
  </si>
  <si>
    <t xml:space="preserve">PO-2024-0199</t>
  </si>
  <si>
    <t xml:space="preserve">2024-10-14</t>
  </si>
  <si>
    <t xml:space="preserve">BA783</t>
  </si>
  <si>
    <t xml:space="preserve">PO-2024-0200</t>
  </si>
  <si>
    <t xml:space="preserve">2024-05-26</t>
  </si>
  <si>
    <t xml:space="preserve">BA209</t>
  </si>
  <si>
    <t xml:space="preserve">PO-2024-0201</t>
  </si>
  <si>
    <t xml:space="preserve">2024-05-16</t>
  </si>
  <si>
    <t xml:space="preserve">BA249</t>
  </si>
  <si>
    <t xml:space="preserve">PO-2024-0202</t>
  </si>
  <si>
    <t xml:space="preserve">2024-04-14</t>
  </si>
  <si>
    <t xml:space="preserve">BA933</t>
  </si>
  <si>
    <t xml:space="preserve">PO-2024-0203</t>
  </si>
  <si>
    <t xml:space="preserve">AT623</t>
  </si>
  <si>
    <t xml:space="preserve">PO-2024-0204</t>
  </si>
  <si>
    <t xml:space="preserve">2024-07-14</t>
  </si>
  <si>
    <t xml:space="preserve">AT665</t>
  </si>
  <si>
    <t xml:space="preserve">PO-2024-0205</t>
  </si>
  <si>
    <t xml:space="preserve">2024-11-13</t>
  </si>
  <si>
    <t xml:space="preserve">SP873</t>
  </si>
  <si>
    <t xml:space="preserve">PO-2024-0206</t>
  </si>
  <si>
    <t xml:space="preserve">2024-04-09</t>
  </si>
  <si>
    <t xml:space="preserve">AT799</t>
  </si>
  <si>
    <t xml:space="preserve">PO-2024-0207</t>
  </si>
  <si>
    <t xml:space="preserve">2024-03-02</t>
  </si>
  <si>
    <t xml:space="preserve">BA385</t>
  </si>
  <si>
    <t xml:space="preserve">PO-2024-0208</t>
  </si>
  <si>
    <t xml:space="preserve">AT140</t>
  </si>
  <si>
    <t xml:space="preserve">PO-2024-0209</t>
  </si>
  <si>
    <t xml:space="preserve">2024-12-04</t>
  </si>
  <si>
    <t xml:space="preserve">AT663</t>
  </si>
  <si>
    <t xml:space="preserve">PO-2024-0210</t>
  </si>
  <si>
    <t xml:space="preserve">2024-09-26</t>
  </si>
  <si>
    <t xml:space="preserve">SP169</t>
  </si>
  <si>
    <t xml:space="preserve">PO-2024-0211</t>
  </si>
  <si>
    <t xml:space="preserve">2024-07-25</t>
  </si>
  <si>
    <t xml:space="preserve">BA318</t>
  </si>
  <si>
    <t xml:space="preserve">2024-08-02</t>
  </si>
  <si>
    <t xml:space="preserve">PO-2024-0212</t>
  </si>
  <si>
    <t xml:space="preserve">AT943</t>
  </si>
  <si>
    <t xml:space="preserve">PO-2024-0213</t>
  </si>
  <si>
    <t xml:space="preserve">2024-05-03</t>
  </si>
  <si>
    <t xml:space="preserve">BA140</t>
  </si>
  <si>
    <t xml:space="preserve">2024-05-10</t>
  </si>
  <si>
    <t xml:space="preserve">PO-2024-0214</t>
  </si>
  <si>
    <t xml:space="preserve">CO125</t>
  </si>
  <si>
    <t xml:space="preserve">PO-2024-0215</t>
  </si>
  <si>
    <t xml:space="preserve">AT144</t>
  </si>
  <si>
    <t xml:space="preserve">PO-2024-0216</t>
  </si>
  <si>
    <t xml:space="preserve">PO-2024-0217</t>
  </si>
  <si>
    <t xml:space="preserve">2024-12-16</t>
  </si>
  <si>
    <t xml:space="preserve">PO-2024-0218</t>
  </si>
  <si>
    <t xml:space="preserve">2024-12-17</t>
  </si>
  <si>
    <t xml:space="preserve">BA834</t>
  </si>
  <si>
    <t xml:space="preserve">2024-12-20</t>
  </si>
  <si>
    <t xml:space="preserve">PO-2024-0219</t>
  </si>
  <si>
    <t xml:space="preserve">BA941</t>
  </si>
  <si>
    <t xml:space="preserve">PO-2024-0220</t>
  </si>
  <si>
    <t xml:space="preserve">2024-08-09</t>
  </si>
  <si>
    <t xml:space="preserve">BA789</t>
  </si>
  <si>
    <t xml:space="preserve">PO-2024-0221</t>
  </si>
  <si>
    <t xml:space="preserve">CO466</t>
  </si>
  <si>
    <t xml:space="preserve">2024-11-01</t>
  </si>
  <si>
    <t xml:space="preserve">PO-2024-0222</t>
  </si>
  <si>
    <t xml:space="preserve">2024-05-24</t>
  </si>
  <si>
    <t xml:space="preserve">2024-06-08</t>
  </si>
  <si>
    <t xml:space="preserve">PO-2024-0223</t>
  </si>
  <si>
    <t xml:space="preserve">BA749</t>
  </si>
  <si>
    <t xml:space="preserve">PO-2024-0224</t>
  </si>
  <si>
    <t xml:space="preserve">2024-01-06</t>
  </si>
  <si>
    <t xml:space="preserve">PO-2024-0225</t>
  </si>
  <si>
    <t xml:space="preserve">BA315</t>
  </si>
  <si>
    <t xml:space="preserve">PO-2024-0226</t>
  </si>
  <si>
    <t xml:space="preserve">2024-03-23</t>
  </si>
  <si>
    <t xml:space="preserve">PO-2024-0227</t>
  </si>
  <si>
    <t xml:space="preserve">2024-10-08</t>
  </si>
  <si>
    <t xml:space="preserve">CO174</t>
  </si>
  <si>
    <t xml:space="preserve">2024-10-18</t>
  </si>
  <si>
    <t xml:space="preserve">PO-2024-0228</t>
  </si>
  <si>
    <t xml:space="preserve">SP202</t>
  </si>
  <si>
    <t xml:space="preserve">PO-2024-0229</t>
  </si>
  <si>
    <t xml:space="preserve">BA775</t>
  </si>
  <si>
    <t xml:space="preserve">PO-2024-0230</t>
  </si>
  <si>
    <t xml:space="preserve">2024-06-10</t>
  </si>
  <si>
    <t xml:space="preserve">SP420</t>
  </si>
  <si>
    <t xml:space="preserve">Total Harga (Qty x Harga)</t>
  </si>
  <si>
    <t xml:space="preserve">Keterlambatan (hari)</t>
  </si>
  <si>
    <t xml:space="preserve">Status Ketepatan Kirim</t>
  </si>
  <si>
    <t xml:space="preserve">Legenda: sel kuning = kolom yang harus diisi sendiri. Baris 2 = contoh rumus acuan. Kolom K (Tanggal Terima Aktual) kosong jika status PO belum Received - formula IF akan otomatis menampilkan '-'. Lihat sheet Panduan_Rumus.</t>
  </si>
  <si>
    <t xml:space="preserve">REKAP PURCHASING - PT MAJUJAYA MANUFAKTUR</t>
  </si>
  <si>
    <t xml:space="preserve">Sumber data: sheet Kunci_Jawaban</t>
  </si>
  <si>
    <t xml:space="preserve">Jumlah PO</t>
  </si>
  <si>
    <t xml:space="preserve">Total Nilai Pembelian</t>
  </si>
  <si>
    <t xml:space="preserve">Rata-rata Lead Time Janji (hari)</t>
  </si>
  <si>
    <t xml:space="preserve">Jml PO Received</t>
  </si>
  <si>
    <t xml:space="preserve">Jml Tepat Waktu</t>
  </si>
  <si>
    <t xml:space="preserve">% Ketepatan Kirim</t>
  </si>
  <si>
    <t xml:space="preserve">Ranking Nilai Pembelian</t>
  </si>
  <si>
    <t xml:space="preserve">TOTAL SELURUH PO</t>
  </si>
  <si>
    <t xml:space="preserve">Kolom / Tugas</t>
  </si>
  <si>
    <t xml:space="preserve">Rumus &amp; Cara Kerja</t>
  </si>
  <si>
    <t xml:space="preserve">Untuk apa skill ini di dunia kerja / bullet CV</t>
  </si>
  <si>
    <t xml:space="preserve">Total Harga</t>
  </si>
  <si>
    <t xml:space="preserve">Rumus: Qty x Harga Satuan</t>
  </si>
  <si>
    <t xml:space="preserve">Dasar semua laporan pembelian - nilai transaksi per PO.</t>
  </si>
  <si>
    <t xml:space="preserve">Rumus: IF(Status="Received",(TglTerima-TglPO)-LeadTimeJanji,"-")</t>
  </si>
  <si>
    <t xml:space="preserve">Menghitung selisih realisasi vs janji supplier - dipakai untuk evaluasi kinerja supplier (vendor scorecard).</t>
  </si>
  <si>
    <t xml:space="preserve">Rumus: IF(Status="Received",IF(Keterlambatan&lt;=0,"Tepat Waktu","Terlambat"),"-")</t>
  </si>
  <si>
    <t xml:space="preserve">Klasifikasi otomatis ketepatan pengiriman, dasar KPI purchasing.</t>
  </si>
  <si>
    <t xml:space="preserve">Rekap per Supplier</t>
  </si>
  <si>
    <t xml:space="preserve">Rumus: COUNTIF, SUMIF, AVERAGEIF, COUNTIFS, RANK, IFERROR</t>
  </si>
  <si>
    <t xml:space="preserve">Membuat vendor performance report - total belanja per supplier, % ketepatan kirim, dan ranking supplier terbaik.</t>
  </si>
  <si>
    <t xml:space="preserve">RANK</t>
  </si>
  <si>
    <t xml:space="preserve">Rumus: RANK(nilai, range_nilai)</t>
  </si>
  <si>
    <t xml:space="preserve">Meranking supplier berdasarkan total nilai pembelian - berguna untuk negosiasi kontrak &amp; evaluasi tahunan.</t>
  </si>
  <si>
    <t xml:space="preserve">IFERROR</t>
  </si>
  <si>
    <t xml:space="preserve">Rumus: IFERROR(rumus, nilai_jika_error)</t>
  </si>
  <si>
    <t xml:space="preserve">Mencegah tampilan pesan error pembagian dengan nol saat supplier belum ada PO Received - praktik profesional agar laporan rapi.</t>
  </si>
  <si>
    <t xml:space="preserve">Tips CV / Portofolio</t>
  </si>
  <si>
    <t xml:space="preserve">Cantumkan sebagai project: Menyusun sistem rekap purchasing 230 PO dari 10 supplier menggunakan Excel (SUMIF, COUNTIFS, RANK, IFERROR) untuk memantau ketepatan kirim &amp; nilai pembelian per vendor.</t>
  </si>
  <si>
    <t xml:space="preserve">Boleh ditambahkan estimasi dampak realistis, misal: 'mempermudah identifikan supplier bermasalah dari waktu manual berjam-jam menjadi hitungan menit', selama dijelaskan sebagai simulasi/latihan mandiri.</t>
  </si>
  <si>
    <t xml:space="preserve">LATIHAN LOOKUP: VLOOKUP, INDEX+MATCH, HLOOKUP</t>
  </si>
  <si>
    <t xml:space="preserve">Data PO diambil dari sheet Kunci_Jawaban. Isi kolom kuning sendiri di baris 4 dst (baris 3 = contoh).</t>
  </si>
  <si>
    <t xml:space="preserve">Tabel Referensi 1: Lead Time Standar per Kategori Barang (untuk VLOOKUP &amp; INDEX+MATCH)</t>
  </si>
  <si>
    <t xml:space="preserve">Kode Kategori</t>
  </si>
  <si>
    <t xml:space="preserve">Lead Time Standar (hari)</t>
  </si>
  <si>
    <t xml:space="preserve">KTG01</t>
  </si>
  <si>
    <t xml:space="preserve">KTG02</t>
  </si>
  <si>
    <t xml:space="preserve">KTG03</t>
  </si>
  <si>
    <t xml:space="preserve">KTG04</t>
  </si>
  <si>
    <t xml:space="preserve">KTG05</t>
  </si>
  <si>
    <t xml:space="preserve">KTG06</t>
  </si>
  <si>
    <t xml:space="preserve">Tabel Referensi 2: Persentase Diskon berdasarkan Tier Qty Pembelian (untuk HLOOKUP)</t>
  </si>
  <si>
    <t xml:space="preserve">Tier Qty</t>
  </si>
  <si>
    <t xml:space="preserve">0-50</t>
  </si>
  <si>
    <t xml:space="preserve">51-150</t>
  </si>
  <si>
    <t xml:space="preserve">151-300</t>
  </si>
  <si>
    <t xml:space="preserve">301+</t>
  </si>
  <si>
    <t xml:space="preserve">% Diskon</t>
  </si>
  <si>
    <t xml:space="preserve">Area Praktik (data dari sheet Kunci_Jawaban)</t>
  </si>
  <si>
    <t xml:space="preserve">Lead Time Standar (VLOOKUP)</t>
  </si>
  <si>
    <t xml:space="preserve">Lead Time Standar (INDEX+MATCH, cek silang)</t>
  </si>
  <si>
    <t xml:space="preserve">Tier Qty (bantuan)</t>
  </si>
  <si>
    <t xml:space="preserve">% Diskon (HLOOKUP)</t>
  </si>
  <si>
    <t xml:space="preserve">Catatan: XLOOKUP sengaja tidak dipakai sebagai rumus hidup di file ini karena engine yang memverifikasi file ini belum bisa menghitungnya (berisiko rumus rusak/tidak terbaca saat dibuka). INDEX+MATCH di kolom F adalah pengganti XLOOKUP yang hasilnya identik dan didukung semua versi Excel/Google Sheets. Kalau Excel/Google Sheets kamu sudah versi baru, boleh dicoba sendiri (ketik manual): XLOOKUP(C3,A6:A11,C6:C11) — hasilnya akan sama dengan kolom E &amp; F.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</si>
</sst>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#,##0"/>
    <numFmt numFmtId="167" formatCode="General"/>
    <numFmt numFmtId="168" formatCode="0.0"/>
    <numFmt numFmtId="169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1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6" min="6" style="0" width="17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24"/>
    <col collapsed="false" customWidth="true" hidden="false" outlineLevel="0" max="11" min="11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3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n">
        <v>78</v>
      </c>
      <c r="H2" s="4" t="n">
        <v>500000</v>
      </c>
      <c r="I2" s="2" t="s">
        <v>17</v>
      </c>
      <c r="J2" s="2" t="n">
        <v>7</v>
      </c>
      <c r="K2" s="3"/>
    </row>
    <row r="3" customFormat="false" ht="15" hidden="false" customHeight="false" outlineLevel="0" collapsed="false">
      <c r="A3" s="2" t="s">
        <v>18</v>
      </c>
      <c r="B3" s="3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n">
        <v>439</v>
      </c>
      <c r="H3" s="4" t="n">
        <v>500000</v>
      </c>
      <c r="I3" s="2" t="s">
        <v>24</v>
      </c>
      <c r="J3" s="2" t="n">
        <v>14</v>
      </c>
      <c r="K3" s="3"/>
    </row>
    <row r="4" customFormat="false" ht="15" hidden="false" customHeight="false" outlineLevel="0" collapsed="false">
      <c r="A4" s="2" t="s">
        <v>25</v>
      </c>
      <c r="B4" s="3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n">
        <v>357</v>
      </c>
      <c r="H4" s="4" t="n">
        <v>25000</v>
      </c>
      <c r="I4" s="2" t="s">
        <v>31</v>
      </c>
      <c r="J4" s="2" t="n">
        <v>7</v>
      </c>
      <c r="K4" s="3" t="s">
        <v>32</v>
      </c>
    </row>
    <row r="5" customFormat="false" ht="15" hidden="false" customHeight="false" outlineLevel="0" collapsed="false">
      <c r="A5" s="2" t="s">
        <v>33</v>
      </c>
      <c r="B5" s="3" t="s">
        <v>34</v>
      </c>
      <c r="C5" s="2" t="s">
        <v>27</v>
      </c>
      <c r="D5" s="2" t="s">
        <v>35</v>
      </c>
      <c r="E5" s="2" t="s">
        <v>36</v>
      </c>
      <c r="F5" s="2" t="s">
        <v>23</v>
      </c>
      <c r="G5" s="2" t="n">
        <v>314</v>
      </c>
      <c r="H5" s="4" t="n">
        <v>500000</v>
      </c>
      <c r="I5" s="2" t="s">
        <v>17</v>
      </c>
      <c r="J5" s="2" t="n">
        <v>7</v>
      </c>
      <c r="K5" s="3"/>
    </row>
    <row r="6" customFormat="false" ht="15" hidden="false" customHeight="false" outlineLevel="0" collapsed="false">
      <c r="A6" s="2" t="s">
        <v>37</v>
      </c>
      <c r="B6" s="3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 t="n">
        <v>187</v>
      </c>
      <c r="H6" s="4" t="n">
        <v>1200000</v>
      </c>
      <c r="I6" s="2" t="s">
        <v>17</v>
      </c>
      <c r="J6" s="2" t="n">
        <v>10</v>
      </c>
      <c r="K6" s="3"/>
    </row>
    <row r="7" customFormat="false" ht="15" hidden="false" customHeight="false" outlineLevel="0" collapsed="false">
      <c r="A7" s="2" t="s">
        <v>43</v>
      </c>
      <c r="B7" s="3" t="s">
        <v>44</v>
      </c>
      <c r="C7" s="2" t="s">
        <v>20</v>
      </c>
      <c r="D7" s="2" t="s">
        <v>45</v>
      </c>
      <c r="E7" s="2" t="s">
        <v>46</v>
      </c>
      <c r="F7" s="2" t="s">
        <v>30</v>
      </c>
      <c r="G7" s="2" t="n">
        <v>400</v>
      </c>
      <c r="H7" s="4" t="n">
        <v>120000</v>
      </c>
      <c r="I7" s="2" t="s">
        <v>47</v>
      </c>
      <c r="J7" s="2" t="n">
        <v>3</v>
      </c>
      <c r="K7" s="3"/>
    </row>
    <row r="8" customFormat="false" ht="15" hidden="false" customHeight="false" outlineLevel="0" collapsed="false">
      <c r="A8" s="2" t="s">
        <v>48</v>
      </c>
      <c r="B8" s="3" t="s">
        <v>49</v>
      </c>
      <c r="C8" s="2" t="s">
        <v>39</v>
      </c>
      <c r="D8" s="2" t="s">
        <v>50</v>
      </c>
      <c r="E8" s="2" t="s">
        <v>51</v>
      </c>
      <c r="F8" s="2" t="s">
        <v>23</v>
      </c>
      <c r="G8" s="2" t="n">
        <v>406</v>
      </c>
      <c r="H8" s="4" t="n">
        <v>45000</v>
      </c>
      <c r="I8" s="2" t="s">
        <v>24</v>
      </c>
      <c r="J8" s="2" t="n">
        <v>7</v>
      </c>
      <c r="K8" s="3"/>
    </row>
    <row r="9" customFormat="false" ht="15" hidden="false" customHeight="false" outlineLevel="0" collapsed="false">
      <c r="A9" s="2" t="s">
        <v>52</v>
      </c>
      <c r="B9" s="3" t="s">
        <v>53</v>
      </c>
      <c r="C9" s="2" t="s">
        <v>54</v>
      </c>
      <c r="D9" s="2" t="s">
        <v>55</v>
      </c>
      <c r="E9" s="2" t="s">
        <v>56</v>
      </c>
      <c r="F9" s="2" t="s">
        <v>16</v>
      </c>
      <c r="G9" s="2" t="n">
        <v>232</v>
      </c>
      <c r="H9" s="4" t="n">
        <v>250000</v>
      </c>
      <c r="I9" s="2" t="s">
        <v>47</v>
      </c>
      <c r="J9" s="2" t="n">
        <v>3</v>
      </c>
      <c r="K9" s="3"/>
    </row>
    <row r="10" customFormat="false" ht="15" hidden="false" customHeight="false" outlineLevel="0" collapsed="false">
      <c r="A10" s="2" t="s">
        <v>57</v>
      </c>
      <c r="B10" s="3" t="s">
        <v>58</v>
      </c>
      <c r="C10" s="2" t="s">
        <v>54</v>
      </c>
      <c r="D10" s="2" t="s">
        <v>59</v>
      </c>
      <c r="E10" s="2" t="s">
        <v>51</v>
      </c>
      <c r="F10" s="2" t="s">
        <v>23</v>
      </c>
      <c r="G10" s="2" t="n">
        <v>290</v>
      </c>
      <c r="H10" s="4" t="n">
        <v>1200000</v>
      </c>
      <c r="I10" s="2" t="s">
        <v>31</v>
      </c>
      <c r="J10" s="2" t="n">
        <v>3</v>
      </c>
      <c r="K10" s="3" t="s">
        <v>60</v>
      </c>
    </row>
    <row r="11" customFormat="false" ht="15" hidden="false" customHeight="false" outlineLevel="0" collapsed="false">
      <c r="A11" s="2" t="s">
        <v>61</v>
      </c>
      <c r="B11" s="3" t="s">
        <v>62</v>
      </c>
      <c r="C11" s="2" t="s">
        <v>13</v>
      </c>
      <c r="D11" s="2" t="s">
        <v>63</v>
      </c>
      <c r="E11" s="2" t="s">
        <v>64</v>
      </c>
      <c r="F11" s="2" t="s">
        <v>65</v>
      </c>
      <c r="G11" s="2" t="n">
        <v>311</v>
      </c>
      <c r="H11" s="4" t="n">
        <v>250000</v>
      </c>
      <c r="I11" s="2" t="s">
        <v>47</v>
      </c>
      <c r="J11" s="2" t="n">
        <v>3</v>
      </c>
      <c r="K11" s="3"/>
    </row>
    <row r="12" customFormat="false" ht="15" hidden="false" customHeight="false" outlineLevel="0" collapsed="false">
      <c r="A12" s="2" t="s">
        <v>66</v>
      </c>
      <c r="B12" s="3" t="s">
        <v>67</v>
      </c>
      <c r="C12" s="2" t="s">
        <v>27</v>
      </c>
      <c r="D12" s="2" t="s">
        <v>68</v>
      </c>
      <c r="E12" s="2" t="s">
        <v>69</v>
      </c>
      <c r="F12" s="2" t="s">
        <v>42</v>
      </c>
      <c r="G12" s="2" t="n">
        <v>466</v>
      </c>
      <c r="H12" s="4" t="n">
        <v>1200000</v>
      </c>
      <c r="I12" s="2" t="s">
        <v>17</v>
      </c>
      <c r="J12" s="2" t="n">
        <v>5</v>
      </c>
      <c r="K12" s="3"/>
    </row>
    <row r="13" customFormat="false" ht="15" hidden="false" customHeight="false" outlineLevel="0" collapsed="false">
      <c r="A13" s="2" t="s">
        <v>70</v>
      </c>
      <c r="B13" s="3" t="s">
        <v>71</v>
      </c>
      <c r="C13" s="2" t="s">
        <v>72</v>
      </c>
      <c r="D13" s="2" t="s">
        <v>73</v>
      </c>
      <c r="E13" s="2" t="s">
        <v>51</v>
      </c>
      <c r="F13" s="2" t="s">
        <v>23</v>
      </c>
      <c r="G13" s="2" t="n">
        <v>76</v>
      </c>
      <c r="H13" s="4" t="n">
        <v>120000</v>
      </c>
      <c r="I13" s="2" t="s">
        <v>31</v>
      </c>
      <c r="J13" s="2" t="n">
        <v>10</v>
      </c>
      <c r="K13" s="3" t="s">
        <v>74</v>
      </c>
    </row>
    <row r="14" customFormat="false" ht="15" hidden="false" customHeight="false" outlineLevel="0" collapsed="false">
      <c r="A14" s="2" t="s">
        <v>75</v>
      </c>
      <c r="B14" s="3" t="s">
        <v>76</v>
      </c>
      <c r="C14" s="2" t="s">
        <v>77</v>
      </c>
      <c r="D14" s="2" t="s">
        <v>78</v>
      </c>
      <c r="E14" s="2" t="s">
        <v>79</v>
      </c>
      <c r="F14" s="2" t="s">
        <v>42</v>
      </c>
      <c r="G14" s="2" t="n">
        <v>158</v>
      </c>
      <c r="H14" s="4" t="n">
        <v>850000</v>
      </c>
      <c r="I14" s="2" t="s">
        <v>47</v>
      </c>
      <c r="J14" s="2" t="n">
        <v>7</v>
      </c>
      <c r="K14" s="3"/>
    </row>
    <row r="15" customFormat="false" ht="15" hidden="false" customHeight="false" outlineLevel="0" collapsed="false">
      <c r="A15" s="2" t="s">
        <v>80</v>
      </c>
      <c r="B15" s="3" t="s">
        <v>81</v>
      </c>
      <c r="C15" s="2" t="s">
        <v>82</v>
      </c>
      <c r="D15" s="2" t="s">
        <v>83</v>
      </c>
      <c r="E15" s="2" t="s">
        <v>46</v>
      </c>
      <c r="F15" s="2" t="s">
        <v>30</v>
      </c>
      <c r="G15" s="2" t="n">
        <v>320</v>
      </c>
      <c r="H15" s="4" t="n">
        <v>75000</v>
      </c>
      <c r="I15" s="2" t="s">
        <v>31</v>
      </c>
      <c r="J15" s="2" t="n">
        <v>5</v>
      </c>
      <c r="K15" s="3" t="s">
        <v>84</v>
      </c>
    </row>
    <row r="16" customFormat="false" ht="15" hidden="false" customHeight="false" outlineLevel="0" collapsed="false">
      <c r="A16" s="2" t="s">
        <v>85</v>
      </c>
      <c r="B16" s="3" t="s">
        <v>86</v>
      </c>
      <c r="C16" s="2" t="s">
        <v>27</v>
      </c>
      <c r="D16" s="2" t="s">
        <v>87</v>
      </c>
      <c r="E16" s="2" t="s">
        <v>88</v>
      </c>
      <c r="F16" s="2" t="s">
        <v>89</v>
      </c>
      <c r="G16" s="2" t="n">
        <v>416</v>
      </c>
      <c r="H16" s="4" t="n">
        <v>250000</v>
      </c>
      <c r="I16" s="2" t="s">
        <v>31</v>
      </c>
      <c r="J16" s="2" t="n">
        <v>10</v>
      </c>
      <c r="K16" s="3" t="s">
        <v>90</v>
      </c>
    </row>
    <row r="17" customFormat="false" ht="15" hidden="false" customHeight="false" outlineLevel="0" collapsed="false">
      <c r="A17" s="2" t="s">
        <v>91</v>
      </c>
      <c r="B17" s="3" t="s">
        <v>92</v>
      </c>
      <c r="C17" s="2" t="s">
        <v>13</v>
      </c>
      <c r="D17" s="2" t="s">
        <v>93</v>
      </c>
      <c r="E17" s="2" t="s">
        <v>94</v>
      </c>
      <c r="F17" s="2" t="s">
        <v>65</v>
      </c>
      <c r="G17" s="2" t="n">
        <v>165</v>
      </c>
      <c r="H17" s="4" t="n">
        <v>45000</v>
      </c>
      <c r="I17" s="2" t="s">
        <v>17</v>
      </c>
      <c r="J17" s="2" t="n">
        <v>7</v>
      </c>
      <c r="K17" s="3"/>
    </row>
    <row r="18" customFormat="false" ht="15" hidden="false" customHeight="false" outlineLevel="0" collapsed="false">
      <c r="A18" s="2" t="s">
        <v>95</v>
      </c>
      <c r="B18" s="3" t="s">
        <v>67</v>
      </c>
      <c r="C18" s="2" t="s">
        <v>96</v>
      </c>
      <c r="D18" s="2" t="s">
        <v>97</v>
      </c>
      <c r="E18" s="2" t="s">
        <v>94</v>
      </c>
      <c r="F18" s="2" t="s">
        <v>65</v>
      </c>
      <c r="G18" s="2" t="n">
        <v>197</v>
      </c>
      <c r="H18" s="4" t="n">
        <v>120000</v>
      </c>
      <c r="I18" s="2" t="s">
        <v>47</v>
      </c>
      <c r="J18" s="2" t="n">
        <v>10</v>
      </c>
      <c r="K18" s="3"/>
    </row>
    <row r="19" customFormat="false" ht="15" hidden="false" customHeight="false" outlineLevel="0" collapsed="false">
      <c r="A19" s="2" t="s">
        <v>98</v>
      </c>
      <c r="B19" s="3" t="s">
        <v>99</v>
      </c>
      <c r="C19" s="2" t="s">
        <v>54</v>
      </c>
      <c r="D19" s="2" t="s">
        <v>100</v>
      </c>
      <c r="E19" s="2" t="s">
        <v>94</v>
      </c>
      <c r="F19" s="2" t="s">
        <v>65</v>
      </c>
      <c r="G19" s="2" t="n">
        <v>284</v>
      </c>
      <c r="H19" s="4" t="n">
        <v>45000</v>
      </c>
      <c r="I19" s="2" t="s">
        <v>24</v>
      </c>
      <c r="J19" s="2" t="n">
        <v>14</v>
      </c>
      <c r="K19" s="3"/>
    </row>
    <row r="20" customFormat="false" ht="15" hidden="false" customHeight="false" outlineLevel="0" collapsed="false">
      <c r="A20" s="2" t="s">
        <v>101</v>
      </c>
      <c r="B20" s="3" t="s">
        <v>90</v>
      </c>
      <c r="C20" s="2" t="s">
        <v>96</v>
      </c>
      <c r="D20" s="2" t="s">
        <v>102</v>
      </c>
      <c r="E20" s="2" t="s">
        <v>29</v>
      </c>
      <c r="F20" s="2" t="s">
        <v>30</v>
      </c>
      <c r="G20" s="2" t="n">
        <v>413</v>
      </c>
      <c r="H20" s="4" t="n">
        <v>120000</v>
      </c>
      <c r="I20" s="2" t="s">
        <v>47</v>
      </c>
      <c r="J20" s="2" t="n">
        <v>3</v>
      </c>
      <c r="K20" s="3"/>
    </row>
    <row r="21" customFormat="false" ht="15" hidden="false" customHeight="false" outlineLevel="0" collapsed="false">
      <c r="A21" s="2" t="s">
        <v>103</v>
      </c>
      <c r="B21" s="3" t="s">
        <v>104</v>
      </c>
      <c r="C21" s="2" t="s">
        <v>96</v>
      </c>
      <c r="D21" s="2" t="s">
        <v>105</v>
      </c>
      <c r="E21" s="2" t="s">
        <v>106</v>
      </c>
      <c r="F21" s="2" t="s">
        <v>23</v>
      </c>
      <c r="G21" s="2" t="n">
        <v>134</v>
      </c>
      <c r="H21" s="4" t="n">
        <v>45000</v>
      </c>
      <c r="I21" s="2" t="s">
        <v>24</v>
      </c>
      <c r="J21" s="2" t="n">
        <v>10</v>
      </c>
      <c r="K21" s="3"/>
    </row>
    <row r="22" customFormat="false" ht="15" hidden="false" customHeight="false" outlineLevel="0" collapsed="false">
      <c r="A22" s="2" t="s">
        <v>107</v>
      </c>
      <c r="B22" s="3" t="s">
        <v>108</v>
      </c>
      <c r="C22" s="2" t="s">
        <v>96</v>
      </c>
      <c r="D22" s="2" t="s">
        <v>109</v>
      </c>
      <c r="E22" s="2" t="s">
        <v>110</v>
      </c>
      <c r="F22" s="2" t="s">
        <v>65</v>
      </c>
      <c r="G22" s="2" t="n">
        <v>210</v>
      </c>
      <c r="H22" s="4" t="n">
        <v>1200000</v>
      </c>
      <c r="I22" s="2" t="s">
        <v>31</v>
      </c>
      <c r="J22" s="2" t="n">
        <v>10</v>
      </c>
      <c r="K22" s="3" t="s">
        <v>111</v>
      </c>
    </row>
    <row r="23" customFormat="false" ht="15" hidden="false" customHeight="false" outlineLevel="0" collapsed="false">
      <c r="A23" s="2" t="s">
        <v>112</v>
      </c>
      <c r="B23" s="3" t="s">
        <v>113</v>
      </c>
      <c r="C23" s="2" t="s">
        <v>13</v>
      </c>
      <c r="D23" s="2" t="s">
        <v>83</v>
      </c>
      <c r="E23" s="2" t="s">
        <v>114</v>
      </c>
      <c r="F23" s="2" t="s">
        <v>30</v>
      </c>
      <c r="G23" s="2" t="n">
        <v>331</v>
      </c>
      <c r="H23" s="4" t="n">
        <v>25000</v>
      </c>
      <c r="I23" s="2" t="s">
        <v>31</v>
      </c>
      <c r="J23" s="2" t="n">
        <v>5</v>
      </c>
      <c r="K23" s="3" t="s">
        <v>115</v>
      </c>
    </row>
    <row r="24" customFormat="false" ht="15" hidden="false" customHeight="false" outlineLevel="0" collapsed="false">
      <c r="A24" s="2" t="s">
        <v>116</v>
      </c>
      <c r="B24" s="3" t="s">
        <v>117</v>
      </c>
      <c r="C24" s="2" t="s">
        <v>20</v>
      </c>
      <c r="D24" s="2" t="s">
        <v>118</v>
      </c>
      <c r="E24" s="2" t="s">
        <v>119</v>
      </c>
      <c r="F24" s="2" t="s">
        <v>16</v>
      </c>
      <c r="G24" s="2" t="n">
        <v>351</v>
      </c>
      <c r="H24" s="4" t="n">
        <v>500000</v>
      </c>
      <c r="I24" s="2" t="s">
        <v>17</v>
      </c>
      <c r="J24" s="2" t="n">
        <v>7</v>
      </c>
      <c r="K24" s="3"/>
    </row>
    <row r="25" customFormat="false" ht="15" hidden="false" customHeight="false" outlineLevel="0" collapsed="false">
      <c r="A25" s="2" t="s">
        <v>120</v>
      </c>
      <c r="B25" s="3" t="s">
        <v>121</v>
      </c>
      <c r="C25" s="2" t="s">
        <v>54</v>
      </c>
      <c r="D25" s="2" t="s">
        <v>122</v>
      </c>
      <c r="E25" s="2" t="s">
        <v>56</v>
      </c>
      <c r="F25" s="2" t="s">
        <v>16</v>
      </c>
      <c r="G25" s="2" t="n">
        <v>118</v>
      </c>
      <c r="H25" s="4" t="n">
        <v>1200000</v>
      </c>
      <c r="I25" s="2" t="s">
        <v>24</v>
      </c>
      <c r="J25" s="2" t="n">
        <v>14</v>
      </c>
      <c r="K25" s="3"/>
    </row>
    <row r="26" customFormat="false" ht="15" hidden="false" customHeight="false" outlineLevel="0" collapsed="false">
      <c r="A26" s="2" t="s">
        <v>123</v>
      </c>
      <c r="B26" s="3" t="s">
        <v>124</v>
      </c>
      <c r="C26" s="2" t="s">
        <v>20</v>
      </c>
      <c r="D26" s="2" t="s">
        <v>125</v>
      </c>
      <c r="E26" s="2" t="s">
        <v>51</v>
      </c>
      <c r="F26" s="2" t="s">
        <v>23</v>
      </c>
      <c r="G26" s="2" t="n">
        <v>205</v>
      </c>
      <c r="H26" s="4" t="n">
        <v>850000</v>
      </c>
      <c r="I26" s="2" t="s">
        <v>47</v>
      </c>
      <c r="J26" s="2" t="n">
        <v>14</v>
      </c>
      <c r="K26" s="3"/>
    </row>
    <row r="27" customFormat="false" ht="15" hidden="false" customHeight="false" outlineLevel="0" collapsed="false">
      <c r="A27" s="2" t="s">
        <v>126</v>
      </c>
      <c r="B27" s="3" t="s">
        <v>127</v>
      </c>
      <c r="C27" s="2" t="s">
        <v>72</v>
      </c>
      <c r="D27" s="2" t="s">
        <v>128</v>
      </c>
      <c r="E27" s="2" t="s">
        <v>106</v>
      </c>
      <c r="F27" s="2" t="s">
        <v>23</v>
      </c>
      <c r="G27" s="2" t="n">
        <v>252</v>
      </c>
      <c r="H27" s="4" t="n">
        <v>25000</v>
      </c>
      <c r="I27" s="2" t="s">
        <v>31</v>
      </c>
      <c r="J27" s="2" t="n">
        <v>3</v>
      </c>
      <c r="K27" s="3" t="s">
        <v>129</v>
      </c>
    </row>
    <row r="28" customFormat="false" ht="15" hidden="false" customHeight="false" outlineLevel="0" collapsed="false">
      <c r="A28" s="2" t="s">
        <v>130</v>
      </c>
      <c r="B28" s="3" t="s">
        <v>131</v>
      </c>
      <c r="C28" s="2" t="s">
        <v>13</v>
      </c>
      <c r="D28" s="2" t="s">
        <v>132</v>
      </c>
      <c r="E28" s="2" t="s">
        <v>133</v>
      </c>
      <c r="F28" s="2" t="s">
        <v>89</v>
      </c>
      <c r="G28" s="2" t="n">
        <v>406</v>
      </c>
      <c r="H28" s="4" t="n">
        <v>75000</v>
      </c>
      <c r="I28" s="2" t="s">
        <v>31</v>
      </c>
      <c r="J28" s="2" t="n">
        <v>7</v>
      </c>
      <c r="K28" s="3" t="s">
        <v>134</v>
      </c>
    </row>
    <row r="29" customFormat="false" ht="15" hidden="false" customHeight="false" outlineLevel="0" collapsed="false">
      <c r="A29" s="2" t="s">
        <v>135</v>
      </c>
      <c r="B29" s="3" t="s">
        <v>136</v>
      </c>
      <c r="C29" s="2" t="s">
        <v>96</v>
      </c>
      <c r="D29" s="2" t="s">
        <v>137</v>
      </c>
      <c r="E29" s="2" t="s">
        <v>46</v>
      </c>
      <c r="F29" s="2" t="s">
        <v>30</v>
      </c>
      <c r="G29" s="2" t="n">
        <v>39</v>
      </c>
      <c r="H29" s="4" t="n">
        <v>120000</v>
      </c>
      <c r="I29" s="2" t="s">
        <v>31</v>
      </c>
      <c r="J29" s="2" t="n">
        <v>3</v>
      </c>
      <c r="K29" s="3" t="s">
        <v>34</v>
      </c>
    </row>
    <row r="30" customFormat="false" ht="15" hidden="false" customHeight="false" outlineLevel="0" collapsed="false">
      <c r="A30" s="2" t="s">
        <v>138</v>
      </c>
      <c r="B30" s="3" t="s">
        <v>139</v>
      </c>
      <c r="C30" s="2" t="s">
        <v>54</v>
      </c>
      <c r="D30" s="2" t="s">
        <v>140</v>
      </c>
      <c r="E30" s="2" t="s">
        <v>29</v>
      </c>
      <c r="F30" s="2" t="s">
        <v>30</v>
      </c>
      <c r="G30" s="2" t="n">
        <v>129</v>
      </c>
      <c r="H30" s="4" t="n">
        <v>1200000</v>
      </c>
      <c r="I30" s="2" t="s">
        <v>31</v>
      </c>
      <c r="J30" s="2" t="n">
        <v>5</v>
      </c>
      <c r="K30" s="3" t="s">
        <v>141</v>
      </c>
    </row>
    <row r="31" customFormat="false" ht="15" hidden="false" customHeight="false" outlineLevel="0" collapsed="false">
      <c r="A31" s="2" t="s">
        <v>142</v>
      </c>
      <c r="B31" s="3" t="s">
        <v>143</v>
      </c>
      <c r="C31" s="2" t="s">
        <v>27</v>
      </c>
      <c r="D31" s="2" t="s">
        <v>144</v>
      </c>
      <c r="E31" s="2" t="s">
        <v>145</v>
      </c>
      <c r="F31" s="2" t="s">
        <v>42</v>
      </c>
      <c r="G31" s="2" t="n">
        <v>212</v>
      </c>
      <c r="H31" s="4" t="n">
        <v>45000</v>
      </c>
      <c r="I31" s="2" t="s">
        <v>31</v>
      </c>
      <c r="J31" s="2" t="n">
        <v>10</v>
      </c>
      <c r="K31" s="3" t="s">
        <v>146</v>
      </c>
    </row>
    <row r="32" customFormat="false" ht="15" hidden="false" customHeight="false" outlineLevel="0" collapsed="false">
      <c r="A32" s="2" t="s">
        <v>147</v>
      </c>
      <c r="B32" s="3" t="s">
        <v>148</v>
      </c>
      <c r="C32" s="2" t="s">
        <v>20</v>
      </c>
      <c r="D32" s="2" t="s">
        <v>149</v>
      </c>
      <c r="E32" s="2" t="s">
        <v>51</v>
      </c>
      <c r="F32" s="2" t="s">
        <v>23</v>
      </c>
      <c r="G32" s="2" t="n">
        <v>224</v>
      </c>
      <c r="H32" s="4" t="n">
        <v>500000</v>
      </c>
      <c r="I32" s="2" t="s">
        <v>31</v>
      </c>
      <c r="J32" s="2" t="n">
        <v>5</v>
      </c>
      <c r="K32" s="3" t="s">
        <v>150</v>
      </c>
    </row>
    <row r="33" customFormat="false" ht="15" hidden="false" customHeight="false" outlineLevel="0" collapsed="false">
      <c r="A33" s="2" t="s">
        <v>151</v>
      </c>
      <c r="B33" s="3" t="s">
        <v>152</v>
      </c>
      <c r="C33" s="2" t="s">
        <v>54</v>
      </c>
      <c r="D33" s="2" t="s">
        <v>153</v>
      </c>
      <c r="E33" s="2" t="s">
        <v>64</v>
      </c>
      <c r="F33" s="2" t="s">
        <v>65</v>
      </c>
      <c r="G33" s="2" t="n">
        <v>451</v>
      </c>
      <c r="H33" s="4" t="n">
        <v>1200000</v>
      </c>
      <c r="I33" s="2" t="s">
        <v>31</v>
      </c>
      <c r="J33" s="2" t="n">
        <v>7</v>
      </c>
      <c r="K33" s="3" t="s">
        <v>154</v>
      </c>
    </row>
    <row r="34" customFormat="false" ht="15" hidden="false" customHeight="false" outlineLevel="0" collapsed="false">
      <c r="A34" s="2" t="s">
        <v>155</v>
      </c>
      <c r="B34" s="3" t="s">
        <v>156</v>
      </c>
      <c r="C34" s="2" t="s">
        <v>54</v>
      </c>
      <c r="D34" s="2" t="s">
        <v>157</v>
      </c>
      <c r="E34" s="2" t="s">
        <v>158</v>
      </c>
      <c r="F34" s="2" t="s">
        <v>89</v>
      </c>
      <c r="G34" s="2" t="n">
        <v>499</v>
      </c>
      <c r="H34" s="4" t="n">
        <v>250000</v>
      </c>
      <c r="I34" s="2" t="s">
        <v>24</v>
      </c>
      <c r="J34" s="2" t="n">
        <v>14</v>
      </c>
      <c r="K34" s="3"/>
    </row>
    <row r="35" customFormat="false" ht="15" hidden="false" customHeight="false" outlineLevel="0" collapsed="false">
      <c r="A35" s="2" t="s">
        <v>159</v>
      </c>
      <c r="B35" s="3" t="s">
        <v>160</v>
      </c>
      <c r="C35" s="2" t="s">
        <v>20</v>
      </c>
      <c r="D35" s="2" t="s">
        <v>161</v>
      </c>
      <c r="E35" s="2" t="s">
        <v>162</v>
      </c>
      <c r="F35" s="2" t="s">
        <v>16</v>
      </c>
      <c r="G35" s="2" t="n">
        <v>437</v>
      </c>
      <c r="H35" s="4" t="n">
        <v>850000</v>
      </c>
      <c r="I35" s="2" t="s">
        <v>24</v>
      </c>
      <c r="J35" s="2" t="n">
        <v>7</v>
      </c>
      <c r="K35" s="3"/>
    </row>
    <row r="36" customFormat="false" ht="15" hidden="false" customHeight="false" outlineLevel="0" collapsed="false">
      <c r="A36" s="2" t="s">
        <v>163</v>
      </c>
      <c r="B36" s="3" t="s">
        <v>164</v>
      </c>
      <c r="C36" s="2" t="s">
        <v>20</v>
      </c>
      <c r="D36" s="2" t="s">
        <v>165</v>
      </c>
      <c r="E36" s="2" t="s">
        <v>15</v>
      </c>
      <c r="F36" s="2" t="s">
        <v>16</v>
      </c>
      <c r="G36" s="2" t="n">
        <v>65</v>
      </c>
      <c r="H36" s="4" t="n">
        <v>75000</v>
      </c>
      <c r="I36" s="2" t="s">
        <v>31</v>
      </c>
      <c r="J36" s="2" t="n">
        <v>5</v>
      </c>
      <c r="K36" s="3" t="s">
        <v>166</v>
      </c>
    </row>
    <row r="37" customFormat="false" ht="15" hidden="false" customHeight="false" outlineLevel="0" collapsed="false">
      <c r="A37" s="2" t="s">
        <v>167</v>
      </c>
      <c r="B37" s="3" t="s">
        <v>129</v>
      </c>
      <c r="C37" s="2" t="s">
        <v>77</v>
      </c>
      <c r="D37" s="2" t="s">
        <v>168</v>
      </c>
      <c r="E37" s="2" t="s">
        <v>110</v>
      </c>
      <c r="F37" s="2" t="s">
        <v>65</v>
      </c>
      <c r="G37" s="2" t="n">
        <v>310</v>
      </c>
      <c r="H37" s="4" t="n">
        <v>45000</v>
      </c>
      <c r="I37" s="2" t="s">
        <v>24</v>
      </c>
      <c r="J37" s="2" t="n">
        <v>10</v>
      </c>
      <c r="K37" s="3"/>
    </row>
    <row r="38" customFormat="false" ht="15" hidden="false" customHeight="false" outlineLevel="0" collapsed="false">
      <c r="A38" s="2" t="s">
        <v>169</v>
      </c>
      <c r="B38" s="3" t="s">
        <v>44</v>
      </c>
      <c r="C38" s="2" t="s">
        <v>96</v>
      </c>
      <c r="D38" s="2" t="s">
        <v>170</v>
      </c>
      <c r="E38" s="2" t="s">
        <v>114</v>
      </c>
      <c r="F38" s="2" t="s">
        <v>30</v>
      </c>
      <c r="G38" s="2" t="n">
        <v>475</v>
      </c>
      <c r="H38" s="4" t="n">
        <v>45000</v>
      </c>
      <c r="I38" s="2" t="s">
        <v>24</v>
      </c>
      <c r="J38" s="2" t="n">
        <v>10</v>
      </c>
      <c r="K38" s="3"/>
    </row>
    <row r="39" customFormat="false" ht="15" hidden="false" customHeight="false" outlineLevel="0" collapsed="false">
      <c r="A39" s="2" t="s">
        <v>171</v>
      </c>
      <c r="B39" s="3" t="s">
        <v>172</v>
      </c>
      <c r="C39" s="2" t="s">
        <v>77</v>
      </c>
      <c r="D39" s="2" t="s">
        <v>173</v>
      </c>
      <c r="E39" s="2" t="s">
        <v>106</v>
      </c>
      <c r="F39" s="2" t="s">
        <v>23</v>
      </c>
      <c r="G39" s="2" t="n">
        <v>235</v>
      </c>
      <c r="H39" s="4" t="n">
        <v>15000</v>
      </c>
      <c r="I39" s="2" t="s">
        <v>47</v>
      </c>
      <c r="J39" s="2" t="n">
        <v>3</v>
      </c>
      <c r="K39" s="3"/>
    </row>
    <row r="40" customFormat="false" ht="15" hidden="false" customHeight="false" outlineLevel="0" collapsed="false">
      <c r="A40" s="2" t="s">
        <v>174</v>
      </c>
      <c r="B40" s="3" t="s">
        <v>175</v>
      </c>
      <c r="C40" s="2" t="s">
        <v>77</v>
      </c>
      <c r="D40" s="2" t="s">
        <v>176</v>
      </c>
      <c r="E40" s="2" t="s">
        <v>51</v>
      </c>
      <c r="F40" s="2" t="s">
        <v>23</v>
      </c>
      <c r="G40" s="2" t="n">
        <v>263</v>
      </c>
      <c r="H40" s="4" t="n">
        <v>850000</v>
      </c>
      <c r="I40" s="2" t="s">
        <v>31</v>
      </c>
      <c r="J40" s="2" t="n">
        <v>10</v>
      </c>
      <c r="K40" s="3" t="s">
        <v>177</v>
      </c>
    </row>
    <row r="41" customFormat="false" ht="15" hidden="false" customHeight="false" outlineLevel="0" collapsed="false">
      <c r="A41" s="2" t="s">
        <v>178</v>
      </c>
      <c r="B41" s="3" t="s">
        <v>179</v>
      </c>
      <c r="C41" s="2" t="s">
        <v>96</v>
      </c>
      <c r="D41" s="2" t="s">
        <v>180</v>
      </c>
      <c r="E41" s="2" t="s">
        <v>145</v>
      </c>
      <c r="F41" s="2" t="s">
        <v>42</v>
      </c>
      <c r="G41" s="2" t="n">
        <v>294</v>
      </c>
      <c r="H41" s="4" t="n">
        <v>15000</v>
      </c>
      <c r="I41" s="2" t="s">
        <v>47</v>
      </c>
      <c r="J41" s="2" t="n">
        <v>5</v>
      </c>
      <c r="K41" s="3"/>
    </row>
    <row r="42" customFormat="false" ht="15" hidden="false" customHeight="false" outlineLevel="0" collapsed="false">
      <c r="A42" s="2" t="s">
        <v>181</v>
      </c>
      <c r="B42" s="3" t="s">
        <v>67</v>
      </c>
      <c r="C42" s="2" t="s">
        <v>182</v>
      </c>
      <c r="D42" s="2" t="s">
        <v>183</v>
      </c>
      <c r="E42" s="2" t="s">
        <v>184</v>
      </c>
      <c r="F42" s="2" t="s">
        <v>89</v>
      </c>
      <c r="G42" s="2" t="n">
        <v>152</v>
      </c>
      <c r="H42" s="4" t="n">
        <v>45000</v>
      </c>
      <c r="I42" s="2" t="s">
        <v>47</v>
      </c>
      <c r="J42" s="2" t="n">
        <v>14</v>
      </c>
      <c r="K42" s="3"/>
    </row>
    <row r="43" customFormat="false" ht="15" hidden="false" customHeight="false" outlineLevel="0" collapsed="false">
      <c r="A43" s="2" t="s">
        <v>185</v>
      </c>
      <c r="B43" s="3" t="s">
        <v>186</v>
      </c>
      <c r="C43" s="2" t="s">
        <v>72</v>
      </c>
      <c r="D43" s="2" t="s">
        <v>187</v>
      </c>
      <c r="E43" s="2" t="s">
        <v>64</v>
      </c>
      <c r="F43" s="2" t="s">
        <v>65</v>
      </c>
      <c r="G43" s="2" t="n">
        <v>63</v>
      </c>
      <c r="H43" s="4" t="n">
        <v>120000</v>
      </c>
      <c r="I43" s="2" t="s">
        <v>47</v>
      </c>
      <c r="J43" s="2" t="n">
        <v>7</v>
      </c>
      <c r="K43" s="3"/>
    </row>
    <row r="44" customFormat="false" ht="15" hidden="false" customHeight="false" outlineLevel="0" collapsed="false">
      <c r="A44" s="2" t="s">
        <v>188</v>
      </c>
      <c r="B44" s="3" t="s">
        <v>189</v>
      </c>
      <c r="C44" s="2" t="s">
        <v>182</v>
      </c>
      <c r="D44" s="2" t="s">
        <v>190</v>
      </c>
      <c r="E44" s="2" t="s">
        <v>46</v>
      </c>
      <c r="F44" s="2" t="s">
        <v>30</v>
      </c>
      <c r="G44" s="2" t="n">
        <v>116</v>
      </c>
      <c r="H44" s="4" t="n">
        <v>500000</v>
      </c>
      <c r="I44" s="2" t="s">
        <v>31</v>
      </c>
      <c r="J44" s="2" t="n">
        <v>5</v>
      </c>
      <c r="K44" s="3" t="s">
        <v>191</v>
      </c>
    </row>
    <row r="45" customFormat="false" ht="15" hidden="false" customHeight="false" outlineLevel="0" collapsed="false">
      <c r="A45" s="2" t="s">
        <v>192</v>
      </c>
      <c r="B45" s="3" t="s">
        <v>193</v>
      </c>
      <c r="C45" s="2" t="s">
        <v>96</v>
      </c>
      <c r="D45" s="2" t="s">
        <v>194</v>
      </c>
      <c r="E45" s="2" t="s">
        <v>133</v>
      </c>
      <c r="F45" s="2" t="s">
        <v>89</v>
      </c>
      <c r="G45" s="2" t="n">
        <v>423</v>
      </c>
      <c r="H45" s="4" t="n">
        <v>25000</v>
      </c>
      <c r="I45" s="2" t="s">
        <v>31</v>
      </c>
      <c r="J45" s="2" t="n">
        <v>3</v>
      </c>
      <c r="K45" s="3" t="s">
        <v>150</v>
      </c>
    </row>
    <row r="46" customFormat="false" ht="15" hidden="false" customHeight="false" outlineLevel="0" collapsed="false">
      <c r="A46" s="2" t="s">
        <v>195</v>
      </c>
      <c r="B46" s="3" t="s">
        <v>196</v>
      </c>
      <c r="C46" s="2" t="s">
        <v>20</v>
      </c>
      <c r="D46" s="2" t="s">
        <v>197</v>
      </c>
      <c r="E46" s="2" t="s">
        <v>198</v>
      </c>
      <c r="F46" s="2" t="s">
        <v>30</v>
      </c>
      <c r="G46" s="2" t="n">
        <v>368</v>
      </c>
      <c r="H46" s="4" t="n">
        <v>500000</v>
      </c>
      <c r="I46" s="2" t="s">
        <v>31</v>
      </c>
      <c r="J46" s="2" t="n">
        <v>5</v>
      </c>
      <c r="K46" s="3" t="s">
        <v>199</v>
      </c>
    </row>
    <row r="47" customFormat="false" ht="15" hidden="false" customHeight="false" outlineLevel="0" collapsed="false">
      <c r="A47" s="2" t="s">
        <v>200</v>
      </c>
      <c r="B47" s="3" t="s">
        <v>201</v>
      </c>
      <c r="C47" s="2" t="s">
        <v>182</v>
      </c>
      <c r="D47" s="2" t="s">
        <v>202</v>
      </c>
      <c r="E47" s="2" t="s">
        <v>203</v>
      </c>
      <c r="F47" s="2" t="s">
        <v>65</v>
      </c>
      <c r="G47" s="2" t="n">
        <v>148</v>
      </c>
      <c r="H47" s="4" t="n">
        <v>1200000</v>
      </c>
      <c r="I47" s="2" t="s">
        <v>31</v>
      </c>
      <c r="J47" s="2" t="n">
        <v>7</v>
      </c>
      <c r="K47" s="3" t="s">
        <v>204</v>
      </c>
    </row>
    <row r="48" customFormat="false" ht="15" hidden="false" customHeight="false" outlineLevel="0" collapsed="false">
      <c r="A48" s="2" t="s">
        <v>205</v>
      </c>
      <c r="B48" s="3" t="s">
        <v>206</v>
      </c>
      <c r="C48" s="2" t="s">
        <v>39</v>
      </c>
      <c r="D48" s="2" t="s">
        <v>207</v>
      </c>
      <c r="E48" s="2" t="s">
        <v>64</v>
      </c>
      <c r="F48" s="2" t="s">
        <v>65</v>
      </c>
      <c r="G48" s="2" t="n">
        <v>497</v>
      </c>
      <c r="H48" s="4" t="n">
        <v>500000</v>
      </c>
      <c r="I48" s="2" t="s">
        <v>17</v>
      </c>
      <c r="J48" s="2" t="n">
        <v>7</v>
      </c>
      <c r="K48" s="3"/>
    </row>
    <row r="49" customFormat="false" ht="15" hidden="false" customHeight="false" outlineLevel="0" collapsed="false">
      <c r="A49" s="2" t="s">
        <v>208</v>
      </c>
      <c r="B49" s="3" t="s">
        <v>209</v>
      </c>
      <c r="C49" s="2" t="s">
        <v>77</v>
      </c>
      <c r="D49" s="2" t="s">
        <v>210</v>
      </c>
      <c r="E49" s="2" t="s">
        <v>29</v>
      </c>
      <c r="F49" s="2" t="s">
        <v>30</v>
      </c>
      <c r="G49" s="2" t="n">
        <v>79</v>
      </c>
      <c r="H49" s="4" t="n">
        <v>250000</v>
      </c>
      <c r="I49" s="2" t="s">
        <v>47</v>
      </c>
      <c r="J49" s="2" t="n">
        <v>10</v>
      </c>
      <c r="K49" s="3"/>
    </row>
    <row r="50" customFormat="false" ht="15" hidden="false" customHeight="false" outlineLevel="0" collapsed="false">
      <c r="A50" s="2" t="s">
        <v>211</v>
      </c>
      <c r="B50" s="3" t="s">
        <v>212</v>
      </c>
      <c r="C50" s="2" t="s">
        <v>77</v>
      </c>
      <c r="D50" s="2" t="s">
        <v>213</v>
      </c>
      <c r="E50" s="2" t="s">
        <v>203</v>
      </c>
      <c r="F50" s="2" t="s">
        <v>65</v>
      </c>
      <c r="G50" s="2" t="n">
        <v>217</v>
      </c>
      <c r="H50" s="4" t="n">
        <v>500000</v>
      </c>
      <c r="I50" s="2" t="s">
        <v>31</v>
      </c>
      <c r="J50" s="2" t="n">
        <v>3</v>
      </c>
      <c r="K50" s="3" t="s">
        <v>214</v>
      </c>
    </row>
    <row r="51" customFormat="false" ht="15" hidden="false" customHeight="false" outlineLevel="0" collapsed="false">
      <c r="A51" s="2" t="s">
        <v>215</v>
      </c>
      <c r="B51" s="3" t="s">
        <v>216</v>
      </c>
      <c r="C51" s="2" t="s">
        <v>39</v>
      </c>
      <c r="D51" s="2" t="s">
        <v>217</v>
      </c>
      <c r="E51" s="2" t="s">
        <v>198</v>
      </c>
      <c r="F51" s="2" t="s">
        <v>30</v>
      </c>
      <c r="G51" s="2" t="n">
        <v>491</v>
      </c>
      <c r="H51" s="4" t="n">
        <v>850000</v>
      </c>
      <c r="I51" s="2" t="s">
        <v>31</v>
      </c>
      <c r="J51" s="2" t="n">
        <v>3</v>
      </c>
      <c r="K51" s="3" t="s">
        <v>218</v>
      </c>
    </row>
    <row r="52" customFormat="false" ht="15" hidden="false" customHeight="false" outlineLevel="0" collapsed="false">
      <c r="A52" s="2" t="s">
        <v>219</v>
      </c>
      <c r="B52" s="3" t="s">
        <v>156</v>
      </c>
      <c r="C52" s="2" t="s">
        <v>13</v>
      </c>
      <c r="D52" s="2" t="s">
        <v>220</v>
      </c>
      <c r="E52" s="2" t="s">
        <v>119</v>
      </c>
      <c r="F52" s="2" t="s">
        <v>16</v>
      </c>
      <c r="G52" s="2" t="n">
        <v>116</v>
      </c>
      <c r="H52" s="4" t="n">
        <v>500000</v>
      </c>
      <c r="I52" s="2" t="s">
        <v>47</v>
      </c>
      <c r="J52" s="2" t="n">
        <v>10</v>
      </c>
      <c r="K52" s="3"/>
    </row>
    <row r="53" customFormat="false" ht="15" hidden="false" customHeight="false" outlineLevel="0" collapsed="false">
      <c r="A53" s="2" t="s">
        <v>221</v>
      </c>
      <c r="B53" s="3" t="s">
        <v>222</v>
      </c>
      <c r="C53" s="2" t="s">
        <v>13</v>
      </c>
      <c r="D53" s="2" t="s">
        <v>223</v>
      </c>
      <c r="E53" s="2" t="s">
        <v>133</v>
      </c>
      <c r="F53" s="2" t="s">
        <v>89</v>
      </c>
      <c r="G53" s="2" t="n">
        <v>300</v>
      </c>
      <c r="H53" s="4" t="n">
        <v>45000</v>
      </c>
      <c r="I53" s="2" t="s">
        <v>24</v>
      </c>
      <c r="J53" s="2" t="n">
        <v>10</v>
      </c>
      <c r="K53" s="3"/>
    </row>
    <row r="54" customFormat="false" ht="15" hidden="false" customHeight="false" outlineLevel="0" collapsed="false">
      <c r="A54" s="2" t="s">
        <v>224</v>
      </c>
      <c r="B54" s="3" t="s">
        <v>139</v>
      </c>
      <c r="C54" s="2" t="s">
        <v>182</v>
      </c>
      <c r="D54" s="2" t="s">
        <v>225</v>
      </c>
      <c r="E54" s="2" t="s">
        <v>56</v>
      </c>
      <c r="F54" s="2" t="s">
        <v>16</v>
      </c>
      <c r="G54" s="2" t="n">
        <v>406</v>
      </c>
      <c r="H54" s="4" t="n">
        <v>850000</v>
      </c>
      <c r="I54" s="2" t="s">
        <v>31</v>
      </c>
      <c r="J54" s="2" t="n">
        <v>5</v>
      </c>
      <c r="K54" s="3" t="s">
        <v>226</v>
      </c>
    </row>
    <row r="55" customFormat="false" ht="15" hidden="false" customHeight="false" outlineLevel="0" collapsed="false">
      <c r="A55" s="2" t="s">
        <v>227</v>
      </c>
      <c r="B55" s="3" t="s">
        <v>228</v>
      </c>
      <c r="C55" s="2" t="s">
        <v>182</v>
      </c>
      <c r="D55" s="2" t="s">
        <v>229</v>
      </c>
      <c r="E55" s="2" t="s">
        <v>145</v>
      </c>
      <c r="F55" s="2" t="s">
        <v>42</v>
      </c>
      <c r="G55" s="2" t="n">
        <v>470</v>
      </c>
      <c r="H55" s="4" t="n">
        <v>45000</v>
      </c>
      <c r="I55" s="2" t="s">
        <v>47</v>
      </c>
      <c r="J55" s="2" t="n">
        <v>7</v>
      </c>
      <c r="K55" s="3"/>
    </row>
    <row r="56" customFormat="false" ht="15" hidden="false" customHeight="false" outlineLevel="0" collapsed="false">
      <c r="A56" s="2" t="s">
        <v>230</v>
      </c>
      <c r="B56" s="3" t="s">
        <v>231</v>
      </c>
      <c r="C56" s="2" t="s">
        <v>39</v>
      </c>
      <c r="D56" s="2" t="s">
        <v>232</v>
      </c>
      <c r="E56" s="2" t="s">
        <v>162</v>
      </c>
      <c r="F56" s="2" t="s">
        <v>16</v>
      </c>
      <c r="G56" s="2" t="n">
        <v>47</v>
      </c>
      <c r="H56" s="4" t="n">
        <v>250000</v>
      </c>
      <c r="I56" s="2" t="s">
        <v>24</v>
      </c>
      <c r="J56" s="2" t="n">
        <v>5</v>
      </c>
      <c r="K56" s="3"/>
    </row>
    <row r="57" customFormat="false" ht="15" hidden="false" customHeight="false" outlineLevel="0" collapsed="false">
      <c r="A57" s="2" t="s">
        <v>233</v>
      </c>
      <c r="B57" s="3" t="s">
        <v>115</v>
      </c>
      <c r="C57" s="2" t="s">
        <v>27</v>
      </c>
      <c r="D57" s="2" t="s">
        <v>234</v>
      </c>
      <c r="E57" s="2" t="s">
        <v>198</v>
      </c>
      <c r="F57" s="2" t="s">
        <v>30</v>
      </c>
      <c r="G57" s="2" t="n">
        <v>363</v>
      </c>
      <c r="H57" s="4" t="n">
        <v>75000</v>
      </c>
      <c r="I57" s="2" t="s">
        <v>31</v>
      </c>
      <c r="J57" s="2" t="n">
        <v>3</v>
      </c>
      <c r="K57" s="3" t="s">
        <v>235</v>
      </c>
    </row>
    <row r="58" customFormat="false" ht="15" hidden="false" customHeight="false" outlineLevel="0" collapsed="false">
      <c r="A58" s="2" t="s">
        <v>236</v>
      </c>
      <c r="B58" s="3" t="s">
        <v>237</v>
      </c>
      <c r="C58" s="2" t="s">
        <v>82</v>
      </c>
      <c r="D58" s="2" t="s">
        <v>238</v>
      </c>
      <c r="E58" s="2" t="s">
        <v>69</v>
      </c>
      <c r="F58" s="2" t="s">
        <v>42</v>
      </c>
      <c r="G58" s="2" t="n">
        <v>308</v>
      </c>
      <c r="H58" s="4" t="n">
        <v>75000</v>
      </c>
      <c r="I58" s="2" t="s">
        <v>31</v>
      </c>
      <c r="J58" s="2" t="n">
        <v>10</v>
      </c>
      <c r="K58" s="3" t="s">
        <v>239</v>
      </c>
    </row>
    <row r="59" customFormat="false" ht="15" hidden="false" customHeight="false" outlineLevel="0" collapsed="false">
      <c r="A59" s="2" t="s">
        <v>240</v>
      </c>
      <c r="B59" s="3" t="s">
        <v>241</v>
      </c>
      <c r="C59" s="2" t="s">
        <v>13</v>
      </c>
      <c r="D59" s="2" t="s">
        <v>242</v>
      </c>
      <c r="E59" s="2" t="s">
        <v>243</v>
      </c>
      <c r="F59" s="2" t="s">
        <v>16</v>
      </c>
      <c r="G59" s="2" t="n">
        <v>72</v>
      </c>
      <c r="H59" s="4" t="n">
        <v>850000</v>
      </c>
      <c r="I59" s="2" t="s">
        <v>31</v>
      </c>
      <c r="J59" s="2" t="n">
        <v>10</v>
      </c>
      <c r="K59" s="3" t="s">
        <v>90</v>
      </c>
    </row>
    <row r="60" customFormat="false" ht="15" hidden="false" customHeight="false" outlineLevel="0" collapsed="false">
      <c r="A60" s="2" t="s">
        <v>244</v>
      </c>
      <c r="B60" s="3" t="s">
        <v>245</v>
      </c>
      <c r="C60" s="2" t="s">
        <v>54</v>
      </c>
      <c r="D60" s="2" t="s">
        <v>246</v>
      </c>
      <c r="E60" s="2" t="s">
        <v>133</v>
      </c>
      <c r="F60" s="2" t="s">
        <v>89</v>
      </c>
      <c r="G60" s="2" t="n">
        <v>75</v>
      </c>
      <c r="H60" s="4" t="n">
        <v>500000</v>
      </c>
      <c r="I60" s="2" t="s">
        <v>47</v>
      </c>
      <c r="J60" s="2" t="n">
        <v>5</v>
      </c>
      <c r="K60" s="3"/>
    </row>
    <row r="61" customFormat="false" ht="15" hidden="false" customHeight="false" outlineLevel="0" collapsed="false">
      <c r="A61" s="2" t="s">
        <v>247</v>
      </c>
      <c r="B61" s="3" t="s">
        <v>248</v>
      </c>
      <c r="C61" s="2" t="s">
        <v>77</v>
      </c>
      <c r="D61" s="2" t="s">
        <v>249</v>
      </c>
      <c r="E61" s="2" t="s">
        <v>119</v>
      </c>
      <c r="F61" s="2" t="s">
        <v>16</v>
      </c>
      <c r="G61" s="2" t="n">
        <v>9</v>
      </c>
      <c r="H61" s="4" t="n">
        <v>45000</v>
      </c>
      <c r="I61" s="2" t="s">
        <v>31</v>
      </c>
      <c r="J61" s="2" t="n">
        <v>5</v>
      </c>
      <c r="K61" s="3" t="s">
        <v>250</v>
      </c>
    </row>
    <row r="62" customFormat="false" ht="15" hidden="false" customHeight="false" outlineLevel="0" collapsed="false">
      <c r="A62" s="2" t="s">
        <v>251</v>
      </c>
      <c r="B62" s="3" t="s">
        <v>252</v>
      </c>
      <c r="C62" s="2" t="s">
        <v>20</v>
      </c>
      <c r="D62" s="2" t="s">
        <v>253</v>
      </c>
      <c r="E62" s="2" t="s">
        <v>46</v>
      </c>
      <c r="F62" s="2" t="s">
        <v>30</v>
      </c>
      <c r="G62" s="2" t="n">
        <v>116</v>
      </c>
      <c r="H62" s="4" t="n">
        <v>25000</v>
      </c>
      <c r="I62" s="2" t="s">
        <v>47</v>
      </c>
      <c r="J62" s="2" t="n">
        <v>5</v>
      </c>
      <c r="K62" s="3"/>
    </row>
    <row r="63" customFormat="false" ht="15" hidden="false" customHeight="false" outlineLevel="0" collapsed="false">
      <c r="A63" s="2" t="s">
        <v>254</v>
      </c>
      <c r="B63" s="3" t="s">
        <v>255</v>
      </c>
      <c r="C63" s="2" t="s">
        <v>20</v>
      </c>
      <c r="D63" s="2" t="s">
        <v>256</v>
      </c>
      <c r="E63" s="2" t="s">
        <v>46</v>
      </c>
      <c r="F63" s="2" t="s">
        <v>30</v>
      </c>
      <c r="G63" s="2" t="n">
        <v>498</v>
      </c>
      <c r="H63" s="4" t="n">
        <v>500000</v>
      </c>
      <c r="I63" s="2" t="s">
        <v>31</v>
      </c>
      <c r="J63" s="2" t="n">
        <v>5</v>
      </c>
      <c r="K63" s="3" t="s">
        <v>257</v>
      </c>
    </row>
    <row r="64" customFormat="false" ht="15" hidden="false" customHeight="false" outlineLevel="0" collapsed="false">
      <c r="A64" s="2" t="s">
        <v>258</v>
      </c>
      <c r="B64" s="3" t="s">
        <v>259</v>
      </c>
      <c r="C64" s="2" t="s">
        <v>54</v>
      </c>
      <c r="D64" s="2" t="s">
        <v>260</v>
      </c>
      <c r="E64" s="2" t="s">
        <v>22</v>
      </c>
      <c r="F64" s="2" t="s">
        <v>23</v>
      </c>
      <c r="G64" s="2" t="n">
        <v>312</v>
      </c>
      <c r="H64" s="4" t="n">
        <v>120000</v>
      </c>
      <c r="I64" s="2" t="s">
        <v>47</v>
      </c>
      <c r="J64" s="2" t="n">
        <v>3</v>
      </c>
      <c r="K64" s="3"/>
    </row>
    <row r="65" customFormat="false" ht="15" hidden="false" customHeight="false" outlineLevel="0" collapsed="false">
      <c r="A65" s="2" t="s">
        <v>261</v>
      </c>
      <c r="B65" s="3" t="s">
        <v>262</v>
      </c>
      <c r="C65" s="2" t="s">
        <v>39</v>
      </c>
      <c r="D65" s="2" t="s">
        <v>263</v>
      </c>
      <c r="E65" s="2" t="s">
        <v>22</v>
      </c>
      <c r="F65" s="2" t="s">
        <v>23</v>
      </c>
      <c r="G65" s="2" t="n">
        <v>265</v>
      </c>
      <c r="H65" s="4" t="n">
        <v>75000</v>
      </c>
      <c r="I65" s="2" t="s">
        <v>24</v>
      </c>
      <c r="J65" s="2" t="n">
        <v>7</v>
      </c>
      <c r="K65" s="3"/>
    </row>
    <row r="66" customFormat="false" ht="15" hidden="false" customHeight="false" outlineLevel="0" collapsed="false">
      <c r="A66" s="2" t="s">
        <v>264</v>
      </c>
      <c r="B66" s="3" t="s">
        <v>265</v>
      </c>
      <c r="C66" s="2" t="s">
        <v>182</v>
      </c>
      <c r="D66" s="2" t="s">
        <v>266</v>
      </c>
      <c r="E66" s="2" t="s">
        <v>51</v>
      </c>
      <c r="F66" s="2" t="s">
        <v>23</v>
      </c>
      <c r="G66" s="2" t="n">
        <v>62</v>
      </c>
      <c r="H66" s="4" t="n">
        <v>75000</v>
      </c>
      <c r="I66" s="2" t="s">
        <v>31</v>
      </c>
      <c r="J66" s="2" t="n">
        <v>14</v>
      </c>
      <c r="K66" s="3" t="s">
        <v>267</v>
      </c>
    </row>
    <row r="67" customFormat="false" ht="15" hidden="false" customHeight="false" outlineLevel="0" collapsed="false">
      <c r="A67" s="2" t="s">
        <v>268</v>
      </c>
      <c r="B67" s="3" t="s">
        <v>269</v>
      </c>
      <c r="C67" s="2" t="s">
        <v>182</v>
      </c>
      <c r="D67" s="2" t="s">
        <v>270</v>
      </c>
      <c r="E67" s="2" t="s">
        <v>133</v>
      </c>
      <c r="F67" s="2" t="s">
        <v>89</v>
      </c>
      <c r="G67" s="2" t="n">
        <v>203</v>
      </c>
      <c r="H67" s="4" t="n">
        <v>500000</v>
      </c>
      <c r="I67" s="2" t="s">
        <v>31</v>
      </c>
      <c r="J67" s="2" t="n">
        <v>5</v>
      </c>
      <c r="K67" s="3" t="s">
        <v>271</v>
      </c>
    </row>
    <row r="68" customFormat="false" ht="15" hidden="false" customHeight="false" outlineLevel="0" collapsed="false">
      <c r="A68" s="2" t="s">
        <v>272</v>
      </c>
      <c r="B68" s="3" t="s">
        <v>108</v>
      </c>
      <c r="C68" s="2" t="s">
        <v>182</v>
      </c>
      <c r="D68" s="2" t="s">
        <v>273</v>
      </c>
      <c r="E68" s="2" t="s">
        <v>64</v>
      </c>
      <c r="F68" s="2" t="s">
        <v>65</v>
      </c>
      <c r="G68" s="2" t="n">
        <v>139</v>
      </c>
      <c r="H68" s="4" t="n">
        <v>75000</v>
      </c>
      <c r="I68" s="2" t="s">
        <v>31</v>
      </c>
      <c r="J68" s="2" t="n">
        <v>3</v>
      </c>
      <c r="K68" s="3" t="s">
        <v>274</v>
      </c>
    </row>
    <row r="69" customFormat="false" ht="15" hidden="false" customHeight="false" outlineLevel="0" collapsed="false">
      <c r="A69" s="2" t="s">
        <v>275</v>
      </c>
      <c r="B69" s="3" t="s">
        <v>276</v>
      </c>
      <c r="C69" s="2" t="s">
        <v>39</v>
      </c>
      <c r="D69" s="2" t="s">
        <v>277</v>
      </c>
      <c r="E69" s="2" t="s">
        <v>114</v>
      </c>
      <c r="F69" s="2" t="s">
        <v>30</v>
      </c>
      <c r="G69" s="2" t="n">
        <v>217</v>
      </c>
      <c r="H69" s="4" t="n">
        <v>500000</v>
      </c>
      <c r="I69" s="2" t="s">
        <v>24</v>
      </c>
      <c r="J69" s="2" t="n">
        <v>3</v>
      </c>
      <c r="K69" s="3"/>
    </row>
    <row r="70" customFormat="false" ht="15" hidden="false" customHeight="false" outlineLevel="0" collapsed="false">
      <c r="A70" s="2" t="s">
        <v>278</v>
      </c>
      <c r="B70" s="3" t="s">
        <v>279</v>
      </c>
      <c r="C70" s="2" t="s">
        <v>72</v>
      </c>
      <c r="D70" s="2" t="s">
        <v>280</v>
      </c>
      <c r="E70" s="2" t="s">
        <v>281</v>
      </c>
      <c r="F70" s="2" t="s">
        <v>65</v>
      </c>
      <c r="G70" s="2" t="n">
        <v>147</v>
      </c>
      <c r="H70" s="4" t="n">
        <v>25000</v>
      </c>
      <c r="I70" s="2" t="s">
        <v>31</v>
      </c>
      <c r="J70" s="2" t="n">
        <v>14</v>
      </c>
      <c r="K70" s="3" t="s">
        <v>282</v>
      </c>
    </row>
    <row r="71" customFormat="false" ht="15" hidden="false" customHeight="false" outlineLevel="0" collapsed="false">
      <c r="A71" s="2" t="s">
        <v>283</v>
      </c>
      <c r="B71" s="3" t="s">
        <v>284</v>
      </c>
      <c r="C71" s="2" t="s">
        <v>72</v>
      </c>
      <c r="D71" s="2" t="s">
        <v>285</v>
      </c>
      <c r="E71" s="2" t="s">
        <v>158</v>
      </c>
      <c r="F71" s="2" t="s">
        <v>89</v>
      </c>
      <c r="G71" s="2" t="n">
        <v>329</v>
      </c>
      <c r="H71" s="4" t="n">
        <v>25000</v>
      </c>
      <c r="I71" s="2" t="s">
        <v>31</v>
      </c>
      <c r="J71" s="2" t="n">
        <v>10</v>
      </c>
      <c r="K71" s="3" t="s">
        <v>286</v>
      </c>
    </row>
    <row r="72" customFormat="false" ht="15" hidden="false" customHeight="false" outlineLevel="0" collapsed="false">
      <c r="A72" s="2" t="s">
        <v>287</v>
      </c>
      <c r="B72" s="3" t="s">
        <v>288</v>
      </c>
      <c r="C72" s="2" t="s">
        <v>82</v>
      </c>
      <c r="D72" s="2" t="s">
        <v>289</v>
      </c>
      <c r="E72" s="2" t="s">
        <v>243</v>
      </c>
      <c r="F72" s="2" t="s">
        <v>16</v>
      </c>
      <c r="G72" s="2" t="n">
        <v>237</v>
      </c>
      <c r="H72" s="4" t="n">
        <v>15000</v>
      </c>
      <c r="I72" s="2" t="s">
        <v>31</v>
      </c>
      <c r="J72" s="2" t="n">
        <v>5</v>
      </c>
      <c r="K72" s="3" t="s">
        <v>290</v>
      </c>
    </row>
    <row r="73" customFormat="false" ht="15" hidden="false" customHeight="false" outlineLevel="0" collapsed="false">
      <c r="A73" s="2" t="s">
        <v>291</v>
      </c>
      <c r="B73" s="3" t="s">
        <v>292</v>
      </c>
      <c r="C73" s="2" t="s">
        <v>77</v>
      </c>
      <c r="D73" s="2" t="s">
        <v>293</v>
      </c>
      <c r="E73" s="2" t="s">
        <v>294</v>
      </c>
      <c r="F73" s="2" t="s">
        <v>30</v>
      </c>
      <c r="G73" s="2" t="n">
        <v>259</v>
      </c>
      <c r="H73" s="4" t="n">
        <v>250000</v>
      </c>
      <c r="I73" s="2" t="s">
        <v>31</v>
      </c>
      <c r="J73" s="2" t="n">
        <v>7</v>
      </c>
      <c r="K73" s="3" t="s">
        <v>90</v>
      </c>
    </row>
    <row r="74" customFormat="false" ht="15" hidden="false" customHeight="false" outlineLevel="0" collapsed="false">
      <c r="A74" s="2" t="s">
        <v>295</v>
      </c>
      <c r="B74" s="3" t="s">
        <v>296</v>
      </c>
      <c r="C74" s="2" t="s">
        <v>77</v>
      </c>
      <c r="D74" s="2" t="s">
        <v>297</v>
      </c>
      <c r="E74" s="2" t="s">
        <v>198</v>
      </c>
      <c r="F74" s="2" t="s">
        <v>30</v>
      </c>
      <c r="G74" s="2" t="n">
        <v>458</v>
      </c>
      <c r="H74" s="4" t="n">
        <v>25000</v>
      </c>
      <c r="I74" s="2" t="s">
        <v>47</v>
      </c>
      <c r="J74" s="2" t="n">
        <v>3</v>
      </c>
      <c r="K74" s="3"/>
    </row>
    <row r="75" customFormat="false" ht="15" hidden="false" customHeight="false" outlineLevel="0" collapsed="false">
      <c r="A75" s="2" t="s">
        <v>298</v>
      </c>
      <c r="B75" s="3" t="s">
        <v>299</v>
      </c>
      <c r="C75" s="2" t="s">
        <v>27</v>
      </c>
      <c r="D75" s="2" t="s">
        <v>300</v>
      </c>
      <c r="E75" s="2" t="s">
        <v>88</v>
      </c>
      <c r="F75" s="2" t="s">
        <v>89</v>
      </c>
      <c r="G75" s="2" t="n">
        <v>139</v>
      </c>
      <c r="H75" s="4" t="n">
        <v>25000</v>
      </c>
      <c r="I75" s="2" t="s">
        <v>31</v>
      </c>
      <c r="J75" s="2" t="n">
        <v>14</v>
      </c>
      <c r="K75" s="3" t="s">
        <v>301</v>
      </c>
    </row>
    <row r="76" customFormat="false" ht="15" hidden="false" customHeight="false" outlineLevel="0" collapsed="false">
      <c r="A76" s="2" t="s">
        <v>302</v>
      </c>
      <c r="B76" s="3" t="s">
        <v>235</v>
      </c>
      <c r="C76" s="2" t="s">
        <v>96</v>
      </c>
      <c r="D76" s="2" t="s">
        <v>303</v>
      </c>
      <c r="E76" s="2" t="s">
        <v>94</v>
      </c>
      <c r="F76" s="2" t="s">
        <v>65</v>
      </c>
      <c r="G76" s="2" t="n">
        <v>85</v>
      </c>
      <c r="H76" s="4" t="n">
        <v>120000</v>
      </c>
      <c r="I76" s="2" t="s">
        <v>47</v>
      </c>
      <c r="J76" s="2" t="n">
        <v>14</v>
      </c>
      <c r="K76" s="3"/>
    </row>
    <row r="77" customFormat="false" ht="15" hidden="false" customHeight="false" outlineLevel="0" collapsed="false">
      <c r="A77" s="2" t="s">
        <v>304</v>
      </c>
      <c r="B77" s="3" t="s">
        <v>305</v>
      </c>
      <c r="C77" s="2" t="s">
        <v>54</v>
      </c>
      <c r="D77" s="2" t="s">
        <v>306</v>
      </c>
      <c r="E77" s="2" t="s">
        <v>22</v>
      </c>
      <c r="F77" s="2" t="s">
        <v>23</v>
      </c>
      <c r="G77" s="2" t="n">
        <v>27</v>
      </c>
      <c r="H77" s="4" t="n">
        <v>15000</v>
      </c>
      <c r="I77" s="2" t="s">
        <v>31</v>
      </c>
      <c r="J77" s="2" t="n">
        <v>10</v>
      </c>
      <c r="K77" s="3" t="s">
        <v>307</v>
      </c>
    </row>
    <row r="78" customFormat="false" ht="15" hidden="false" customHeight="false" outlineLevel="0" collapsed="false">
      <c r="A78" s="2" t="s">
        <v>308</v>
      </c>
      <c r="B78" s="3" t="s">
        <v>309</v>
      </c>
      <c r="C78" s="2" t="s">
        <v>77</v>
      </c>
      <c r="D78" s="2" t="s">
        <v>310</v>
      </c>
      <c r="E78" s="2" t="s">
        <v>36</v>
      </c>
      <c r="F78" s="2" t="s">
        <v>23</v>
      </c>
      <c r="G78" s="2" t="n">
        <v>416</v>
      </c>
      <c r="H78" s="4" t="n">
        <v>500000</v>
      </c>
      <c r="I78" s="2" t="s">
        <v>31</v>
      </c>
      <c r="J78" s="2" t="n">
        <v>5</v>
      </c>
      <c r="K78" s="3" t="s">
        <v>311</v>
      </c>
    </row>
    <row r="79" customFormat="false" ht="15" hidden="false" customHeight="false" outlineLevel="0" collapsed="false">
      <c r="A79" s="2" t="s">
        <v>312</v>
      </c>
      <c r="B79" s="3" t="s">
        <v>313</v>
      </c>
      <c r="C79" s="2" t="s">
        <v>39</v>
      </c>
      <c r="D79" s="2" t="s">
        <v>314</v>
      </c>
      <c r="E79" s="2" t="s">
        <v>119</v>
      </c>
      <c r="F79" s="2" t="s">
        <v>16</v>
      </c>
      <c r="G79" s="2" t="n">
        <v>66</v>
      </c>
      <c r="H79" s="4" t="n">
        <v>1200000</v>
      </c>
      <c r="I79" s="2" t="s">
        <v>24</v>
      </c>
      <c r="J79" s="2" t="n">
        <v>3</v>
      </c>
      <c r="K79" s="3"/>
    </row>
    <row r="80" customFormat="false" ht="15" hidden="false" customHeight="false" outlineLevel="0" collapsed="false">
      <c r="A80" s="2" t="s">
        <v>315</v>
      </c>
      <c r="B80" s="3" t="s">
        <v>12</v>
      </c>
      <c r="C80" s="2" t="s">
        <v>82</v>
      </c>
      <c r="D80" s="2" t="s">
        <v>316</v>
      </c>
      <c r="E80" s="2" t="s">
        <v>64</v>
      </c>
      <c r="F80" s="2" t="s">
        <v>65</v>
      </c>
      <c r="G80" s="2" t="n">
        <v>40</v>
      </c>
      <c r="H80" s="4" t="n">
        <v>850000</v>
      </c>
      <c r="I80" s="2" t="s">
        <v>47</v>
      </c>
      <c r="J80" s="2" t="n">
        <v>7</v>
      </c>
      <c r="K80" s="3"/>
    </row>
    <row r="81" customFormat="false" ht="15" hidden="false" customHeight="false" outlineLevel="0" collapsed="false">
      <c r="A81" s="2" t="s">
        <v>317</v>
      </c>
      <c r="B81" s="3" t="s">
        <v>318</v>
      </c>
      <c r="C81" s="2" t="s">
        <v>54</v>
      </c>
      <c r="D81" s="2" t="s">
        <v>319</v>
      </c>
      <c r="E81" s="2" t="s">
        <v>110</v>
      </c>
      <c r="F81" s="2" t="s">
        <v>65</v>
      </c>
      <c r="G81" s="2" t="n">
        <v>193</v>
      </c>
      <c r="H81" s="4" t="n">
        <v>75000</v>
      </c>
      <c r="I81" s="2" t="s">
        <v>31</v>
      </c>
      <c r="J81" s="2" t="n">
        <v>7</v>
      </c>
      <c r="K81" s="3" t="s">
        <v>139</v>
      </c>
    </row>
    <row r="82" customFormat="false" ht="15" hidden="false" customHeight="false" outlineLevel="0" collapsed="false">
      <c r="A82" s="2" t="s">
        <v>320</v>
      </c>
      <c r="B82" s="3" t="s">
        <v>321</v>
      </c>
      <c r="C82" s="2" t="s">
        <v>13</v>
      </c>
      <c r="D82" s="2" t="s">
        <v>322</v>
      </c>
      <c r="E82" s="2" t="s">
        <v>110</v>
      </c>
      <c r="F82" s="2" t="s">
        <v>65</v>
      </c>
      <c r="G82" s="2" t="n">
        <v>402</v>
      </c>
      <c r="H82" s="4" t="n">
        <v>75000</v>
      </c>
      <c r="I82" s="2" t="s">
        <v>24</v>
      </c>
      <c r="J82" s="2" t="n">
        <v>14</v>
      </c>
      <c r="K82" s="3"/>
    </row>
    <row r="83" customFormat="false" ht="15" hidden="false" customHeight="false" outlineLevel="0" collapsed="false">
      <c r="A83" s="2" t="s">
        <v>323</v>
      </c>
      <c r="B83" s="3" t="s">
        <v>324</v>
      </c>
      <c r="C83" s="2" t="s">
        <v>77</v>
      </c>
      <c r="D83" s="2" t="s">
        <v>325</v>
      </c>
      <c r="E83" s="2" t="s">
        <v>243</v>
      </c>
      <c r="F83" s="2" t="s">
        <v>16</v>
      </c>
      <c r="G83" s="2" t="n">
        <v>124</v>
      </c>
      <c r="H83" s="4" t="n">
        <v>1200000</v>
      </c>
      <c r="I83" s="2" t="s">
        <v>31</v>
      </c>
      <c r="J83" s="2" t="n">
        <v>3</v>
      </c>
      <c r="K83" s="3" t="s">
        <v>326</v>
      </c>
    </row>
    <row r="84" customFormat="false" ht="15" hidden="false" customHeight="false" outlineLevel="0" collapsed="false">
      <c r="A84" s="2" t="s">
        <v>327</v>
      </c>
      <c r="B84" s="3" t="s">
        <v>237</v>
      </c>
      <c r="C84" s="2" t="s">
        <v>27</v>
      </c>
      <c r="D84" s="2" t="s">
        <v>328</v>
      </c>
      <c r="E84" s="2" t="s">
        <v>198</v>
      </c>
      <c r="F84" s="2" t="s">
        <v>30</v>
      </c>
      <c r="G84" s="2" t="n">
        <v>110</v>
      </c>
      <c r="H84" s="4" t="n">
        <v>1200000</v>
      </c>
      <c r="I84" s="2" t="s">
        <v>17</v>
      </c>
      <c r="J84" s="2" t="n">
        <v>10</v>
      </c>
      <c r="K84" s="3"/>
    </row>
    <row r="85" customFormat="false" ht="15" hidden="false" customHeight="false" outlineLevel="0" collapsed="false">
      <c r="A85" s="2" t="s">
        <v>329</v>
      </c>
      <c r="B85" s="3" t="s">
        <v>330</v>
      </c>
      <c r="C85" s="2" t="s">
        <v>182</v>
      </c>
      <c r="D85" s="2" t="s">
        <v>331</v>
      </c>
      <c r="E85" s="2" t="s">
        <v>106</v>
      </c>
      <c r="F85" s="2" t="s">
        <v>23</v>
      </c>
      <c r="G85" s="2" t="n">
        <v>27</v>
      </c>
      <c r="H85" s="4" t="n">
        <v>75000</v>
      </c>
      <c r="I85" s="2" t="s">
        <v>47</v>
      </c>
      <c r="J85" s="2" t="n">
        <v>14</v>
      </c>
      <c r="K85" s="3"/>
    </row>
    <row r="86" customFormat="false" ht="15" hidden="false" customHeight="false" outlineLevel="0" collapsed="false">
      <c r="A86" s="2" t="s">
        <v>332</v>
      </c>
      <c r="B86" s="3" t="s">
        <v>333</v>
      </c>
      <c r="C86" s="2" t="s">
        <v>13</v>
      </c>
      <c r="D86" s="2" t="s">
        <v>334</v>
      </c>
      <c r="E86" s="2" t="s">
        <v>69</v>
      </c>
      <c r="F86" s="2" t="s">
        <v>42</v>
      </c>
      <c r="G86" s="2" t="n">
        <v>53</v>
      </c>
      <c r="H86" s="4" t="n">
        <v>1200000</v>
      </c>
      <c r="I86" s="2" t="s">
        <v>31</v>
      </c>
      <c r="J86" s="2" t="n">
        <v>10</v>
      </c>
      <c r="K86" s="3" t="s">
        <v>121</v>
      </c>
    </row>
    <row r="87" customFormat="false" ht="15" hidden="false" customHeight="false" outlineLevel="0" collapsed="false">
      <c r="A87" s="2" t="s">
        <v>335</v>
      </c>
      <c r="B87" s="3" t="s">
        <v>336</v>
      </c>
      <c r="C87" s="2" t="s">
        <v>20</v>
      </c>
      <c r="D87" s="2" t="s">
        <v>337</v>
      </c>
      <c r="E87" s="2" t="s">
        <v>243</v>
      </c>
      <c r="F87" s="2" t="s">
        <v>16</v>
      </c>
      <c r="G87" s="2" t="n">
        <v>498</v>
      </c>
      <c r="H87" s="4" t="n">
        <v>45000</v>
      </c>
      <c r="I87" s="2" t="s">
        <v>31</v>
      </c>
      <c r="J87" s="2" t="n">
        <v>7</v>
      </c>
      <c r="K87" s="3" t="s">
        <v>338</v>
      </c>
    </row>
    <row r="88" customFormat="false" ht="15" hidden="false" customHeight="false" outlineLevel="0" collapsed="false">
      <c r="A88" s="2" t="s">
        <v>339</v>
      </c>
      <c r="B88" s="3" t="s">
        <v>340</v>
      </c>
      <c r="C88" s="2" t="s">
        <v>13</v>
      </c>
      <c r="D88" s="2" t="s">
        <v>341</v>
      </c>
      <c r="E88" s="2" t="s">
        <v>158</v>
      </c>
      <c r="F88" s="2" t="s">
        <v>89</v>
      </c>
      <c r="G88" s="2" t="n">
        <v>124</v>
      </c>
      <c r="H88" s="4" t="n">
        <v>25000</v>
      </c>
      <c r="I88" s="2" t="s">
        <v>17</v>
      </c>
      <c r="J88" s="2" t="n">
        <v>5</v>
      </c>
      <c r="K88" s="3"/>
    </row>
    <row r="89" customFormat="false" ht="15" hidden="false" customHeight="false" outlineLevel="0" collapsed="false">
      <c r="A89" s="2" t="s">
        <v>342</v>
      </c>
      <c r="B89" s="3" t="s">
        <v>343</v>
      </c>
      <c r="C89" s="2" t="s">
        <v>54</v>
      </c>
      <c r="D89" s="2" t="s">
        <v>344</v>
      </c>
      <c r="E89" s="2" t="s">
        <v>36</v>
      </c>
      <c r="F89" s="2" t="s">
        <v>23</v>
      </c>
      <c r="G89" s="2" t="n">
        <v>235</v>
      </c>
      <c r="H89" s="4" t="n">
        <v>850000</v>
      </c>
      <c r="I89" s="2" t="s">
        <v>31</v>
      </c>
      <c r="J89" s="2" t="n">
        <v>3</v>
      </c>
      <c r="K89" s="3" t="s">
        <v>345</v>
      </c>
    </row>
    <row r="90" customFormat="false" ht="15" hidden="false" customHeight="false" outlineLevel="0" collapsed="false">
      <c r="A90" s="2" t="s">
        <v>346</v>
      </c>
      <c r="B90" s="3" t="s">
        <v>141</v>
      </c>
      <c r="C90" s="2" t="s">
        <v>82</v>
      </c>
      <c r="D90" s="2" t="s">
        <v>347</v>
      </c>
      <c r="E90" s="2" t="s">
        <v>79</v>
      </c>
      <c r="F90" s="2" t="s">
        <v>42</v>
      </c>
      <c r="G90" s="2" t="n">
        <v>140</v>
      </c>
      <c r="H90" s="4" t="n">
        <v>25000</v>
      </c>
      <c r="I90" s="2" t="s">
        <v>31</v>
      </c>
      <c r="J90" s="2" t="n">
        <v>7</v>
      </c>
      <c r="K90" s="3" t="s">
        <v>301</v>
      </c>
    </row>
    <row r="91" customFormat="false" ht="15" hidden="false" customHeight="false" outlineLevel="0" collapsed="false">
      <c r="A91" s="2" t="s">
        <v>348</v>
      </c>
      <c r="B91" s="3" t="s">
        <v>349</v>
      </c>
      <c r="C91" s="2" t="s">
        <v>13</v>
      </c>
      <c r="D91" s="2" t="s">
        <v>50</v>
      </c>
      <c r="E91" s="2" t="s">
        <v>36</v>
      </c>
      <c r="F91" s="2" t="s">
        <v>23</v>
      </c>
      <c r="G91" s="2" t="n">
        <v>132</v>
      </c>
      <c r="H91" s="4" t="n">
        <v>250000</v>
      </c>
      <c r="I91" s="2" t="s">
        <v>31</v>
      </c>
      <c r="J91" s="2" t="n">
        <v>3</v>
      </c>
      <c r="K91" s="3" t="s">
        <v>350</v>
      </c>
    </row>
    <row r="92" customFormat="false" ht="15" hidden="false" customHeight="false" outlineLevel="0" collapsed="false">
      <c r="A92" s="2" t="s">
        <v>351</v>
      </c>
      <c r="B92" s="3" t="s">
        <v>352</v>
      </c>
      <c r="C92" s="2" t="s">
        <v>77</v>
      </c>
      <c r="D92" s="2" t="s">
        <v>353</v>
      </c>
      <c r="E92" s="2" t="s">
        <v>243</v>
      </c>
      <c r="F92" s="2" t="s">
        <v>16</v>
      </c>
      <c r="G92" s="2" t="n">
        <v>236</v>
      </c>
      <c r="H92" s="4" t="n">
        <v>1200000</v>
      </c>
      <c r="I92" s="2" t="s">
        <v>24</v>
      </c>
      <c r="J92" s="2" t="n">
        <v>5</v>
      </c>
      <c r="K92" s="3"/>
    </row>
    <row r="93" customFormat="false" ht="15" hidden="false" customHeight="false" outlineLevel="0" collapsed="false">
      <c r="A93" s="2" t="s">
        <v>354</v>
      </c>
      <c r="B93" s="3" t="s">
        <v>355</v>
      </c>
      <c r="C93" s="2" t="s">
        <v>96</v>
      </c>
      <c r="D93" s="2" t="s">
        <v>356</v>
      </c>
      <c r="E93" s="2" t="s">
        <v>15</v>
      </c>
      <c r="F93" s="2" t="s">
        <v>16</v>
      </c>
      <c r="G93" s="2" t="n">
        <v>11</v>
      </c>
      <c r="H93" s="4" t="n">
        <v>15000</v>
      </c>
      <c r="I93" s="2" t="s">
        <v>47</v>
      </c>
      <c r="J93" s="2" t="n">
        <v>5</v>
      </c>
      <c r="K93" s="3"/>
    </row>
    <row r="94" customFormat="false" ht="15" hidden="false" customHeight="false" outlineLevel="0" collapsed="false">
      <c r="A94" s="2" t="s">
        <v>357</v>
      </c>
      <c r="B94" s="3" t="s">
        <v>358</v>
      </c>
      <c r="C94" s="2" t="s">
        <v>82</v>
      </c>
      <c r="D94" s="2" t="s">
        <v>359</v>
      </c>
      <c r="E94" s="2" t="s">
        <v>79</v>
      </c>
      <c r="F94" s="2" t="s">
        <v>42</v>
      </c>
      <c r="G94" s="2" t="n">
        <v>327</v>
      </c>
      <c r="H94" s="4" t="n">
        <v>25000</v>
      </c>
      <c r="I94" s="2" t="s">
        <v>24</v>
      </c>
      <c r="J94" s="2" t="n">
        <v>7</v>
      </c>
      <c r="K94" s="3"/>
    </row>
    <row r="95" customFormat="false" ht="15" hidden="false" customHeight="false" outlineLevel="0" collapsed="false">
      <c r="A95" s="2" t="s">
        <v>360</v>
      </c>
      <c r="B95" s="3" t="s">
        <v>361</v>
      </c>
      <c r="C95" s="2" t="s">
        <v>182</v>
      </c>
      <c r="D95" s="2" t="s">
        <v>362</v>
      </c>
      <c r="E95" s="2" t="s">
        <v>15</v>
      </c>
      <c r="F95" s="2" t="s">
        <v>16</v>
      </c>
      <c r="G95" s="2" t="n">
        <v>232</v>
      </c>
      <c r="H95" s="4" t="n">
        <v>45000</v>
      </c>
      <c r="I95" s="2" t="s">
        <v>31</v>
      </c>
      <c r="J95" s="2" t="n">
        <v>7</v>
      </c>
      <c r="K95" s="3" t="s">
        <v>274</v>
      </c>
    </row>
    <row r="96" customFormat="false" ht="15" hidden="false" customHeight="false" outlineLevel="0" collapsed="false">
      <c r="A96" s="2" t="s">
        <v>363</v>
      </c>
      <c r="B96" s="3" t="s">
        <v>364</v>
      </c>
      <c r="C96" s="2" t="s">
        <v>96</v>
      </c>
      <c r="D96" s="2" t="s">
        <v>365</v>
      </c>
      <c r="E96" s="2" t="s">
        <v>15</v>
      </c>
      <c r="F96" s="2" t="s">
        <v>16</v>
      </c>
      <c r="G96" s="2" t="n">
        <v>226</v>
      </c>
      <c r="H96" s="4" t="n">
        <v>500000</v>
      </c>
      <c r="I96" s="2" t="s">
        <v>31</v>
      </c>
      <c r="J96" s="2" t="n">
        <v>10</v>
      </c>
      <c r="K96" s="3" t="s">
        <v>366</v>
      </c>
    </row>
    <row r="97" customFormat="false" ht="15" hidden="false" customHeight="false" outlineLevel="0" collapsed="false">
      <c r="A97" s="2" t="s">
        <v>367</v>
      </c>
      <c r="B97" s="3" t="s">
        <v>368</v>
      </c>
      <c r="C97" s="2" t="s">
        <v>13</v>
      </c>
      <c r="D97" s="2" t="s">
        <v>369</v>
      </c>
      <c r="E97" s="2" t="s">
        <v>370</v>
      </c>
      <c r="F97" s="2" t="s">
        <v>23</v>
      </c>
      <c r="G97" s="2" t="n">
        <v>148</v>
      </c>
      <c r="H97" s="4" t="n">
        <v>850000</v>
      </c>
      <c r="I97" s="2" t="s">
        <v>47</v>
      </c>
      <c r="J97" s="2" t="n">
        <v>3</v>
      </c>
      <c r="K97" s="3"/>
    </row>
    <row r="98" customFormat="false" ht="15" hidden="false" customHeight="false" outlineLevel="0" collapsed="false">
      <c r="A98" s="2" t="s">
        <v>371</v>
      </c>
      <c r="B98" s="3" t="s">
        <v>164</v>
      </c>
      <c r="C98" s="2" t="s">
        <v>20</v>
      </c>
      <c r="D98" s="2" t="s">
        <v>372</v>
      </c>
      <c r="E98" s="2" t="s">
        <v>94</v>
      </c>
      <c r="F98" s="2" t="s">
        <v>65</v>
      </c>
      <c r="G98" s="2" t="n">
        <v>156</v>
      </c>
      <c r="H98" s="4" t="n">
        <v>850000</v>
      </c>
      <c r="I98" s="2" t="s">
        <v>31</v>
      </c>
      <c r="J98" s="2" t="n">
        <v>14</v>
      </c>
      <c r="K98" s="3" t="s">
        <v>250</v>
      </c>
    </row>
    <row r="99" customFormat="false" ht="15" hidden="false" customHeight="false" outlineLevel="0" collapsed="false">
      <c r="A99" s="2" t="s">
        <v>373</v>
      </c>
      <c r="B99" s="3" t="s">
        <v>374</v>
      </c>
      <c r="C99" s="2" t="s">
        <v>54</v>
      </c>
      <c r="D99" s="2" t="s">
        <v>375</v>
      </c>
      <c r="E99" s="2" t="s">
        <v>158</v>
      </c>
      <c r="F99" s="2" t="s">
        <v>89</v>
      </c>
      <c r="G99" s="2" t="n">
        <v>219</v>
      </c>
      <c r="H99" s="4" t="n">
        <v>75000</v>
      </c>
      <c r="I99" s="2" t="s">
        <v>24</v>
      </c>
      <c r="J99" s="2" t="n">
        <v>14</v>
      </c>
      <c r="K99" s="3"/>
    </row>
    <row r="100" customFormat="false" ht="15" hidden="false" customHeight="false" outlineLevel="0" collapsed="false">
      <c r="A100" s="2" t="s">
        <v>376</v>
      </c>
      <c r="B100" s="3" t="s">
        <v>377</v>
      </c>
      <c r="C100" s="2" t="s">
        <v>72</v>
      </c>
      <c r="D100" s="2" t="s">
        <v>378</v>
      </c>
      <c r="E100" s="2" t="s">
        <v>243</v>
      </c>
      <c r="F100" s="2" t="s">
        <v>16</v>
      </c>
      <c r="G100" s="2" t="n">
        <v>370</v>
      </c>
      <c r="H100" s="4" t="n">
        <v>250000</v>
      </c>
      <c r="I100" s="2" t="s">
        <v>31</v>
      </c>
      <c r="J100" s="2" t="n">
        <v>10</v>
      </c>
      <c r="K100" s="3" t="s">
        <v>379</v>
      </c>
    </row>
    <row r="101" customFormat="false" ht="15" hidden="false" customHeight="false" outlineLevel="0" collapsed="false">
      <c r="A101" s="2" t="s">
        <v>380</v>
      </c>
      <c r="B101" s="3" t="s">
        <v>381</v>
      </c>
      <c r="C101" s="2" t="s">
        <v>72</v>
      </c>
      <c r="D101" s="2" t="s">
        <v>382</v>
      </c>
      <c r="E101" s="2" t="s">
        <v>158</v>
      </c>
      <c r="F101" s="2" t="s">
        <v>89</v>
      </c>
      <c r="G101" s="2" t="n">
        <v>97</v>
      </c>
      <c r="H101" s="4" t="n">
        <v>15000</v>
      </c>
      <c r="I101" s="2" t="s">
        <v>31</v>
      </c>
      <c r="J101" s="2" t="n">
        <v>5</v>
      </c>
      <c r="K101" s="3" t="s">
        <v>71</v>
      </c>
    </row>
    <row r="102" customFormat="false" ht="15" hidden="false" customHeight="false" outlineLevel="0" collapsed="false">
      <c r="A102" s="2" t="s">
        <v>383</v>
      </c>
      <c r="B102" s="3" t="s">
        <v>384</v>
      </c>
      <c r="C102" s="2" t="s">
        <v>182</v>
      </c>
      <c r="D102" s="2" t="s">
        <v>385</v>
      </c>
      <c r="E102" s="2" t="s">
        <v>386</v>
      </c>
      <c r="F102" s="2" t="s">
        <v>42</v>
      </c>
      <c r="G102" s="2" t="n">
        <v>397</v>
      </c>
      <c r="H102" s="4" t="n">
        <v>75000</v>
      </c>
      <c r="I102" s="2" t="s">
        <v>17</v>
      </c>
      <c r="J102" s="2" t="n">
        <v>3</v>
      </c>
      <c r="K102" s="3"/>
    </row>
    <row r="103" customFormat="false" ht="15" hidden="false" customHeight="false" outlineLevel="0" collapsed="false">
      <c r="A103" s="2" t="s">
        <v>387</v>
      </c>
      <c r="B103" s="3" t="s">
        <v>388</v>
      </c>
      <c r="C103" s="2" t="s">
        <v>82</v>
      </c>
      <c r="D103" s="2" t="s">
        <v>389</v>
      </c>
      <c r="E103" s="2" t="s">
        <v>88</v>
      </c>
      <c r="F103" s="2" t="s">
        <v>89</v>
      </c>
      <c r="G103" s="2" t="n">
        <v>410</v>
      </c>
      <c r="H103" s="4" t="n">
        <v>15000</v>
      </c>
      <c r="I103" s="2" t="s">
        <v>47</v>
      </c>
      <c r="J103" s="2" t="n">
        <v>5</v>
      </c>
      <c r="K103" s="3"/>
    </row>
    <row r="104" customFormat="false" ht="15" hidden="false" customHeight="false" outlineLevel="0" collapsed="false">
      <c r="A104" s="2" t="s">
        <v>390</v>
      </c>
      <c r="B104" s="3" t="s">
        <v>391</v>
      </c>
      <c r="C104" s="2" t="s">
        <v>27</v>
      </c>
      <c r="D104" s="2" t="s">
        <v>392</v>
      </c>
      <c r="E104" s="2" t="s">
        <v>184</v>
      </c>
      <c r="F104" s="2" t="s">
        <v>89</v>
      </c>
      <c r="G104" s="2" t="n">
        <v>126</v>
      </c>
      <c r="H104" s="4" t="n">
        <v>250000</v>
      </c>
      <c r="I104" s="2" t="s">
        <v>47</v>
      </c>
      <c r="J104" s="2" t="n">
        <v>7</v>
      </c>
      <c r="K104" s="3"/>
    </row>
    <row r="105" customFormat="false" ht="15" hidden="false" customHeight="false" outlineLevel="0" collapsed="false">
      <c r="A105" s="2" t="s">
        <v>393</v>
      </c>
      <c r="B105" s="3" t="s">
        <v>74</v>
      </c>
      <c r="C105" s="2" t="s">
        <v>182</v>
      </c>
      <c r="D105" s="2" t="s">
        <v>394</v>
      </c>
      <c r="E105" s="2" t="s">
        <v>198</v>
      </c>
      <c r="F105" s="2" t="s">
        <v>30</v>
      </c>
      <c r="G105" s="2" t="n">
        <v>293</v>
      </c>
      <c r="H105" s="4" t="n">
        <v>45000</v>
      </c>
      <c r="I105" s="2" t="s">
        <v>24</v>
      </c>
      <c r="J105" s="2" t="n">
        <v>5</v>
      </c>
      <c r="K105" s="3"/>
    </row>
    <row r="106" customFormat="false" ht="15" hidden="false" customHeight="false" outlineLevel="0" collapsed="false">
      <c r="A106" s="2" t="s">
        <v>395</v>
      </c>
      <c r="B106" s="3" t="s">
        <v>396</v>
      </c>
      <c r="C106" s="2" t="s">
        <v>72</v>
      </c>
      <c r="D106" s="2" t="s">
        <v>397</v>
      </c>
      <c r="E106" s="2" t="s">
        <v>184</v>
      </c>
      <c r="F106" s="2" t="s">
        <v>89</v>
      </c>
      <c r="G106" s="2" t="n">
        <v>24</v>
      </c>
      <c r="H106" s="4" t="n">
        <v>25000</v>
      </c>
      <c r="I106" s="2" t="s">
        <v>31</v>
      </c>
      <c r="J106" s="2" t="n">
        <v>14</v>
      </c>
      <c r="K106" s="3" t="s">
        <v>398</v>
      </c>
    </row>
    <row r="107" customFormat="false" ht="15" hidden="false" customHeight="false" outlineLevel="0" collapsed="false">
      <c r="A107" s="2" t="s">
        <v>399</v>
      </c>
      <c r="B107" s="3" t="s">
        <v>400</v>
      </c>
      <c r="C107" s="2" t="s">
        <v>72</v>
      </c>
      <c r="D107" s="2" t="s">
        <v>401</v>
      </c>
      <c r="E107" s="2" t="s">
        <v>69</v>
      </c>
      <c r="F107" s="2" t="s">
        <v>42</v>
      </c>
      <c r="G107" s="2" t="n">
        <v>474</v>
      </c>
      <c r="H107" s="4" t="n">
        <v>75000</v>
      </c>
      <c r="I107" s="2" t="s">
        <v>47</v>
      </c>
      <c r="J107" s="2" t="n">
        <v>7</v>
      </c>
      <c r="K107" s="3"/>
    </row>
    <row r="108" customFormat="false" ht="15" hidden="false" customHeight="false" outlineLevel="0" collapsed="false">
      <c r="A108" s="2" t="s">
        <v>402</v>
      </c>
      <c r="B108" s="3" t="s">
        <v>286</v>
      </c>
      <c r="C108" s="2" t="s">
        <v>13</v>
      </c>
      <c r="D108" s="2" t="s">
        <v>403</v>
      </c>
      <c r="E108" s="2" t="s">
        <v>56</v>
      </c>
      <c r="F108" s="2" t="s">
        <v>16</v>
      </c>
      <c r="G108" s="2" t="n">
        <v>305</v>
      </c>
      <c r="H108" s="4" t="n">
        <v>45000</v>
      </c>
      <c r="I108" s="2" t="s">
        <v>47</v>
      </c>
      <c r="J108" s="2" t="n">
        <v>14</v>
      </c>
      <c r="K108" s="3"/>
    </row>
    <row r="109" customFormat="false" ht="15" hidden="false" customHeight="false" outlineLevel="0" collapsed="false">
      <c r="A109" s="2" t="s">
        <v>404</v>
      </c>
      <c r="B109" s="3" t="s">
        <v>99</v>
      </c>
      <c r="C109" s="2" t="s">
        <v>54</v>
      </c>
      <c r="D109" s="2" t="s">
        <v>285</v>
      </c>
      <c r="E109" s="2" t="s">
        <v>158</v>
      </c>
      <c r="F109" s="2" t="s">
        <v>89</v>
      </c>
      <c r="G109" s="2" t="n">
        <v>56</v>
      </c>
      <c r="H109" s="4" t="n">
        <v>250000</v>
      </c>
      <c r="I109" s="2" t="s">
        <v>31</v>
      </c>
      <c r="J109" s="2" t="n">
        <v>5</v>
      </c>
      <c r="K109" s="3" t="s">
        <v>405</v>
      </c>
    </row>
    <row r="110" customFormat="false" ht="15" hidden="false" customHeight="false" outlineLevel="0" collapsed="false">
      <c r="A110" s="2" t="s">
        <v>406</v>
      </c>
      <c r="B110" s="3" t="s">
        <v>407</v>
      </c>
      <c r="C110" s="2" t="s">
        <v>96</v>
      </c>
      <c r="D110" s="2" t="s">
        <v>408</v>
      </c>
      <c r="E110" s="2" t="s">
        <v>198</v>
      </c>
      <c r="F110" s="2" t="s">
        <v>30</v>
      </c>
      <c r="G110" s="2" t="n">
        <v>367</v>
      </c>
      <c r="H110" s="4" t="n">
        <v>1200000</v>
      </c>
      <c r="I110" s="2" t="s">
        <v>24</v>
      </c>
      <c r="J110" s="2" t="n">
        <v>14</v>
      </c>
      <c r="K110" s="3"/>
    </row>
    <row r="111" customFormat="false" ht="15" hidden="false" customHeight="false" outlineLevel="0" collapsed="false">
      <c r="A111" s="2" t="s">
        <v>409</v>
      </c>
      <c r="B111" s="3" t="s">
        <v>410</v>
      </c>
      <c r="C111" s="2" t="s">
        <v>82</v>
      </c>
      <c r="D111" s="2" t="s">
        <v>411</v>
      </c>
      <c r="E111" s="2" t="s">
        <v>114</v>
      </c>
      <c r="F111" s="2" t="s">
        <v>30</v>
      </c>
      <c r="G111" s="2" t="n">
        <v>94</v>
      </c>
      <c r="H111" s="4" t="n">
        <v>500000</v>
      </c>
      <c r="I111" s="2" t="s">
        <v>31</v>
      </c>
      <c r="J111" s="2" t="n">
        <v>7</v>
      </c>
      <c r="K111" s="3" t="s">
        <v>412</v>
      </c>
    </row>
    <row r="112" customFormat="false" ht="15" hidden="false" customHeight="false" outlineLevel="0" collapsed="false">
      <c r="A112" s="2" t="s">
        <v>413</v>
      </c>
      <c r="B112" s="3" t="s">
        <v>286</v>
      </c>
      <c r="C112" s="2" t="s">
        <v>182</v>
      </c>
      <c r="D112" s="2" t="s">
        <v>414</v>
      </c>
      <c r="E112" s="2" t="s">
        <v>114</v>
      </c>
      <c r="F112" s="2" t="s">
        <v>30</v>
      </c>
      <c r="G112" s="2" t="n">
        <v>440</v>
      </c>
      <c r="H112" s="4" t="n">
        <v>15000</v>
      </c>
      <c r="I112" s="2" t="s">
        <v>31</v>
      </c>
      <c r="J112" s="2" t="n">
        <v>7</v>
      </c>
      <c r="K112" s="3" t="s">
        <v>415</v>
      </c>
    </row>
    <row r="113" customFormat="false" ht="15" hidden="false" customHeight="false" outlineLevel="0" collapsed="false">
      <c r="A113" s="2" t="s">
        <v>416</v>
      </c>
      <c r="B113" s="3" t="s">
        <v>279</v>
      </c>
      <c r="C113" s="2" t="s">
        <v>20</v>
      </c>
      <c r="D113" s="2" t="s">
        <v>417</v>
      </c>
      <c r="E113" s="2" t="s">
        <v>243</v>
      </c>
      <c r="F113" s="2" t="s">
        <v>16</v>
      </c>
      <c r="G113" s="2" t="n">
        <v>174</v>
      </c>
      <c r="H113" s="4" t="n">
        <v>25000</v>
      </c>
      <c r="I113" s="2" t="s">
        <v>31</v>
      </c>
      <c r="J113" s="2" t="n">
        <v>7</v>
      </c>
      <c r="K113" s="3" t="s">
        <v>418</v>
      </c>
    </row>
    <row r="114" customFormat="false" ht="15" hidden="false" customHeight="false" outlineLevel="0" collapsed="false">
      <c r="A114" s="2" t="s">
        <v>419</v>
      </c>
      <c r="B114" s="3" t="s">
        <v>420</v>
      </c>
      <c r="C114" s="2" t="s">
        <v>54</v>
      </c>
      <c r="D114" s="2" t="s">
        <v>421</v>
      </c>
      <c r="E114" s="2" t="s">
        <v>198</v>
      </c>
      <c r="F114" s="2" t="s">
        <v>30</v>
      </c>
      <c r="G114" s="2" t="n">
        <v>10</v>
      </c>
      <c r="H114" s="4" t="n">
        <v>120000</v>
      </c>
      <c r="I114" s="2" t="s">
        <v>31</v>
      </c>
      <c r="J114" s="2" t="n">
        <v>3</v>
      </c>
      <c r="K114" s="3" t="s">
        <v>422</v>
      </c>
    </row>
    <row r="115" customFormat="false" ht="15" hidden="false" customHeight="false" outlineLevel="0" collapsed="false">
      <c r="A115" s="2" t="s">
        <v>423</v>
      </c>
      <c r="B115" s="3" t="s">
        <v>326</v>
      </c>
      <c r="C115" s="2" t="s">
        <v>54</v>
      </c>
      <c r="D115" s="2" t="s">
        <v>424</v>
      </c>
      <c r="E115" s="2" t="s">
        <v>294</v>
      </c>
      <c r="F115" s="2" t="s">
        <v>30</v>
      </c>
      <c r="G115" s="2" t="n">
        <v>202</v>
      </c>
      <c r="H115" s="4" t="n">
        <v>850000</v>
      </c>
      <c r="I115" s="2" t="s">
        <v>24</v>
      </c>
      <c r="J115" s="2" t="n">
        <v>5</v>
      </c>
      <c r="K115" s="3"/>
    </row>
    <row r="116" customFormat="false" ht="15" hidden="false" customHeight="false" outlineLevel="0" collapsed="false">
      <c r="A116" s="2" t="s">
        <v>425</v>
      </c>
      <c r="B116" s="3" t="s">
        <v>333</v>
      </c>
      <c r="C116" s="2" t="s">
        <v>96</v>
      </c>
      <c r="D116" s="2" t="s">
        <v>426</v>
      </c>
      <c r="E116" s="2" t="s">
        <v>79</v>
      </c>
      <c r="F116" s="2" t="s">
        <v>42</v>
      </c>
      <c r="G116" s="2" t="n">
        <v>197</v>
      </c>
      <c r="H116" s="4" t="n">
        <v>25000</v>
      </c>
      <c r="I116" s="2" t="s">
        <v>47</v>
      </c>
      <c r="J116" s="2" t="n">
        <v>14</v>
      </c>
      <c r="K116" s="3"/>
    </row>
    <row r="117" customFormat="false" ht="15" hidden="false" customHeight="false" outlineLevel="0" collapsed="false">
      <c r="A117" s="2" t="s">
        <v>427</v>
      </c>
      <c r="B117" s="3" t="s">
        <v>250</v>
      </c>
      <c r="C117" s="2" t="s">
        <v>82</v>
      </c>
      <c r="D117" s="2" t="s">
        <v>428</v>
      </c>
      <c r="E117" s="2" t="s">
        <v>51</v>
      </c>
      <c r="F117" s="2" t="s">
        <v>23</v>
      </c>
      <c r="G117" s="2" t="n">
        <v>414</v>
      </c>
      <c r="H117" s="4" t="n">
        <v>15000</v>
      </c>
      <c r="I117" s="2" t="s">
        <v>31</v>
      </c>
      <c r="J117" s="2" t="n">
        <v>7</v>
      </c>
      <c r="K117" s="3" t="s">
        <v>282</v>
      </c>
    </row>
    <row r="118" customFormat="false" ht="15" hidden="false" customHeight="false" outlineLevel="0" collapsed="false">
      <c r="A118" s="2" t="s">
        <v>429</v>
      </c>
      <c r="B118" s="3" t="s">
        <v>111</v>
      </c>
      <c r="C118" s="2" t="s">
        <v>54</v>
      </c>
      <c r="D118" s="2" t="s">
        <v>430</v>
      </c>
      <c r="E118" s="2" t="s">
        <v>184</v>
      </c>
      <c r="F118" s="2" t="s">
        <v>89</v>
      </c>
      <c r="G118" s="2" t="n">
        <v>87</v>
      </c>
      <c r="H118" s="4" t="n">
        <v>25000</v>
      </c>
      <c r="I118" s="2" t="s">
        <v>31</v>
      </c>
      <c r="J118" s="2" t="n">
        <v>3</v>
      </c>
      <c r="K118" s="3" t="s">
        <v>431</v>
      </c>
    </row>
    <row r="119" customFormat="false" ht="15" hidden="false" customHeight="false" outlineLevel="0" collapsed="false">
      <c r="A119" s="2" t="s">
        <v>432</v>
      </c>
      <c r="B119" s="3" t="s">
        <v>433</v>
      </c>
      <c r="C119" s="2" t="s">
        <v>20</v>
      </c>
      <c r="D119" s="2" t="s">
        <v>434</v>
      </c>
      <c r="E119" s="2" t="s">
        <v>69</v>
      </c>
      <c r="F119" s="2" t="s">
        <v>42</v>
      </c>
      <c r="G119" s="2" t="n">
        <v>487</v>
      </c>
      <c r="H119" s="4" t="n">
        <v>45000</v>
      </c>
      <c r="I119" s="2" t="s">
        <v>24</v>
      </c>
      <c r="J119" s="2" t="n">
        <v>10</v>
      </c>
      <c r="K119" s="3"/>
    </row>
    <row r="120" customFormat="false" ht="15" hidden="false" customHeight="false" outlineLevel="0" collapsed="false">
      <c r="A120" s="2" t="s">
        <v>435</v>
      </c>
      <c r="B120" s="3" t="s">
        <v>436</v>
      </c>
      <c r="C120" s="2" t="s">
        <v>182</v>
      </c>
      <c r="D120" s="2" t="s">
        <v>437</v>
      </c>
      <c r="E120" s="2" t="s">
        <v>162</v>
      </c>
      <c r="F120" s="2" t="s">
        <v>16</v>
      </c>
      <c r="G120" s="2" t="n">
        <v>102</v>
      </c>
      <c r="H120" s="4" t="n">
        <v>500000</v>
      </c>
      <c r="I120" s="2" t="s">
        <v>24</v>
      </c>
      <c r="J120" s="2" t="n">
        <v>14</v>
      </c>
      <c r="K120" s="3"/>
    </row>
    <row r="121" customFormat="false" ht="15" hidden="false" customHeight="false" outlineLevel="0" collapsed="false">
      <c r="A121" s="2" t="s">
        <v>438</v>
      </c>
      <c r="B121" s="3" t="s">
        <v>84</v>
      </c>
      <c r="C121" s="2" t="s">
        <v>39</v>
      </c>
      <c r="D121" s="2" t="s">
        <v>439</v>
      </c>
      <c r="E121" s="2" t="s">
        <v>184</v>
      </c>
      <c r="F121" s="2" t="s">
        <v>89</v>
      </c>
      <c r="G121" s="2" t="n">
        <v>30</v>
      </c>
      <c r="H121" s="4" t="n">
        <v>500000</v>
      </c>
      <c r="I121" s="2" t="s">
        <v>24</v>
      </c>
      <c r="J121" s="2" t="n">
        <v>10</v>
      </c>
      <c r="K121" s="3"/>
    </row>
    <row r="122" customFormat="false" ht="15" hidden="false" customHeight="false" outlineLevel="0" collapsed="false">
      <c r="A122" s="2" t="s">
        <v>440</v>
      </c>
      <c r="B122" s="3" t="s">
        <v>441</v>
      </c>
      <c r="C122" s="2" t="s">
        <v>182</v>
      </c>
      <c r="D122" s="2" t="s">
        <v>442</v>
      </c>
      <c r="E122" s="2" t="s">
        <v>443</v>
      </c>
      <c r="F122" s="2" t="s">
        <v>89</v>
      </c>
      <c r="G122" s="2" t="n">
        <v>49</v>
      </c>
      <c r="H122" s="4" t="n">
        <v>120000</v>
      </c>
      <c r="I122" s="2" t="s">
        <v>47</v>
      </c>
      <c r="J122" s="2" t="n">
        <v>14</v>
      </c>
      <c r="K122" s="3"/>
    </row>
    <row r="123" customFormat="false" ht="15" hidden="false" customHeight="false" outlineLevel="0" collapsed="false">
      <c r="A123" s="2" t="s">
        <v>444</v>
      </c>
      <c r="B123" s="3" t="s">
        <v>445</v>
      </c>
      <c r="C123" s="2" t="s">
        <v>82</v>
      </c>
      <c r="D123" s="2" t="s">
        <v>446</v>
      </c>
      <c r="E123" s="2" t="s">
        <v>56</v>
      </c>
      <c r="F123" s="2" t="s">
        <v>16</v>
      </c>
      <c r="G123" s="2" t="n">
        <v>92</v>
      </c>
      <c r="H123" s="4" t="n">
        <v>120000</v>
      </c>
      <c r="I123" s="2" t="s">
        <v>17</v>
      </c>
      <c r="J123" s="2" t="n">
        <v>10</v>
      </c>
      <c r="K123" s="3"/>
    </row>
    <row r="124" customFormat="false" ht="15" hidden="false" customHeight="false" outlineLevel="0" collapsed="false">
      <c r="A124" s="2" t="s">
        <v>447</v>
      </c>
      <c r="B124" s="3" t="s">
        <v>431</v>
      </c>
      <c r="C124" s="2" t="s">
        <v>39</v>
      </c>
      <c r="D124" s="2" t="s">
        <v>448</v>
      </c>
      <c r="E124" s="2" t="s">
        <v>41</v>
      </c>
      <c r="F124" s="2" t="s">
        <v>42</v>
      </c>
      <c r="G124" s="2" t="n">
        <v>463</v>
      </c>
      <c r="H124" s="4" t="n">
        <v>120000</v>
      </c>
      <c r="I124" s="2" t="s">
        <v>31</v>
      </c>
      <c r="J124" s="2" t="n">
        <v>14</v>
      </c>
      <c r="K124" s="3" t="s">
        <v>449</v>
      </c>
    </row>
    <row r="125" customFormat="false" ht="15" hidden="false" customHeight="false" outlineLevel="0" collapsed="false">
      <c r="A125" s="2" t="s">
        <v>450</v>
      </c>
      <c r="B125" s="3" t="s">
        <v>451</v>
      </c>
      <c r="C125" s="2" t="s">
        <v>13</v>
      </c>
      <c r="D125" s="2" t="s">
        <v>452</v>
      </c>
      <c r="E125" s="2" t="s">
        <v>79</v>
      </c>
      <c r="F125" s="2" t="s">
        <v>42</v>
      </c>
      <c r="G125" s="2" t="n">
        <v>233</v>
      </c>
      <c r="H125" s="4" t="n">
        <v>15000</v>
      </c>
      <c r="I125" s="2" t="s">
        <v>31</v>
      </c>
      <c r="J125" s="2" t="n">
        <v>10</v>
      </c>
      <c r="K125" s="3" t="s">
        <v>453</v>
      </c>
    </row>
    <row r="126" customFormat="false" ht="15" hidden="false" customHeight="false" outlineLevel="0" collapsed="false">
      <c r="A126" s="2" t="s">
        <v>454</v>
      </c>
      <c r="B126" s="3" t="s">
        <v>350</v>
      </c>
      <c r="C126" s="2" t="s">
        <v>39</v>
      </c>
      <c r="D126" s="2" t="s">
        <v>455</v>
      </c>
      <c r="E126" s="2" t="s">
        <v>64</v>
      </c>
      <c r="F126" s="2" t="s">
        <v>65</v>
      </c>
      <c r="G126" s="2" t="n">
        <v>390</v>
      </c>
      <c r="H126" s="4" t="n">
        <v>25000</v>
      </c>
      <c r="I126" s="2" t="s">
        <v>31</v>
      </c>
      <c r="J126" s="2" t="n">
        <v>7</v>
      </c>
      <c r="K126" s="3" t="s">
        <v>81</v>
      </c>
    </row>
    <row r="127" customFormat="false" ht="15" hidden="false" customHeight="false" outlineLevel="0" collapsed="false">
      <c r="A127" s="2" t="s">
        <v>456</v>
      </c>
      <c r="B127" s="3" t="s">
        <v>333</v>
      </c>
      <c r="C127" s="2" t="s">
        <v>20</v>
      </c>
      <c r="D127" s="2" t="s">
        <v>457</v>
      </c>
      <c r="E127" s="2" t="s">
        <v>22</v>
      </c>
      <c r="F127" s="2" t="s">
        <v>23</v>
      </c>
      <c r="G127" s="2" t="n">
        <v>435</v>
      </c>
      <c r="H127" s="4" t="n">
        <v>500000</v>
      </c>
      <c r="I127" s="2" t="s">
        <v>47</v>
      </c>
      <c r="J127" s="2" t="n">
        <v>10</v>
      </c>
      <c r="K127" s="3"/>
    </row>
    <row r="128" customFormat="false" ht="15" hidden="false" customHeight="false" outlineLevel="0" collapsed="false">
      <c r="A128" s="2" t="s">
        <v>458</v>
      </c>
      <c r="B128" s="3" t="s">
        <v>459</v>
      </c>
      <c r="C128" s="2" t="s">
        <v>96</v>
      </c>
      <c r="D128" s="2" t="s">
        <v>460</v>
      </c>
      <c r="E128" s="2" t="s">
        <v>94</v>
      </c>
      <c r="F128" s="2" t="s">
        <v>65</v>
      </c>
      <c r="G128" s="2" t="n">
        <v>158</v>
      </c>
      <c r="H128" s="4" t="n">
        <v>25000</v>
      </c>
      <c r="I128" s="2" t="s">
        <v>31</v>
      </c>
      <c r="J128" s="2" t="n">
        <v>3</v>
      </c>
      <c r="K128" s="3" t="s">
        <v>461</v>
      </c>
    </row>
    <row r="129" customFormat="false" ht="15" hidden="false" customHeight="false" outlineLevel="0" collapsed="false">
      <c r="A129" s="2" t="s">
        <v>462</v>
      </c>
      <c r="B129" s="3" t="s">
        <v>71</v>
      </c>
      <c r="C129" s="2" t="s">
        <v>72</v>
      </c>
      <c r="D129" s="2" t="s">
        <v>463</v>
      </c>
      <c r="E129" s="2" t="s">
        <v>281</v>
      </c>
      <c r="F129" s="2" t="s">
        <v>65</v>
      </c>
      <c r="G129" s="2" t="n">
        <v>66</v>
      </c>
      <c r="H129" s="4" t="n">
        <v>850000</v>
      </c>
      <c r="I129" s="2" t="s">
        <v>31</v>
      </c>
      <c r="J129" s="2" t="n">
        <v>5</v>
      </c>
      <c r="K129" s="3" t="s">
        <v>464</v>
      </c>
    </row>
    <row r="130" customFormat="false" ht="15" hidden="false" customHeight="false" outlineLevel="0" collapsed="false">
      <c r="A130" s="2" t="s">
        <v>465</v>
      </c>
      <c r="B130" s="3" t="s">
        <v>415</v>
      </c>
      <c r="C130" s="2" t="s">
        <v>77</v>
      </c>
      <c r="D130" s="2" t="s">
        <v>466</v>
      </c>
      <c r="E130" s="2" t="s">
        <v>243</v>
      </c>
      <c r="F130" s="2" t="s">
        <v>16</v>
      </c>
      <c r="G130" s="2" t="n">
        <v>354</v>
      </c>
      <c r="H130" s="4" t="n">
        <v>500000</v>
      </c>
      <c r="I130" s="2" t="s">
        <v>31</v>
      </c>
      <c r="J130" s="2" t="n">
        <v>5</v>
      </c>
      <c r="K130" s="3" t="s">
        <v>201</v>
      </c>
    </row>
    <row r="131" customFormat="false" ht="15" hidden="false" customHeight="false" outlineLevel="0" collapsed="false">
      <c r="A131" s="2" t="s">
        <v>467</v>
      </c>
      <c r="B131" s="3" t="s">
        <v>313</v>
      </c>
      <c r="C131" s="2" t="s">
        <v>54</v>
      </c>
      <c r="D131" s="2" t="s">
        <v>468</v>
      </c>
      <c r="E131" s="2" t="s">
        <v>243</v>
      </c>
      <c r="F131" s="2" t="s">
        <v>16</v>
      </c>
      <c r="G131" s="2" t="n">
        <v>208</v>
      </c>
      <c r="H131" s="4" t="n">
        <v>1200000</v>
      </c>
      <c r="I131" s="2" t="s">
        <v>31</v>
      </c>
      <c r="J131" s="2" t="n">
        <v>7</v>
      </c>
      <c r="K131" s="3" t="s">
        <v>469</v>
      </c>
    </row>
    <row r="132" customFormat="false" ht="15" hidden="false" customHeight="false" outlineLevel="0" collapsed="false">
      <c r="A132" s="2" t="s">
        <v>470</v>
      </c>
      <c r="B132" s="3" t="s">
        <v>156</v>
      </c>
      <c r="C132" s="2" t="s">
        <v>182</v>
      </c>
      <c r="D132" s="2" t="s">
        <v>471</v>
      </c>
      <c r="E132" s="2" t="s">
        <v>114</v>
      </c>
      <c r="F132" s="2" t="s">
        <v>30</v>
      </c>
      <c r="G132" s="2" t="n">
        <v>272</v>
      </c>
      <c r="H132" s="4" t="n">
        <v>500000</v>
      </c>
      <c r="I132" s="2" t="s">
        <v>31</v>
      </c>
      <c r="J132" s="2" t="n">
        <v>5</v>
      </c>
      <c r="K132" s="3" t="s">
        <v>472</v>
      </c>
    </row>
    <row r="133" customFormat="false" ht="15" hidden="false" customHeight="false" outlineLevel="0" collapsed="false">
      <c r="A133" s="2" t="s">
        <v>473</v>
      </c>
      <c r="B133" s="3" t="s">
        <v>474</v>
      </c>
      <c r="C133" s="2" t="s">
        <v>20</v>
      </c>
      <c r="D133" s="2" t="s">
        <v>475</v>
      </c>
      <c r="E133" s="2" t="s">
        <v>64</v>
      </c>
      <c r="F133" s="2" t="s">
        <v>65</v>
      </c>
      <c r="G133" s="2" t="n">
        <v>293</v>
      </c>
      <c r="H133" s="4" t="n">
        <v>25000</v>
      </c>
      <c r="I133" s="2" t="s">
        <v>47</v>
      </c>
      <c r="J133" s="2" t="n">
        <v>14</v>
      </c>
      <c r="K133" s="3"/>
    </row>
    <row r="134" customFormat="false" ht="15" hidden="false" customHeight="false" outlineLevel="0" collapsed="false">
      <c r="A134" s="2" t="s">
        <v>476</v>
      </c>
      <c r="B134" s="3" t="s">
        <v>469</v>
      </c>
      <c r="C134" s="2" t="s">
        <v>27</v>
      </c>
      <c r="D134" s="2" t="s">
        <v>477</v>
      </c>
      <c r="E134" s="2" t="s">
        <v>158</v>
      </c>
      <c r="F134" s="2" t="s">
        <v>89</v>
      </c>
      <c r="G134" s="2" t="n">
        <v>253</v>
      </c>
      <c r="H134" s="4" t="n">
        <v>850000</v>
      </c>
      <c r="I134" s="2" t="s">
        <v>31</v>
      </c>
      <c r="J134" s="2" t="n">
        <v>7</v>
      </c>
      <c r="K134" s="3" t="s">
        <v>478</v>
      </c>
    </row>
    <row r="135" customFormat="false" ht="15" hidden="false" customHeight="false" outlineLevel="0" collapsed="false">
      <c r="A135" s="2" t="s">
        <v>479</v>
      </c>
      <c r="B135" s="3" t="s">
        <v>480</v>
      </c>
      <c r="C135" s="2" t="s">
        <v>20</v>
      </c>
      <c r="D135" s="2" t="s">
        <v>481</v>
      </c>
      <c r="E135" s="2" t="s">
        <v>110</v>
      </c>
      <c r="F135" s="2" t="s">
        <v>65</v>
      </c>
      <c r="G135" s="2" t="n">
        <v>207</v>
      </c>
      <c r="H135" s="4" t="n">
        <v>250000</v>
      </c>
      <c r="I135" s="2" t="s">
        <v>24</v>
      </c>
      <c r="J135" s="2" t="n">
        <v>3</v>
      </c>
      <c r="K135" s="3"/>
    </row>
    <row r="136" customFormat="false" ht="15" hidden="false" customHeight="false" outlineLevel="0" collapsed="false">
      <c r="A136" s="2" t="s">
        <v>482</v>
      </c>
      <c r="B136" s="3" t="s">
        <v>483</v>
      </c>
      <c r="C136" s="2" t="s">
        <v>39</v>
      </c>
      <c r="D136" s="2" t="s">
        <v>484</v>
      </c>
      <c r="E136" s="2" t="s">
        <v>443</v>
      </c>
      <c r="F136" s="2" t="s">
        <v>89</v>
      </c>
      <c r="G136" s="2" t="n">
        <v>423</v>
      </c>
      <c r="H136" s="4" t="n">
        <v>120000</v>
      </c>
      <c r="I136" s="2" t="s">
        <v>31</v>
      </c>
      <c r="J136" s="2" t="n">
        <v>10</v>
      </c>
      <c r="K136" s="3" t="s">
        <v>396</v>
      </c>
    </row>
    <row r="137" customFormat="false" ht="15" hidden="false" customHeight="false" outlineLevel="0" collapsed="false">
      <c r="A137" s="2" t="s">
        <v>485</v>
      </c>
      <c r="B137" s="3" t="s">
        <v>486</v>
      </c>
      <c r="C137" s="2" t="s">
        <v>77</v>
      </c>
      <c r="D137" s="2" t="s">
        <v>487</v>
      </c>
      <c r="E137" s="2" t="s">
        <v>158</v>
      </c>
      <c r="F137" s="2" t="s">
        <v>89</v>
      </c>
      <c r="G137" s="2" t="n">
        <v>427</v>
      </c>
      <c r="H137" s="4" t="n">
        <v>250000</v>
      </c>
      <c r="I137" s="2" t="s">
        <v>31</v>
      </c>
      <c r="J137" s="2" t="n">
        <v>10</v>
      </c>
      <c r="K137" s="3" t="s">
        <v>324</v>
      </c>
    </row>
    <row r="138" customFormat="false" ht="15" hidden="false" customHeight="false" outlineLevel="0" collapsed="false">
      <c r="A138" s="2" t="s">
        <v>488</v>
      </c>
      <c r="B138" s="3" t="s">
        <v>489</v>
      </c>
      <c r="C138" s="2" t="s">
        <v>96</v>
      </c>
      <c r="D138" s="2" t="s">
        <v>490</v>
      </c>
      <c r="E138" s="2" t="s">
        <v>51</v>
      </c>
      <c r="F138" s="2" t="s">
        <v>23</v>
      </c>
      <c r="G138" s="2" t="n">
        <v>253</v>
      </c>
      <c r="H138" s="4" t="n">
        <v>1200000</v>
      </c>
      <c r="I138" s="2" t="s">
        <v>47</v>
      </c>
      <c r="J138" s="2" t="n">
        <v>3</v>
      </c>
      <c r="K138" s="3"/>
    </row>
    <row r="139" customFormat="false" ht="15" hidden="false" customHeight="false" outlineLevel="0" collapsed="false">
      <c r="A139" s="2" t="s">
        <v>491</v>
      </c>
      <c r="B139" s="3" t="s">
        <v>216</v>
      </c>
      <c r="C139" s="2" t="s">
        <v>77</v>
      </c>
      <c r="D139" s="2" t="s">
        <v>492</v>
      </c>
      <c r="E139" s="2" t="s">
        <v>162</v>
      </c>
      <c r="F139" s="2" t="s">
        <v>16</v>
      </c>
      <c r="G139" s="2" t="n">
        <v>264</v>
      </c>
      <c r="H139" s="4" t="n">
        <v>500000</v>
      </c>
      <c r="I139" s="2" t="s">
        <v>31</v>
      </c>
      <c r="J139" s="2" t="n">
        <v>14</v>
      </c>
      <c r="K139" s="3" t="s">
        <v>493</v>
      </c>
    </row>
    <row r="140" customFormat="false" ht="15" hidden="false" customHeight="false" outlineLevel="0" collapsed="false">
      <c r="A140" s="2" t="s">
        <v>494</v>
      </c>
      <c r="B140" s="3" t="s">
        <v>368</v>
      </c>
      <c r="C140" s="2" t="s">
        <v>82</v>
      </c>
      <c r="D140" s="2" t="s">
        <v>495</v>
      </c>
      <c r="E140" s="2" t="s">
        <v>36</v>
      </c>
      <c r="F140" s="2" t="s">
        <v>23</v>
      </c>
      <c r="G140" s="2" t="n">
        <v>21</v>
      </c>
      <c r="H140" s="4" t="n">
        <v>850000</v>
      </c>
      <c r="I140" s="2" t="s">
        <v>31</v>
      </c>
      <c r="J140" s="2" t="n">
        <v>7</v>
      </c>
      <c r="K140" s="3" t="s">
        <v>489</v>
      </c>
    </row>
    <row r="141" customFormat="false" ht="15" hidden="false" customHeight="false" outlineLevel="0" collapsed="false">
      <c r="A141" s="2" t="s">
        <v>496</v>
      </c>
      <c r="B141" s="3" t="s">
        <v>379</v>
      </c>
      <c r="C141" s="2" t="s">
        <v>13</v>
      </c>
      <c r="D141" s="2" t="s">
        <v>497</v>
      </c>
      <c r="E141" s="2" t="s">
        <v>386</v>
      </c>
      <c r="F141" s="2" t="s">
        <v>42</v>
      </c>
      <c r="G141" s="2" t="n">
        <v>330</v>
      </c>
      <c r="H141" s="4" t="n">
        <v>25000</v>
      </c>
      <c r="I141" s="2" t="s">
        <v>24</v>
      </c>
      <c r="J141" s="2" t="n">
        <v>5</v>
      </c>
      <c r="K141" s="3"/>
    </row>
    <row r="142" customFormat="false" ht="15" hidden="false" customHeight="false" outlineLevel="0" collapsed="false">
      <c r="A142" s="2" t="s">
        <v>498</v>
      </c>
      <c r="B142" s="3" t="s">
        <v>296</v>
      </c>
      <c r="C142" s="2" t="s">
        <v>96</v>
      </c>
      <c r="D142" s="2" t="s">
        <v>499</v>
      </c>
      <c r="E142" s="2" t="s">
        <v>110</v>
      </c>
      <c r="F142" s="2" t="s">
        <v>65</v>
      </c>
      <c r="G142" s="2" t="n">
        <v>496</v>
      </c>
      <c r="H142" s="4" t="n">
        <v>850000</v>
      </c>
      <c r="I142" s="2" t="s">
        <v>24</v>
      </c>
      <c r="J142" s="2" t="n">
        <v>7</v>
      </c>
      <c r="K142" s="3"/>
    </row>
    <row r="143" customFormat="false" ht="15" hidden="false" customHeight="false" outlineLevel="0" collapsed="false">
      <c r="A143" s="2" t="s">
        <v>500</v>
      </c>
      <c r="B143" s="3" t="s">
        <v>469</v>
      </c>
      <c r="C143" s="2" t="s">
        <v>77</v>
      </c>
      <c r="D143" s="2" t="s">
        <v>501</v>
      </c>
      <c r="E143" s="2" t="s">
        <v>443</v>
      </c>
      <c r="F143" s="2" t="s">
        <v>89</v>
      </c>
      <c r="G143" s="2" t="n">
        <v>19</v>
      </c>
      <c r="H143" s="4" t="n">
        <v>500000</v>
      </c>
      <c r="I143" s="2" t="s">
        <v>31</v>
      </c>
      <c r="J143" s="2" t="n">
        <v>14</v>
      </c>
      <c r="K143" s="3" t="s">
        <v>405</v>
      </c>
    </row>
    <row r="144" customFormat="false" ht="15" hidden="false" customHeight="false" outlineLevel="0" collapsed="false">
      <c r="A144" s="2" t="s">
        <v>502</v>
      </c>
      <c r="B144" s="3" t="s">
        <v>199</v>
      </c>
      <c r="C144" s="2" t="s">
        <v>82</v>
      </c>
      <c r="D144" s="2" t="s">
        <v>503</v>
      </c>
      <c r="E144" s="2" t="s">
        <v>29</v>
      </c>
      <c r="F144" s="2" t="s">
        <v>30</v>
      </c>
      <c r="G144" s="2" t="n">
        <v>338</v>
      </c>
      <c r="H144" s="4" t="n">
        <v>500000</v>
      </c>
      <c r="I144" s="2" t="s">
        <v>31</v>
      </c>
      <c r="J144" s="2" t="n">
        <v>3</v>
      </c>
      <c r="K144" s="3" t="s">
        <v>504</v>
      </c>
    </row>
    <row r="145" customFormat="false" ht="15" hidden="false" customHeight="false" outlineLevel="0" collapsed="false">
      <c r="A145" s="2" t="s">
        <v>505</v>
      </c>
      <c r="B145" s="3" t="s">
        <v>58</v>
      </c>
      <c r="C145" s="2" t="s">
        <v>77</v>
      </c>
      <c r="D145" s="2" t="s">
        <v>506</v>
      </c>
      <c r="E145" s="2" t="s">
        <v>64</v>
      </c>
      <c r="F145" s="2" t="s">
        <v>65</v>
      </c>
      <c r="G145" s="2" t="n">
        <v>134</v>
      </c>
      <c r="H145" s="4" t="n">
        <v>120000</v>
      </c>
      <c r="I145" s="2" t="s">
        <v>24</v>
      </c>
      <c r="J145" s="2" t="n">
        <v>7</v>
      </c>
      <c r="K145" s="3"/>
    </row>
    <row r="146" customFormat="false" ht="15" hidden="false" customHeight="false" outlineLevel="0" collapsed="false">
      <c r="A146" s="2" t="s">
        <v>507</v>
      </c>
      <c r="B146" s="3" t="s">
        <v>508</v>
      </c>
      <c r="C146" s="2" t="s">
        <v>27</v>
      </c>
      <c r="D146" s="2" t="s">
        <v>509</v>
      </c>
      <c r="E146" s="2" t="s">
        <v>158</v>
      </c>
      <c r="F146" s="2" t="s">
        <v>89</v>
      </c>
      <c r="G146" s="2" t="n">
        <v>116</v>
      </c>
      <c r="H146" s="4" t="n">
        <v>850000</v>
      </c>
      <c r="I146" s="2" t="s">
        <v>31</v>
      </c>
      <c r="J146" s="2" t="n">
        <v>14</v>
      </c>
      <c r="K146" s="3" t="s">
        <v>156</v>
      </c>
    </row>
    <row r="147" customFormat="false" ht="15" hidden="false" customHeight="false" outlineLevel="0" collapsed="false">
      <c r="A147" s="2" t="s">
        <v>510</v>
      </c>
      <c r="B147" s="3" t="s">
        <v>343</v>
      </c>
      <c r="C147" s="2" t="s">
        <v>54</v>
      </c>
      <c r="D147" s="2" t="s">
        <v>337</v>
      </c>
      <c r="E147" s="2" t="s">
        <v>119</v>
      </c>
      <c r="F147" s="2" t="s">
        <v>16</v>
      </c>
      <c r="G147" s="2" t="n">
        <v>499</v>
      </c>
      <c r="H147" s="4" t="n">
        <v>250000</v>
      </c>
      <c r="I147" s="2" t="s">
        <v>24</v>
      </c>
      <c r="J147" s="2" t="n">
        <v>14</v>
      </c>
      <c r="K147" s="3"/>
    </row>
    <row r="148" customFormat="false" ht="15" hidden="false" customHeight="false" outlineLevel="0" collapsed="false">
      <c r="A148" s="2" t="s">
        <v>511</v>
      </c>
      <c r="B148" s="3" t="s">
        <v>512</v>
      </c>
      <c r="C148" s="2" t="s">
        <v>39</v>
      </c>
      <c r="D148" s="2" t="s">
        <v>513</v>
      </c>
      <c r="E148" s="2" t="s">
        <v>443</v>
      </c>
      <c r="F148" s="2" t="s">
        <v>89</v>
      </c>
      <c r="G148" s="2" t="n">
        <v>37</v>
      </c>
      <c r="H148" s="4" t="n">
        <v>250000</v>
      </c>
      <c r="I148" s="2" t="s">
        <v>17</v>
      </c>
      <c r="J148" s="2" t="n">
        <v>7</v>
      </c>
      <c r="K148" s="3"/>
    </row>
    <row r="149" customFormat="false" ht="15" hidden="false" customHeight="false" outlineLevel="0" collapsed="false">
      <c r="A149" s="2" t="s">
        <v>514</v>
      </c>
      <c r="B149" s="3" t="s">
        <v>259</v>
      </c>
      <c r="C149" s="2" t="s">
        <v>39</v>
      </c>
      <c r="D149" s="2" t="s">
        <v>515</v>
      </c>
      <c r="E149" s="2" t="s">
        <v>198</v>
      </c>
      <c r="F149" s="2" t="s">
        <v>30</v>
      </c>
      <c r="G149" s="2" t="n">
        <v>81</v>
      </c>
      <c r="H149" s="4" t="n">
        <v>1200000</v>
      </c>
      <c r="I149" s="2" t="s">
        <v>47</v>
      </c>
      <c r="J149" s="2" t="n">
        <v>3</v>
      </c>
      <c r="K149" s="3"/>
    </row>
    <row r="150" customFormat="false" ht="15" hidden="false" customHeight="false" outlineLevel="0" collapsed="false">
      <c r="A150" s="2" t="s">
        <v>516</v>
      </c>
      <c r="B150" s="3" t="s">
        <v>517</v>
      </c>
      <c r="C150" s="2" t="s">
        <v>27</v>
      </c>
      <c r="D150" s="2" t="s">
        <v>518</v>
      </c>
      <c r="E150" s="2" t="s">
        <v>198</v>
      </c>
      <c r="F150" s="2" t="s">
        <v>30</v>
      </c>
      <c r="G150" s="2" t="n">
        <v>76</v>
      </c>
      <c r="H150" s="4" t="n">
        <v>15000</v>
      </c>
      <c r="I150" s="2" t="s">
        <v>24</v>
      </c>
      <c r="J150" s="2" t="n">
        <v>7</v>
      </c>
      <c r="K150" s="3"/>
    </row>
    <row r="151" customFormat="false" ht="15" hidden="false" customHeight="false" outlineLevel="0" collapsed="false">
      <c r="A151" s="2" t="s">
        <v>519</v>
      </c>
      <c r="B151" s="3" t="s">
        <v>520</v>
      </c>
      <c r="C151" s="2" t="s">
        <v>27</v>
      </c>
      <c r="D151" s="2" t="s">
        <v>521</v>
      </c>
      <c r="E151" s="2" t="s">
        <v>41</v>
      </c>
      <c r="F151" s="2" t="s">
        <v>42</v>
      </c>
      <c r="G151" s="2" t="n">
        <v>23</v>
      </c>
      <c r="H151" s="4" t="n">
        <v>75000</v>
      </c>
      <c r="I151" s="2" t="s">
        <v>31</v>
      </c>
      <c r="J151" s="2" t="n">
        <v>5</v>
      </c>
      <c r="K151" s="3" t="s">
        <v>384</v>
      </c>
    </row>
    <row r="152" customFormat="false" ht="15" hidden="false" customHeight="false" outlineLevel="0" collapsed="false">
      <c r="A152" s="2" t="s">
        <v>522</v>
      </c>
      <c r="B152" s="3" t="s">
        <v>523</v>
      </c>
      <c r="C152" s="2" t="s">
        <v>96</v>
      </c>
      <c r="D152" s="2" t="s">
        <v>524</v>
      </c>
      <c r="E152" s="2" t="s">
        <v>198</v>
      </c>
      <c r="F152" s="2" t="s">
        <v>30</v>
      </c>
      <c r="G152" s="2" t="n">
        <v>158</v>
      </c>
      <c r="H152" s="4" t="n">
        <v>45000</v>
      </c>
      <c r="I152" s="2" t="s">
        <v>47</v>
      </c>
      <c r="J152" s="2" t="n">
        <v>14</v>
      </c>
      <c r="K152" s="3"/>
    </row>
    <row r="153" customFormat="false" ht="15" hidden="false" customHeight="false" outlineLevel="0" collapsed="false">
      <c r="A153" s="2" t="s">
        <v>525</v>
      </c>
      <c r="B153" s="3" t="s">
        <v>526</v>
      </c>
      <c r="C153" s="2" t="s">
        <v>39</v>
      </c>
      <c r="D153" s="2" t="s">
        <v>527</v>
      </c>
      <c r="E153" s="2" t="s">
        <v>243</v>
      </c>
      <c r="F153" s="2" t="s">
        <v>16</v>
      </c>
      <c r="G153" s="2" t="n">
        <v>384</v>
      </c>
      <c r="H153" s="4" t="n">
        <v>120000</v>
      </c>
      <c r="I153" s="2" t="s">
        <v>24</v>
      </c>
      <c r="J153" s="2" t="n">
        <v>14</v>
      </c>
      <c r="K153" s="3"/>
    </row>
    <row r="154" customFormat="false" ht="15" hidden="false" customHeight="false" outlineLevel="0" collapsed="false">
      <c r="A154" s="2" t="s">
        <v>528</v>
      </c>
      <c r="B154" s="3" t="s">
        <v>529</v>
      </c>
      <c r="C154" s="2" t="s">
        <v>13</v>
      </c>
      <c r="D154" s="2" t="s">
        <v>530</v>
      </c>
      <c r="E154" s="2" t="s">
        <v>294</v>
      </c>
      <c r="F154" s="2" t="s">
        <v>30</v>
      </c>
      <c r="G154" s="2" t="n">
        <v>186</v>
      </c>
      <c r="H154" s="4" t="n">
        <v>75000</v>
      </c>
      <c r="I154" s="2" t="s">
        <v>24</v>
      </c>
      <c r="J154" s="2" t="n">
        <v>7</v>
      </c>
      <c r="K154" s="3"/>
    </row>
    <row r="155" customFormat="false" ht="15" hidden="false" customHeight="false" outlineLevel="0" collapsed="false">
      <c r="A155" s="2" t="s">
        <v>531</v>
      </c>
      <c r="B155" s="3" t="s">
        <v>532</v>
      </c>
      <c r="C155" s="2" t="s">
        <v>13</v>
      </c>
      <c r="D155" s="2" t="s">
        <v>533</v>
      </c>
      <c r="E155" s="2" t="s">
        <v>133</v>
      </c>
      <c r="F155" s="2" t="s">
        <v>89</v>
      </c>
      <c r="G155" s="2" t="n">
        <v>155</v>
      </c>
      <c r="H155" s="4" t="n">
        <v>850000</v>
      </c>
      <c r="I155" s="2" t="s">
        <v>47</v>
      </c>
      <c r="J155" s="2" t="n">
        <v>10</v>
      </c>
      <c r="K155" s="3"/>
    </row>
    <row r="156" customFormat="false" ht="15" hidden="false" customHeight="false" outlineLevel="0" collapsed="false">
      <c r="A156" s="2" t="s">
        <v>534</v>
      </c>
      <c r="B156" s="3" t="s">
        <v>535</v>
      </c>
      <c r="C156" s="2" t="s">
        <v>20</v>
      </c>
      <c r="D156" s="2" t="s">
        <v>536</v>
      </c>
      <c r="E156" s="2" t="s">
        <v>281</v>
      </c>
      <c r="F156" s="2" t="s">
        <v>65</v>
      </c>
      <c r="G156" s="2" t="n">
        <v>246</v>
      </c>
      <c r="H156" s="4" t="n">
        <v>75000</v>
      </c>
      <c r="I156" s="2" t="s">
        <v>31</v>
      </c>
      <c r="J156" s="2" t="n">
        <v>10</v>
      </c>
      <c r="K156" s="3" t="s">
        <v>537</v>
      </c>
    </row>
    <row r="157" customFormat="false" ht="15" hidden="false" customHeight="false" outlineLevel="0" collapsed="false">
      <c r="A157" s="2" t="s">
        <v>538</v>
      </c>
      <c r="B157" s="3" t="s">
        <v>539</v>
      </c>
      <c r="C157" s="2" t="s">
        <v>27</v>
      </c>
      <c r="D157" s="2" t="s">
        <v>375</v>
      </c>
      <c r="E157" s="2" t="s">
        <v>15</v>
      </c>
      <c r="F157" s="2" t="s">
        <v>16</v>
      </c>
      <c r="G157" s="2" t="n">
        <v>107</v>
      </c>
      <c r="H157" s="4" t="n">
        <v>250000</v>
      </c>
      <c r="I157" s="2" t="s">
        <v>31</v>
      </c>
      <c r="J157" s="2" t="n">
        <v>14</v>
      </c>
      <c r="K157" s="3" t="s">
        <v>299</v>
      </c>
    </row>
    <row r="158" customFormat="false" ht="15" hidden="false" customHeight="false" outlineLevel="0" collapsed="false">
      <c r="A158" s="2" t="s">
        <v>540</v>
      </c>
      <c r="B158" s="3" t="s">
        <v>480</v>
      </c>
      <c r="C158" s="2" t="s">
        <v>13</v>
      </c>
      <c r="D158" s="2" t="s">
        <v>541</v>
      </c>
      <c r="E158" s="2" t="s">
        <v>29</v>
      </c>
      <c r="F158" s="2" t="s">
        <v>30</v>
      </c>
      <c r="G158" s="2" t="n">
        <v>46</v>
      </c>
      <c r="H158" s="4" t="n">
        <v>850000</v>
      </c>
      <c r="I158" s="2" t="s">
        <v>31</v>
      </c>
      <c r="J158" s="2" t="n">
        <v>5</v>
      </c>
      <c r="K158" s="3" t="s">
        <v>231</v>
      </c>
    </row>
    <row r="159" customFormat="false" ht="15" hidden="false" customHeight="false" outlineLevel="0" collapsed="false">
      <c r="A159" s="2" t="s">
        <v>542</v>
      </c>
      <c r="B159" s="3" t="s">
        <v>543</v>
      </c>
      <c r="C159" s="2" t="s">
        <v>182</v>
      </c>
      <c r="D159" s="2" t="s">
        <v>544</v>
      </c>
      <c r="E159" s="2" t="s">
        <v>243</v>
      </c>
      <c r="F159" s="2" t="s">
        <v>16</v>
      </c>
      <c r="G159" s="2" t="n">
        <v>112</v>
      </c>
      <c r="H159" s="4" t="n">
        <v>45000</v>
      </c>
      <c r="I159" s="2" t="s">
        <v>24</v>
      </c>
      <c r="J159" s="2" t="n">
        <v>5</v>
      </c>
      <c r="K159" s="3"/>
    </row>
    <row r="160" customFormat="false" ht="15" hidden="false" customHeight="false" outlineLevel="0" collapsed="false">
      <c r="A160" s="2" t="s">
        <v>545</v>
      </c>
      <c r="B160" s="3" t="s">
        <v>212</v>
      </c>
      <c r="C160" s="2" t="s">
        <v>54</v>
      </c>
      <c r="D160" s="2" t="s">
        <v>546</v>
      </c>
      <c r="E160" s="2" t="s">
        <v>22</v>
      </c>
      <c r="F160" s="2" t="s">
        <v>23</v>
      </c>
      <c r="G160" s="2" t="n">
        <v>329</v>
      </c>
      <c r="H160" s="4" t="n">
        <v>500000</v>
      </c>
      <c r="I160" s="2" t="s">
        <v>31</v>
      </c>
      <c r="J160" s="2" t="n">
        <v>10</v>
      </c>
      <c r="K160" s="3" t="s">
        <v>547</v>
      </c>
    </row>
    <row r="161" customFormat="false" ht="15" hidden="false" customHeight="false" outlineLevel="0" collapsed="false">
      <c r="A161" s="2" t="s">
        <v>548</v>
      </c>
      <c r="B161" s="3" t="s">
        <v>549</v>
      </c>
      <c r="C161" s="2" t="s">
        <v>182</v>
      </c>
      <c r="D161" s="2" t="s">
        <v>550</v>
      </c>
      <c r="E161" s="2" t="s">
        <v>94</v>
      </c>
      <c r="F161" s="2" t="s">
        <v>65</v>
      </c>
      <c r="G161" s="2" t="n">
        <v>196</v>
      </c>
      <c r="H161" s="4" t="n">
        <v>15000</v>
      </c>
      <c r="I161" s="2" t="s">
        <v>47</v>
      </c>
      <c r="J161" s="2" t="n">
        <v>14</v>
      </c>
      <c r="K161" s="3"/>
    </row>
    <row r="162" customFormat="false" ht="15" hidden="false" customHeight="false" outlineLevel="0" collapsed="false">
      <c r="A162" s="2" t="s">
        <v>551</v>
      </c>
      <c r="B162" s="3" t="s">
        <v>552</v>
      </c>
      <c r="C162" s="2" t="s">
        <v>182</v>
      </c>
      <c r="D162" s="2" t="s">
        <v>553</v>
      </c>
      <c r="E162" s="2" t="s">
        <v>294</v>
      </c>
      <c r="F162" s="2" t="s">
        <v>30</v>
      </c>
      <c r="G162" s="2" t="n">
        <v>380</v>
      </c>
      <c r="H162" s="4" t="n">
        <v>75000</v>
      </c>
      <c r="I162" s="2" t="s">
        <v>31</v>
      </c>
      <c r="J162" s="2" t="n">
        <v>7</v>
      </c>
      <c r="K162" s="3" t="s">
        <v>453</v>
      </c>
    </row>
    <row r="163" customFormat="false" ht="15" hidden="false" customHeight="false" outlineLevel="0" collapsed="false">
      <c r="A163" s="2" t="s">
        <v>554</v>
      </c>
      <c r="B163" s="3" t="s">
        <v>358</v>
      </c>
      <c r="C163" s="2" t="s">
        <v>54</v>
      </c>
      <c r="D163" s="2" t="s">
        <v>555</v>
      </c>
      <c r="E163" s="2" t="s">
        <v>386</v>
      </c>
      <c r="F163" s="2" t="s">
        <v>42</v>
      </c>
      <c r="G163" s="2" t="n">
        <v>161</v>
      </c>
      <c r="H163" s="4" t="n">
        <v>45000</v>
      </c>
      <c r="I163" s="2" t="s">
        <v>31</v>
      </c>
      <c r="J163" s="2" t="n">
        <v>3</v>
      </c>
      <c r="K163" s="3" t="s">
        <v>556</v>
      </c>
    </row>
    <row r="164" customFormat="false" ht="15" hidden="false" customHeight="false" outlineLevel="0" collapsed="false">
      <c r="A164" s="2" t="s">
        <v>557</v>
      </c>
      <c r="B164" s="3" t="s">
        <v>558</v>
      </c>
      <c r="C164" s="2" t="s">
        <v>96</v>
      </c>
      <c r="D164" s="2" t="s">
        <v>559</v>
      </c>
      <c r="E164" s="2" t="s">
        <v>114</v>
      </c>
      <c r="F164" s="2" t="s">
        <v>30</v>
      </c>
      <c r="G164" s="2" t="n">
        <v>273</v>
      </c>
      <c r="H164" s="4" t="n">
        <v>250000</v>
      </c>
      <c r="I164" s="2" t="s">
        <v>31</v>
      </c>
      <c r="J164" s="2" t="n">
        <v>5</v>
      </c>
      <c r="K164" s="3" t="s">
        <v>560</v>
      </c>
    </row>
    <row r="165" customFormat="false" ht="15" hidden="false" customHeight="false" outlineLevel="0" collapsed="false">
      <c r="A165" s="2" t="s">
        <v>561</v>
      </c>
      <c r="B165" s="3" t="s">
        <v>212</v>
      </c>
      <c r="C165" s="2" t="s">
        <v>13</v>
      </c>
      <c r="D165" s="2" t="s">
        <v>562</v>
      </c>
      <c r="E165" s="2" t="s">
        <v>370</v>
      </c>
      <c r="F165" s="2" t="s">
        <v>23</v>
      </c>
      <c r="G165" s="2" t="n">
        <v>211</v>
      </c>
      <c r="H165" s="4" t="n">
        <v>15000</v>
      </c>
      <c r="I165" s="2" t="s">
        <v>31</v>
      </c>
      <c r="J165" s="2" t="n">
        <v>5</v>
      </c>
      <c r="K165" s="3" t="s">
        <v>563</v>
      </c>
    </row>
    <row r="166" customFormat="false" ht="15" hidden="false" customHeight="false" outlineLevel="0" collapsed="false">
      <c r="A166" s="2" t="s">
        <v>564</v>
      </c>
      <c r="B166" s="3" t="s">
        <v>565</v>
      </c>
      <c r="C166" s="2" t="s">
        <v>20</v>
      </c>
      <c r="D166" s="2" t="s">
        <v>566</v>
      </c>
      <c r="E166" s="2" t="s">
        <v>94</v>
      </c>
      <c r="F166" s="2" t="s">
        <v>65</v>
      </c>
      <c r="G166" s="2" t="n">
        <v>192</v>
      </c>
      <c r="H166" s="4" t="n">
        <v>15000</v>
      </c>
      <c r="I166" s="2" t="s">
        <v>31</v>
      </c>
      <c r="J166" s="2" t="n">
        <v>7</v>
      </c>
      <c r="K166" s="3" t="s">
        <v>567</v>
      </c>
    </row>
    <row r="167" customFormat="false" ht="15" hidden="false" customHeight="false" outlineLevel="0" collapsed="false">
      <c r="A167" s="2" t="s">
        <v>568</v>
      </c>
      <c r="B167" s="3" t="s">
        <v>569</v>
      </c>
      <c r="C167" s="2" t="s">
        <v>182</v>
      </c>
      <c r="D167" s="2" t="s">
        <v>570</v>
      </c>
      <c r="E167" s="2" t="s">
        <v>64</v>
      </c>
      <c r="F167" s="2" t="s">
        <v>65</v>
      </c>
      <c r="G167" s="2" t="n">
        <v>60</v>
      </c>
      <c r="H167" s="4" t="n">
        <v>15000</v>
      </c>
      <c r="I167" s="2" t="s">
        <v>31</v>
      </c>
      <c r="J167" s="2" t="n">
        <v>3</v>
      </c>
      <c r="K167" s="3" t="s">
        <v>523</v>
      </c>
    </row>
    <row r="168" customFormat="false" ht="15" hidden="false" customHeight="false" outlineLevel="0" collapsed="false">
      <c r="A168" s="2" t="s">
        <v>571</v>
      </c>
      <c r="B168" s="3" t="s">
        <v>572</v>
      </c>
      <c r="C168" s="2" t="s">
        <v>27</v>
      </c>
      <c r="D168" s="2" t="s">
        <v>509</v>
      </c>
      <c r="E168" s="2" t="s">
        <v>119</v>
      </c>
      <c r="F168" s="2" t="s">
        <v>16</v>
      </c>
      <c r="G168" s="2" t="n">
        <v>247</v>
      </c>
      <c r="H168" s="4" t="n">
        <v>45000</v>
      </c>
      <c r="I168" s="2" t="s">
        <v>31</v>
      </c>
      <c r="J168" s="2" t="n">
        <v>3</v>
      </c>
      <c r="K168" s="3" t="s">
        <v>573</v>
      </c>
    </row>
    <row r="169" customFormat="false" ht="15" hidden="false" customHeight="false" outlineLevel="0" collapsed="false">
      <c r="A169" s="2" t="s">
        <v>574</v>
      </c>
      <c r="B169" s="3" t="s">
        <v>532</v>
      </c>
      <c r="C169" s="2" t="s">
        <v>54</v>
      </c>
      <c r="D169" s="2" t="s">
        <v>575</v>
      </c>
      <c r="E169" s="2" t="s">
        <v>114</v>
      </c>
      <c r="F169" s="2" t="s">
        <v>30</v>
      </c>
      <c r="G169" s="2" t="n">
        <v>323</v>
      </c>
      <c r="H169" s="4" t="n">
        <v>45000</v>
      </c>
      <c r="I169" s="2" t="s">
        <v>31</v>
      </c>
      <c r="J169" s="2" t="n">
        <v>3</v>
      </c>
      <c r="K169" s="3" t="s">
        <v>576</v>
      </c>
    </row>
    <row r="170" customFormat="false" ht="15" hidden="false" customHeight="false" outlineLevel="0" collapsed="false">
      <c r="A170" s="2" t="s">
        <v>577</v>
      </c>
      <c r="B170" s="3" t="s">
        <v>578</v>
      </c>
      <c r="C170" s="2" t="s">
        <v>54</v>
      </c>
      <c r="D170" s="2" t="s">
        <v>579</v>
      </c>
      <c r="E170" s="2" t="s">
        <v>443</v>
      </c>
      <c r="F170" s="2" t="s">
        <v>89</v>
      </c>
      <c r="G170" s="2" t="n">
        <v>59</v>
      </c>
      <c r="H170" s="4" t="n">
        <v>850000</v>
      </c>
      <c r="I170" s="2" t="s">
        <v>31</v>
      </c>
      <c r="J170" s="2" t="n">
        <v>5</v>
      </c>
      <c r="K170" s="3" t="s">
        <v>580</v>
      </c>
    </row>
    <row r="171" customFormat="false" ht="15" hidden="false" customHeight="false" outlineLevel="0" collapsed="false">
      <c r="A171" s="2" t="s">
        <v>581</v>
      </c>
      <c r="B171" s="3" t="s">
        <v>398</v>
      </c>
      <c r="C171" s="2" t="s">
        <v>82</v>
      </c>
      <c r="D171" s="2" t="s">
        <v>582</v>
      </c>
      <c r="E171" s="2" t="s">
        <v>158</v>
      </c>
      <c r="F171" s="2" t="s">
        <v>89</v>
      </c>
      <c r="G171" s="2" t="n">
        <v>87</v>
      </c>
      <c r="H171" s="4" t="n">
        <v>15000</v>
      </c>
      <c r="I171" s="2" t="s">
        <v>31</v>
      </c>
      <c r="J171" s="2" t="n">
        <v>5</v>
      </c>
      <c r="K171" s="3" t="s">
        <v>189</v>
      </c>
    </row>
    <row r="172" customFormat="false" ht="15" hidden="false" customHeight="false" outlineLevel="0" collapsed="false">
      <c r="A172" s="2" t="s">
        <v>583</v>
      </c>
      <c r="B172" s="3" t="s">
        <v>26</v>
      </c>
      <c r="C172" s="2" t="s">
        <v>82</v>
      </c>
      <c r="D172" s="2" t="s">
        <v>584</v>
      </c>
      <c r="E172" s="2" t="s">
        <v>56</v>
      </c>
      <c r="F172" s="2" t="s">
        <v>16</v>
      </c>
      <c r="G172" s="2" t="n">
        <v>50</v>
      </c>
      <c r="H172" s="4" t="n">
        <v>25000</v>
      </c>
      <c r="I172" s="2" t="s">
        <v>47</v>
      </c>
      <c r="J172" s="2" t="n">
        <v>10</v>
      </c>
      <c r="K172" s="3"/>
    </row>
    <row r="173" customFormat="false" ht="15" hidden="false" customHeight="false" outlineLevel="0" collapsed="false">
      <c r="A173" s="2" t="s">
        <v>585</v>
      </c>
      <c r="B173" s="3" t="s">
        <v>586</v>
      </c>
      <c r="C173" s="2" t="s">
        <v>54</v>
      </c>
      <c r="D173" s="2" t="s">
        <v>587</v>
      </c>
      <c r="E173" s="2" t="s">
        <v>64</v>
      </c>
      <c r="F173" s="2" t="s">
        <v>65</v>
      </c>
      <c r="G173" s="2" t="n">
        <v>375</v>
      </c>
      <c r="H173" s="4" t="n">
        <v>25000</v>
      </c>
      <c r="I173" s="2" t="s">
        <v>17</v>
      </c>
      <c r="J173" s="2" t="n">
        <v>5</v>
      </c>
      <c r="K173" s="3"/>
    </row>
    <row r="174" customFormat="false" ht="15" hidden="false" customHeight="false" outlineLevel="0" collapsed="false">
      <c r="A174" s="2" t="s">
        <v>588</v>
      </c>
      <c r="B174" s="3" t="s">
        <v>228</v>
      </c>
      <c r="C174" s="2" t="s">
        <v>39</v>
      </c>
      <c r="D174" s="2" t="s">
        <v>589</v>
      </c>
      <c r="E174" s="2" t="s">
        <v>158</v>
      </c>
      <c r="F174" s="2" t="s">
        <v>89</v>
      </c>
      <c r="G174" s="2" t="n">
        <v>56</v>
      </c>
      <c r="H174" s="4" t="n">
        <v>45000</v>
      </c>
      <c r="I174" s="2" t="s">
        <v>47</v>
      </c>
      <c r="J174" s="2" t="n">
        <v>7</v>
      </c>
      <c r="K174" s="3"/>
    </row>
    <row r="175" customFormat="false" ht="15" hidden="false" customHeight="false" outlineLevel="0" collapsed="false">
      <c r="A175" s="2" t="s">
        <v>590</v>
      </c>
      <c r="B175" s="3" t="s">
        <v>53</v>
      </c>
      <c r="C175" s="2" t="s">
        <v>13</v>
      </c>
      <c r="D175" s="2" t="s">
        <v>591</v>
      </c>
      <c r="E175" s="2" t="s">
        <v>69</v>
      </c>
      <c r="F175" s="2" t="s">
        <v>42</v>
      </c>
      <c r="G175" s="2" t="n">
        <v>440</v>
      </c>
      <c r="H175" s="4" t="n">
        <v>15000</v>
      </c>
      <c r="I175" s="2" t="s">
        <v>31</v>
      </c>
      <c r="J175" s="2" t="n">
        <v>5</v>
      </c>
      <c r="K175" s="3" t="s">
        <v>412</v>
      </c>
    </row>
    <row r="176" customFormat="false" ht="15" hidden="false" customHeight="false" outlineLevel="0" collapsed="false">
      <c r="A176" s="2" t="s">
        <v>592</v>
      </c>
      <c r="B176" s="3" t="s">
        <v>593</v>
      </c>
      <c r="C176" s="2" t="s">
        <v>13</v>
      </c>
      <c r="D176" s="2" t="s">
        <v>594</v>
      </c>
      <c r="E176" s="2" t="s">
        <v>386</v>
      </c>
      <c r="F176" s="2" t="s">
        <v>42</v>
      </c>
      <c r="G176" s="2" t="n">
        <v>454</v>
      </c>
      <c r="H176" s="4" t="n">
        <v>25000</v>
      </c>
      <c r="I176" s="2" t="s">
        <v>31</v>
      </c>
      <c r="J176" s="2" t="n">
        <v>7</v>
      </c>
      <c r="K176" s="3" t="s">
        <v>139</v>
      </c>
    </row>
    <row r="177" customFormat="false" ht="15" hidden="false" customHeight="false" outlineLevel="0" collapsed="false">
      <c r="A177" s="2" t="s">
        <v>595</v>
      </c>
      <c r="B177" s="3" t="s">
        <v>596</v>
      </c>
      <c r="C177" s="2" t="s">
        <v>27</v>
      </c>
      <c r="D177" s="2" t="s">
        <v>597</v>
      </c>
      <c r="E177" s="2" t="s">
        <v>41</v>
      </c>
      <c r="F177" s="2" t="s">
        <v>42</v>
      </c>
      <c r="G177" s="2" t="n">
        <v>432</v>
      </c>
      <c r="H177" s="4" t="n">
        <v>500000</v>
      </c>
      <c r="I177" s="2" t="s">
        <v>24</v>
      </c>
      <c r="J177" s="2" t="n">
        <v>10</v>
      </c>
      <c r="K177" s="3"/>
    </row>
    <row r="178" customFormat="false" ht="15" hidden="false" customHeight="false" outlineLevel="0" collapsed="false">
      <c r="A178" s="2" t="s">
        <v>598</v>
      </c>
      <c r="B178" s="3" t="s">
        <v>532</v>
      </c>
      <c r="C178" s="2" t="s">
        <v>77</v>
      </c>
      <c r="D178" s="2" t="s">
        <v>599</v>
      </c>
      <c r="E178" s="2" t="s">
        <v>15</v>
      </c>
      <c r="F178" s="2" t="s">
        <v>16</v>
      </c>
      <c r="G178" s="2" t="n">
        <v>376</v>
      </c>
      <c r="H178" s="4" t="n">
        <v>15000</v>
      </c>
      <c r="I178" s="2" t="s">
        <v>17</v>
      </c>
      <c r="J178" s="2" t="n">
        <v>5</v>
      </c>
      <c r="K178" s="3"/>
    </row>
    <row r="179" customFormat="false" ht="15" hidden="false" customHeight="false" outlineLevel="0" collapsed="false">
      <c r="A179" s="2" t="s">
        <v>600</v>
      </c>
      <c r="B179" s="3" t="s">
        <v>111</v>
      </c>
      <c r="C179" s="2" t="s">
        <v>27</v>
      </c>
      <c r="D179" s="2" t="s">
        <v>601</v>
      </c>
      <c r="E179" s="2" t="s">
        <v>110</v>
      </c>
      <c r="F179" s="2" t="s">
        <v>65</v>
      </c>
      <c r="G179" s="2" t="n">
        <v>296</v>
      </c>
      <c r="H179" s="4" t="n">
        <v>850000</v>
      </c>
      <c r="I179" s="2" t="s">
        <v>31</v>
      </c>
      <c r="J179" s="2" t="n">
        <v>10</v>
      </c>
      <c r="K179" s="3" t="s">
        <v>358</v>
      </c>
    </row>
    <row r="180" customFormat="false" ht="15" hidden="false" customHeight="false" outlineLevel="0" collapsed="false">
      <c r="A180" s="2" t="s">
        <v>602</v>
      </c>
      <c r="B180" s="3" t="s">
        <v>338</v>
      </c>
      <c r="C180" s="2" t="s">
        <v>182</v>
      </c>
      <c r="D180" s="2" t="s">
        <v>603</v>
      </c>
      <c r="E180" s="2" t="s">
        <v>29</v>
      </c>
      <c r="F180" s="2" t="s">
        <v>30</v>
      </c>
      <c r="G180" s="2" t="n">
        <v>476</v>
      </c>
      <c r="H180" s="4" t="n">
        <v>850000</v>
      </c>
      <c r="I180" s="2" t="s">
        <v>31</v>
      </c>
      <c r="J180" s="2" t="n">
        <v>10</v>
      </c>
      <c r="K180" s="3" t="s">
        <v>248</v>
      </c>
    </row>
    <row r="181" customFormat="false" ht="15" hidden="false" customHeight="false" outlineLevel="0" collapsed="false">
      <c r="A181" s="2" t="s">
        <v>604</v>
      </c>
      <c r="B181" s="3" t="s">
        <v>605</v>
      </c>
      <c r="C181" s="2" t="s">
        <v>54</v>
      </c>
      <c r="D181" s="2" t="s">
        <v>606</v>
      </c>
      <c r="E181" s="2" t="s">
        <v>133</v>
      </c>
      <c r="F181" s="2" t="s">
        <v>89</v>
      </c>
      <c r="G181" s="2" t="n">
        <v>365</v>
      </c>
      <c r="H181" s="4" t="n">
        <v>1200000</v>
      </c>
      <c r="I181" s="2" t="s">
        <v>47</v>
      </c>
      <c r="J181" s="2" t="n">
        <v>14</v>
      </c>
      <c r="K181" s="3"/>
    </row>
    <row r="182" customFormat="false" ht="15" hidden="false" customHeight="false" outlineLevel="0" collapsed="false">
      <c r="A182" s="2" t="s">
        <v>607</v>
      </c>
      <c r="B182" s="3" t="s">
        <v>381</v>
      </c>
      <c r="C182" s="2" t="s">
        <v>82</v>
      </c>
      <c r="D182" s="2" t="s">
        <v>608</v>
      </c>
      <c r="E182" s="2" t="s">
        <v>198</v>
      </c>
      <c r="F182" s="2" t="s">
        <v>30</v>
      </c>
      <c r="G182" s="2" t="n">
        <v>272</v>
      </c>
      <c r="H182" s="4" t="n">
        <v>25000</v>
      </c>
      <c r="I182" s="2" t="s">
        <v>31</v>
      </c>
      <c r="J182" s="2" t="n">
        <v>5</v>
      </c>
      <c r="K182" s="3" t="s">
        <v>343</v>
      </c>
    </row>
    <row r="183" customFormat="false" ht="15" hidden="false" customHeight="false" outlineLevel="0" collapsed="false">
      <c r="A183" s="2" t="s">
        <v>609</v>
      </c>
      <c r="B183" s="3" t="s">
        <v>610</v>
      </c>
      <c r="C183" s="2" t="s">
        <v>27</v>
      </c>
      <c r="D183" s="2" t="s">
        <v>611</v>
      </c>
      <c r="E183" s="2" t="s">
        <v>22</v>
      </c>
      <c r="F183" s="2" t="s">
        <v>23</v>
      </c>
      <c r="G183" s="2" t="n">
        <v>32</v>
      </c>
      <c r="H183" s="4" t="n">
        <v>15000</v>
      </c>
      <c r="I183" s="2" t="s">
        <v>24</v>
      </c>
      <c r="J183" s="2" t="n">
        <v>5</v>
      </c>
      <c r="K183" s="3"/>
    </row>
    <row r="184" customFormat="false" ht="15" hidden="false" customHeight="false" outlineLevel="0" collapsed="false">
      <c r="A184" s="2" t="s">
        <v>612</v>
      </c>
      <c r="B184" s="3" t="s">
        <v>613</v>
      </c>
      <c r="C184" s="2" t="s">
        <v>96</v>
      </c>
      <c r="D184" s="2" t="s">
        <v>614</v>
      </c>
      <c r="E184" s="2" t="s">
        <v>145</v>
      </c>
      <c r="F184" s="2" t="s">
        <v>42</v>
      </c>
      <c r="G184" s="2" t="n">
        <v>389</v>
      </c>
      <c r="H184" s="4" t="n">
        <v>850000</v>
      </c>
      <c r="I184" s="2" t="s">
        <v>31</v>
      </c>
      <c r="J184" s="2" t="n">
        <v>7</v>
      </c>
      <c r="K184" s="3" t="s">
        <v>398</v>
      </c>
    </row>
    <row r="185" customFormat="false" ht="15" hidden="false" customHeight="false" outlineLevel="0" collapsed="false">
      <c r="A185" s="2" t="s">
        <v>615</v>
      </c>
      <c r="B185" s="3" t="s">
        <v>616</v>
      </c>
      <c r="C185" s="2" t="s">
        <v>72</v>
      </c>
      <c r="D185" s="2" t="s">
        <v>617</v>
      </c>
      <c r="E185" s="2" t="s">
        <v>22</v>
      </c>
      <c r="F185" s="2" t="s">
        <v>23</v>
      </c>
      <c r="G185" s="2" t="n">
        <v>198</v>
      </c>
      <c r="H185" s="4" t="n">
        <v>500000</v>
      </c>
      <c r="I185" s="2" t="s">
        <v>47</v>
      </c>
      <c r="J185" s="2" t="n">
        <v>3</v>
      </c>
      <c r="K185" s="3"/>
    </row>
    <row r="186" customFormat="false" ht="15" hidden="false" customHeight="false" outlineLevel="0" collapsed="false">
      <c r="A186" s="2" t="s">
        <v>618</v>
      </c>
      <c r="B186" s="3" t="s">
        <v>619</v>
      </c>
      <c r="C186" s="2" t="s">
        <v>96</v>
      </c>
      <c r="D186" s="2" t="s">
        <v>620</v>
      </c>
      <c r="E186" s="2" t="s">
        <v>110</v>
      </c>
      <c r="F186" s="2" t="s">
        <v>65</v>
      </c>
      <c r="G186" s="2" t="n">
        <v>443</v>
      </c>
      <c r="H186" s="4" t="n">
        <v>850000</v>
      </c>
      <c r="I186" s="2" t="s">
        <v>31</v>
      </c>
      <c r="J186" s="2" t="n">
        <v>3</v>
      </c>
      <c r="K186" s="3" t="s">
        <v>483</v>
      </c>
    </row>
    <row r="187" customFormat="false" ht="15" hidden="false" customHeight="false" outlineLevel="0" collapsed="false">
      <c r="A187" s="2" t="s">
        <v>621</v>
      </c>
      <c r="B187" s="3" t="s">
        <v>418</v>
      </c>
      <c r="C187" s="2" t="s">
        <v>182</v>
      </c>
      <c r="D187" s="2" t="s">
        <v>622</v>
      </c>
      <c r="E187" s="2" t="s">
        <v>243</v>
      </c>
      <c r="F187" s="2" t="s">
        <v>16</v>
      </c>
      <c r="G187" s="2" t="n">
        <v>23</v>
      </c>
      <c r="H187" s="4" t="n">
        <v>1200000</v>
      </c>
      <c r="I187" s="2" t="s">
        <v>31</v>
      </c>
      <c r="J187" s="2" t="n">
        <v>3</v>
      </c>
      <c r="K187" s="3" t="s">
        <v>623</v>
      </c>
    </row>
    <row r="188" customFormat="false" ht="15" hidden="false" customHeight="false" outlineLevel="0" collapsed="false">
      <c r="A188" s="2" t="s">
        <v>624</v>
      </c>
      <c r="B188" s="3" t="s">
        <v>625</v>
      </c>
      <c r="C188" s="2" t="s">
        <v>72</v>
      </c>
      <c r="D188" s="2" t="s">
        <v>626</v>
      </c>
      <c r="E188" s="2" t="s">
        <v>51</v>
      </c>
      <c r="F188" s="2" t="s">
        <v>23</v>
      </c>
      <c r="G188" s="2" t="n">
        <v>191</v>
      </c>
      <c r="H188" s="4" t="n">
        <v>15000</v>
      </c>
      <c r="I188" s="2" t="s">
        <v>47</v>
      </c>
      <c r="J188" s="2" t="n">
        <v>10</v>
      </c>
      <c r="K188" s="3"/>
    </row>
    <row r="189" customFormat="false" ht="15" hidden="false" customHeight="false" outlineLevel="0" collapsed="false">
      <c r="A189" s="2" t="s">
        <v>627</v>
      </c>
      <c r="B189" s="3" t="s">
        <v>26</v>
      </c>
      <c r="C189" s="2" t="s">
        <v>72</v>
      </c>
      <c r="D189" s="2" t="s">
        <v>628</v>
      </c>
      <c r="E189" s="2" t="s">
        <v>281</v>
      </c>
      <c r="F189" s="2" t="s">
        <v>65</v>
      </c>
      <c r="G189" s="2" t="n">
        <v>371</v>
      </c>
      <c r="H189" s="4" t="n">
        <v>250000</v>
      </c>
      <c r="I189" s="2" t="s">
        <v>24</v>
      </c>
      <c r="J189" s="2" t="n">
        <v>3</v>
      </c>
      <c r="K189" s="3"/>
    </row>
    <row r="190" customFormat="false" ht="15" hidden="false" customHeight="false" outlineLevel="0" collapsed="false">
      <c r="A190" s="2" t="s">
        <v>629</v>
      </c>
      <c r="B190" s="3" t="s">
        <v>136</v>
      </c>
      <c r="C190" s="2" t="s">
        <v>82</v>
      </c>
      <c r="D190" s="2" t="s">
        <v>630</v>
      </c>
      <c r="E190" s="2" t="s">
        <v>162</v>
      </c>
      <c r="F190" s="2" t="s">
        <v>16</v>
      </c>
      <c r="G190" s="2" t="n">
        <v>429</v>
      </c>
      <c r="H190" s="4" t="n">
        <v>120000</v>
      </c>
      <c r="I190" s="2" t="s">
        <v>31</v>
      </c>
      <c r="J190" s="2" t="n">
        <v>7</v>
      </c>
      <c r="K190" s="3" t="s">
        <v>631</v>
      </c>
    </row>
    <row r="191" customFormat="false" ht="15" hidden="false" customHeight="false" outlineLevel="0" collapsed="false">
      <c r="A191" s="2" t="s">
        <v>632</v>
      </c>
      <c r="B191" s="3" t="s">
        <v>605</v>
      </c>
      <c r="C191" s="2" t="s">
        <v>77</v>
      </c>
      <c r="D191" s="2" t="s">
        <v>633</v>
      </c>
      <c r="E191" s="2" t="s">
        <v>145</v>
      </c>
      <c r="F191" s="2" t="s">
        <v>42</v>
      </c>
      <c r="G191" s="2" t="n">
        <v>372</v>
      </c>
      <c r="H191" s="4" t="n">
        <v>500000</v>
      </c>
      <c r="I191" s="2" t="s">
        <v>31</v>
      </c>
      <c r="J191" s="2" t="n">
        <v>14</v>
      </c>
      <c r="K191" s="3" t="s">
        <v>361</v>
      </c>
    </row>
    <row r="192" customFormat="false" ht="15" hidden="false" customHeight="false" outlineLevel="0" collapsed="false">
      <c r="A192" s="2" t="s">
        <v>634</v>
      </c>
      <c r="B192" s="3" t="s">
        <v>489</v>
      </c>
      <c r="C192" s="2" t="s">
        <v>54</v>
      </c>
      <c r="D192" s="2" t="s">
        <v>635</v>
      </c>
      <c r="E192" s="2" t="s">
        <v>145</v>
      </c>
      <c r="F192" s="2" t="s">
        <v>42</v>
      </c>
      <c r="G192" s="2" t="n">
        <v>427</v>
      </c>
      <c r="H192" s="4" t="n">
        <v>75000</v>
      </c>
      <c r="I192" s="2" t="s">
        <v>24</v>
      </c>
      <c r="J192" s="2" t="n">
        <v>3</v>
      </c>
      <c r="K192" s="3"/>
    </row>
    <row r="193" customFormat="false" ht="15" hidden="false" customHeight="false" outlineLevel="0" collapsed="false">
      <c r="A193" s="2" t="s">
        <v>636</v>
      </c>
      <c r="B193" s="3" t="s">
        <v>637</v>
      </c>
      <c r="C193" s="2" t="s">
        <v>182</v>
      </c>
      <c r="D193" s="2" t="s">
        <v>638</v>
      </c>
      <c r="E193" s="2" t="s">
        <v>114</v>
      </c>
      <c r="F193" s="2" t="s">
        <v>30</v>
      </c>
      <c r="G193" s="2" t="n">
        <v>400</v>
      </c>
      <c r="H193" s="4" t="n">
        <v>850000</v>
      </c>
      <c r="I193" s="2" t="s">
        <v>31</v>
      </c>
      <c r="J193" s="2" t="n">
        <v>14</v>
      </c>
      <c r="K193" s="3" t="s">
        <v>573</v>
      </c>
    </row>
    <row r="194" customFormat="false" ht="15" hidden="false" customHeight="false" outlineLevel="0" collapsed="false">
      <c r="A194" s="2" t="s">
        <v>639</v>
      </c>
      <c r="B194" s="3" t="s">
        <v>60</v>
      </c>
      <c r="C194" s="2" t="s">
        <v>96</v>
      </c>
      <c r="D194" s="2" t="s">
        <v>640</v>
      </c>
      <c r="E194" s="2" t="s">
        <v>119</v>
      </c>
      <c r="F194" s="2" t="s">
        <v>16</v>
      </c>
      <c r="G194" s="2" t="n">
        <v>29</v>
      </c>
      <c r="H194" s="4" t="n">
        <v>1200000</v>
      </c>
      <c r="I194" s="2" t="s">
        <v>17</v>
      </c>
      <c r="J194" s="2" t="n">
        <v>14</v>
      </c>
      <c r="K194" s="3"/>
    </row>
    <row r="195" customFormat="false" ht="15" hidden="false" customHeight="false" outlineLevel="0" collapsed="false">
      <c r="A195" s="2" t="s">
        <v>641</v>
      </c>
      <c r="B195" s="3" t="s">
        <v>642</v>
      </c>
      <c r="C195" s="2" t="s">
        <v>72</v>
      </c>
      <c r="D195" s="2" t="s">
        <v>643</v>
      </c>
      <c r="E195" s="2" t="s">
        <v>22</v>
      </c>
      <c r="F195" s="2" t="s">
        <v>23</v>
      </c>
      <c r="G195" s="2" t="n">
        <v>379</v>
      </c>
      <c r="H195" s="4" t="n">
        <v>45000</v>
      </c>
      <c r="I195" s="2" t="s">
        <v>31</v>
      </c>
      <c r="J195" s="2" t="n">
        <v>14</v>
      </c>
      <c r="K195" s="3" t="s">
        <v>547</v>
      </c>
    </row>
    <row r="196" customFormat="false" ht="15" hidden="false" customHeight="false" outlineLevel="0" collapsed="false">
      <c r="A196" s="2" t="s">
        <v>644</v>
      </c>
      <c r="B196" s="3" t="s">
        <v>613</v>
      </c>
      <c r="C196" s="2" t="s">
        <v>27</v>
      </c>
      <c r="D196" s="2" t="s">
        <v>645</v>
      </c>
      <c r="E196" s="2" t="s">
        <v>386</v>
      </c>
      <c r="F196" s="2" t="s">
        <v>42</v>
      </c>
      <c r="G196" s="2" t="n">
        <v>395</v>
      </c>
      <c r="H196" s="4" t="n">
        <v>75000</v>
      </c>
      <c r="I196" s="2" t="s">
        <v>31</v>
      </c>
      <c r="J196" s="2" t="n">
        <v>7</v>
      </c>
      <c r="K196" s="3" t="s">
        <v>398</v>
      </c>
    </row>
    <row r="197" customFormat="false" ht="15" hidden="false" customHeight="false" outlineLevel="0" collapsed="false">
      <c r="A197" s="2" t="s">
        <v>646</v>
      </c>
      <c r="B197" s="3" t="s">
        <v>647</v>
      </c>
      <c r="C197" s="2" t="s">
        <v>77</v>
      </c>
      <c r="D197" s="2" t="s">
        <v>648</v>
      </c>
      <c r="E197" s="2" t="s">
        <v>51</v>
      </c>
      <c r="F197" s="2" t="s">
        <v>23</v>
      </c>
      <c r="G197" s="2" t="n">
        <v>363</v>
      </c>
      <c r="H197" s="4" t="n">
        <v>1200000</v>
      </c>
      <c r="I197" s="2" t="s">
        <v>31</v>
      </c>
      <c r="J197" s="2" t="n">
        <v>14</v>
      </c>
      <c r="K197" s="3" t="s">
        <v>175</v>
      </c>
    </row>
    <row r="198" customFormat="false" ht="15" hidden="false" customHeight="false" outlineLevel="0" collapsed="false">
      <c r="A198" s="2" t="s">
        <v>649</v>
      </c>
      <c r="B198" s="3" t="s">
        <v>650</v>
      </c>
      <c r="C198" s="2" t="s">
        <v>72</v>
      </c>
      <c r="D198" s="2" t="s">
        <v>651</v>
      </c>
      <c r="E198" s="2" t="s">
        <v>29</v>
      </c>
      <c r="F198" s="2" t="s">
        <v>30</v>
      </c>
      <c r="G198" s="2" t="n">
        <v>112</v>
      </c>
      <c r="H198" s="4" t="n">
        <v>120000</v>
      </c>
      <c r="I198" s="2" t="s">
        <v>24</v>
      </c>
      <c r="J198" s="2" t="n">
        <v>5</v>
      </c>
      <c r="K198" s="3"/>
    </row>
    <row r="199" customFormat="false" ht="15" hidden="false" customHeight="false" outlineLevel="0" collapsed="false">
      <c r="A199" s="2" t="s">
        <v>652</v>
      </c>
      <c r="B199" s="3" t="s">
        <v>179</v>
      </c>
      <c r="C199" s="2" t="s">
        <v>77</v>
      </c>
      <c r="D199" s="2" t="s">
        <v>242</v>
      </c>
      <c r="E199" s="2" t="s">
        <v>281</v>
      </c>
      <c r="F199" s="2" t="s">
        <v>65</v>
      </c>
      <c r="G199" s="2" t="n">
        <v>331</v>
      </c>
      <c r="H199" s="4" t="n">
        <v>250000</v>
      </c>
      <c r="I199" s="2" t="s">
        <v>24</v>
      </c>
      <c r="J199" s="2" t="n">
        <v>7</v>
      </c>
      <c r="K199" s="3"/>
    </row>
    <row r="200" customFormat="false" ht="15" hidden="false" customHeight="false" outlineLevel="0" collapsed="false">
      <c r="A200" s="2" t="s">
        <v>653</v>
      </c>
      <c r="B200" s="3" t="s">
        <v>654</v>
      </c>
      <c r="C200" s="2" t="s">
        <v>96</v>
      </c>
      <c r="D200" s="2" t="s">
        <v>655</v>
      </c>
      <c r="E200" s="2" t="s">
        <v>281</v>
      </c>
      <c r="F200" s="2" t="s">
        <v>65</v>
      </c>
      <c r="G200" s="2" t="n">
        <v>368</v>
      </c>
      <c r="H200" s="4" t="n">
        <v>500000</v>
      </c>
      <c r="I200" s="2" t="s">
        <v>24</v>
      </c>
      <c r="J200" s="2" t="n">
        <v>14</v>
      </c>
      <c r="K200" s="3"/>
    </row>
    <row r="201" customFormat="false" ht="15" hidden="false" customHeight="false" outlineLevel="0" collapsed="false">
      <c r="A201" s="2" t="s">
        <v>656</v>
      </c>
      <c r="B201" s="3" t="s">
        <v>657</v>
      </c>
      <c r="C201" s="2" t="s">
        <v>27</v>
      </c>
      <c r="D201" s="2" t="s">
        <v>658</v>
      </c>
      <c r="E201" s="2" t="s">
        <v>119</v>
      </c>
      <c r="F201" s="2" t="s">
        <v>16</v>
      </c>
      <c r="G201" s="2" t="n">
        <v>17</v>
      </c>
      <c r="H201" s="4" t="n">
        <v>500000</v>
      </c>
      <c r="I201" s="2" t="s">
        <v>31</v>
      </c>
      <c r="J201" s="2" t="n">
        <v>3</v>
      </c>
      <c r="K201" s="3" t="s">
        <v>154</v>
      </c>
    </row>
    <row r="202" customFormat="false" ht="15" hidden="false" customHeight="false" outlineLevel="0" collapsed="false">
      <c r="A202" s="2" t="s">
        <v>659</v>
      </c>
      <c r="B202" s="3" t="s">
        <v>660</v>
      </c>
      <c r="C202" s="2" t="s">
        <v>77</v>
      </c>
      <c r="D202" s="2" t="s">
        <v>661</v>
      </c>
      <c r="E202" s="2" t="s">
        <v>133</v>
      </c>
      <c r="F202" s="2" t="s">
        <v>89</v>
      </c>
      <c r="G202" s="2" t="n">
        <v>434</v>
      </c>
      <c r="H202" s="4" t="n">
        <v>15000</v>
      </c>
      <c r="I202" s="2" t="s">
        <v>24</v>
      </c>
      <c r="J202" s="2" t="n">
        <v>7</v>
      </c>
      <c r="K202" s="3"/>
    </row>
    <row r="203" customFormat="false" ht="15" hidden="false" customHeight="false" outlineLevel="0" collapsed="false">
      <c r="A203" s="2" t="s">
        <v>662</v>
      </c>
      <c r="B203" s="3" t="s">
        <v>663</v>
      </c>
      <c r="C203" s="2" t="s">
        <v>72</v>
      </c>
      <c r="D203" s="2" t="s">
        <v>664</v>
      </c>
      <c r="E203" s="2" t="s">
        <v>162</v>
      </c>
      <c r="F203" s="2" t="s">
        <v>16</v>
      </c>
      <c r="G203" s="2" t="n">
        <v>236</v>
      </c>
      <c r="H203" s="4" t="n">
        <v>25000</v>
      </c>
      <c r="I203" s="2" t="s">
        <v>24</v>
      </c>
      <c r="J203" s="2" t="n">
        <v>14</v>
      </c>
      <c r="K203" s="3"/>
    </row>
    <row r="204" customFormat="false" ht="15" hidden="false" customHeight="false" outlineLevel="0" collapsed="false">
      <c r="A204" s="2" t="s">
        <v>665</v>
      </c>
      <c r="B204" s="3" t="s">
        <v>204</v>
      </c>
      <c r="C204" s="2" t="s">
        <v>72</v>
      </c>
      <c r="D204" s="2" t="s">
        <v>666</v>
      </c>
      <c r="E204" s="2" t="s">
        <v>145</v>
      </c>
      <c r="F204" s="2" t="s">
        <v>42</v>
      </c>
      <c r="G204" s="2" t="n">
        <v>406</v>
      </c>
      <c r="H204" s="4" t="n">
        <v>120000</v>
      </c>
      <c r="I204" s="2" t="s">
        <v>24</v>
      </c>
      <c r="J204" s="2" t="n">
        <v>3</v>
      </c>
      <c r="K204" s="3"/>
    </row>
    <row r="205" customFormat="false" ht="15" hidden="false" customHeight="false" outlineLevel="0" collapsed="false">
      <c r="A205" s="2" t="s">
        <v>667</v>
      </c>
      <c r="B205" s="3" t="s">
        <v>668</v>
      </c>
      <c r="C205" s="2" t="s">
        <v>27</v>
      </c>
      <c r="D205" s="2" t="s">
        <v>669</v>
      </c>
      <c r="E205" s="2" t="s">
        <v>79</v>
      </c>
      <c r="F205" s="2" t="s">
        <v>42</v>
      </c>
      <c r="G205" s="2" t="n">
        <v>32</v>
      </c>
      <c r="H205" s="4" t="n">
        <v>15000</v>
      </c>
      <c r="I205" s="2" t="s">
        <v>24</v>
      </c>
      <c r="J205" s="2" t="n">
        <v>5</v>
      </c>
      <c r="K205" s="3"/>
    </row>
    <row r="206" customFormat="false" ht="15" hidden="false" customHeight="false" outlineLevel="0" collapsed="false">
      <c r="A206" s="2" t="s">
        <v>670</v>
      </c>
      <c r="B206" s="3" t="s">
        <v>671</v>
      </c>
      <c r="C206" s="2" t="s">
        <v>96</v>
      </c>
      <c r="D206" s="2" t="s">
        <v>672</v>
      </c>
      <c r="E206" s="2" t="s">
        <v>106</v>
      </c>
      <c r="F206" s="2" t="s">
        <v>23</v>
      </c>
      <c r="G206" s="2" t="n">
        <v>306</v>
      </c>
      <c r="H206" s="4" t="n">
        <v>1200000</v>
      </c>
      <c r="I206" s="2" t="s">
        <v>24</v>
      </c>
      <c r="J206" s="2" t="n">
        <v>5</v>
      </c>
      <c r="K206" s="3"/>
    </row>
    <row r="207" customFormat="false" ht="15" hidden="false" customHeight="false" outlineLevel="0" collapsed="false">
      <c r="A207" s="2" t="s">
        <v>673</v>
      </c>
      <c r="B207" s="3" t="s">
        <v>674</v>
      </c>
      <c r="C207" s="2" t="s">
        <v>39</v>
      </c>
      <c r="D207" s="2" t="s">
        <v>675</v>
      </c>
      <c r="E207" s="2" t="s">
        <v>145</v>
      </c>
      <c r="F207" s="2" t="s">
        <v>42</v>
      </c>
      <c r="G207" s="2" t="n">
        <v>43</v>
      </c>
      <c r="H207" s="4" t="n">
        <v>45000</v>
      </c>
      <c r="I207" s="2" t="s">
        <v>17</v>
      </c>
      <c r="J207" s="2" t="n">
        <v>14</v>
      </c>
      <c r="K207" s="3"/>
    </row>
    <row r="208" customFormat="false" ht="15" hidden="false" customHeight="false" outlineLevel="0" collapsed="false">
      <c r="A208" s="2" t="s">
        <v>676</v>
      </c>
      <c r="B208" s="3" t="s">
        <v>677</v>
      </c>
      <c r="C208" s="2" t="s">
        <v>27</v>
      </c>
      <c r="D208" s="2" t="s">
        <v>678</v>
      </c>
      <c r="E208" s="2" t="s">
        <v>243</v>
      </c>
      <c r="F208" s="2" t="s">
        <v>16</v>
      </c>
      <c r="G208" s="2" t="n">
        <v>289</v>
      </c>
      <c r="H208" s="4" t="n">
        <v>120000</v>
      </c>
      <c r="I208" s="2" t="s">
        <v>31</v>
      </c>
      <c r="J208" s="2" t="n">
        <v>14</v>
      </c>
      <c r="K208" s="3" t="s">
        <v>449</v>
      </c>
    </row>
    <row r="209" customFormat="false" ht="15" hidden="false" customHeight="false" outlineLevel="0" collapsed="false">
      <c r="A209" s="2" t="s">
        <v>679</v>
      </c>
      <c r="B209" s="3" t="s">
        <v>549</v>
      </c>
      <c r="C209" s="2" t="s">
        <v>13</v>
      </c>
      <c r="D209" s="2" t="s">
        <v>680</v>
      </c>
      <c r="E209" s="2" t="s">
        <v>145</v>
      </c>
      <c r="F209" s="2" t="s">
        <v>42</v>
      </c>
      <c r="G209" s="2" t="n">
        <v>83</v>
      </c>
      <c r="H209" s="4" t="n">
        <v>250000</v>
      </c>
      <c r="I209" s="2" t="s">
        <v>24</v>
      </c>
      <c r="J209" s="2" t="n">
        <v>14</v>
      </c>
      <c r="K209" s="3"/>
    </row>
    <row r="210" customFormat="false" ht="15" hidden="false" customHeight="false" outlineLevel="0" collapsed="false">
      <c r="A210" s="2" t="s">
        <v>681</v>
      </c>
      <c r="B210" s="3" t="s">
        <v>682</v>
      </c>
      <c r="C210" s="2" t="s">
        <v>39</v>
      </c>
      <c r="D210" s="2" t="s">
        <v>683</v>
      </c>
      <c r="E210" s="2" t="s">
        <v>386</v>
      </c>
      <c r="F210" s="2" t="s">
        <v>42</v>
      </c>
      <c r="G210" s="2" t="n">
        <v>188</v>
      </c>
      <c r="H210" s="4" t="n">
        <v>25000</v>
      </c>
      <c r="I210" s="2" t="s">
        <v>47</v>
      </c>
      <c r="J210" s="2" t="n">
        <v>7</v>
      </c>
      <c r="K210" s="3"/>
    </row>
    <row r="211" customFormat="false" ht="15" hidden="false" customHeight="false" outlineLevel="0" collapsed="false">
      <c r="A211" s="2" t="s">
        <v>684</v>
      </c>
      <c r="B211" s="3" t="s">
        <v>685</v>
      </c>
      <c r="C211" s="2" t="s">
        <v>82</v>
      </c>
      <c r="D211" s="2" t="s">
        <v>686</v>
      </c>
      <c r="E211" s="2" t="s">
        <v>22</v>
      </c>
      <c r="F211" s="2" t="s">
        <v>23</v>
      </c>
      <c r="G211" s="2" t="n">
        <v>407</v>
      </c>
      <c r="H211" s="4" t="n">
        <v>1200000</v>
      </c>
      <c r="I211" s="2" t="s">
        <v>31</v>
      </c>
      <c r="J211" s="2" t="n">
        <v>14</v>
      </c>
      <c r="K211" s="3" t="s">
        <v>381</v>
      </c>
    </row>
    <row r="212" customFormat="false" ht="15" hidden="false" customHeight="false" outlineLevel="0" collapsed="false">
      <c r="A212" s="2" t="s">
        <v>687</v>
      </c>
      <c r="B212" s="3" t="s">
        <v>688</v>
      </c>
      <c r="C212" s="2" t="s">
        <v>54</v>
      </c>
      <c r="D212" s="2" t="s">
        <v>689</v>
      </c>
      <c r="E212" s="2" t="s">
        <v>184</v>
      </c>
      <c r="F212" s="2" t="s">
        <v>89</v>
      </c>
      <c r="G212" s="2" t="n">
        <v>344</v>
      </c>
      <c r="H212" s="4" t="n">
        <v>250000</v>
      </c>
      <c r="I212" s="2" t="s">
        <v>31</v>
      </c>
      <c r="J212" s="2" t="n">
        <v>7</v>
      </c>
      <c r="K212" s="3" t="s">
        <v>690</v>
      </c>
    </row>
    <row r="213" customFormat="false" ht="15" hidden="false" customHeight="false" outlineLevel="0" collapsed="false">
      <c r="A213" s="2" t="s">
        <v>691</v>
      </c>
      <c r="B213" s="3" t="s">
        <v>578</v>
      </c>
      <c r="C213" s="2" t="s">
        <v>72</v>
      </c>
      <c r="D213" s="2" t="s">
        <v>692</v>
      </c>
      <c r="E213" s="2" t="s">
        <v>386</v>
      </c>
      <c r="F213" s="2" t="s">
        <v>42</v>
      </c>
      <c r="G213" s="2" t="n">
        <v>390</v>
      </c>
      <c r="H213" s="4" t="n">
        <v>15000</v>
      </c>
      <c r="I213" s="2" t="s">
        <v>31</v>
      </c>
      <c r="J213" s="2" t="n">
        <v>7</v>
      </c>
      <c r="K213" s="3" t="s">
        <v>248</v>
      </c>
    </row>
    <row r="214" customFormat="false" ht="15" hidden="false" customHeight="false" outlineLevel="0" collapsed="false">
      <c r="A214" s="2" t="s">
        <v>693</v>
      </c>
      <c r="B214" s="3" t="s">
        <v>694</v>
      </c>
      <c r="C214" s="2" t="s">
        <v>20</v>
      </c>
      <c r="D214" s="2" t="s">
        <v>695</v>
      </c>
      <c r="E214" s="2" t="s">
        <v>94</v>
      </c>
      <c r="F214" s="2" t="s">
        <v>65</v>
      </c>
      <c r="G214" s="2" t="n">
        <v>354</v>
      </c>
      <c r="H214" s="4" t="n">
        <v>250000</v>
      </c>
      <c r="I214" s="2" t="s">
        <v>31</v>
      </c>
      <c r="J214" s="2" t="n">
        <v>3</v>
      </c>
      <c r="K214" s="3" t="s">
        <v>696</v>
      </c>
    </row>
    <row r="215" customFormat="false" ht="15" hidden="false" customHeight="false" outlineLevel="0" collapsed="false">
      <c r="A215" s="2" t="s">
        <v>697</v>
      </c>
      <c r="B215" s="3" t="s">
        <v>326</v>
      </c>
      <c r="C215" s="2" t="s">
        <v>72</v>
      </c>
      <c r="D215" s="2" t="s">
        <v>698</v>
      </c>
      <c r="E215" s="2" t="s">
        <v>198</v>
      </c>
      <c r="F215" s="2" t="s">
        <v>30</v>
      </c>
      <c r="G215" s="2" t="n">
        <v>471</v>
      </c>
      <c r="H215" s="4" t="n">
        <v>1200000</v>
      </c>
      <c r="I215" s="2" t="s">
        <v>47</v>
      </c>
      <c r="J215" s="2" t="n">
        <v>7</v>
      </c>
      <c r="K215" s="3"/>
    </row>
    <row r="216" customFormat="false" ht="15" hidden="false" customHeight="false" outlineLevel="0" collapsed="false">
      <c r="A216" s="2" t="s">
        <v>699</v>
      </c>
      <c r="B216" s="3" t="s">
        <v>216</v>
      </c>
      <c r="C216" s="2" t="s">
        <v>72</v>
      </c>
      <c r="D216" s="2" t="s">
        <v>700</v>
      </c>
      <c r="E216" s="2" t="s">
        <v>41</v>
      </c>
      <c r="F216" s="2" t="s">
        <v>42</v>
      </c>
      <c r="G216" s="2" t="n">
        <v>156</v>
      </c>
      <c r="H216" s="4" t="n">
        <v>75000</v>
      </c>
      <c r="I216" s="2" t="s">
        <v>31</v>
      </c>
      <c r="J216" s="2" t="n">
        <v>3</v>
      </c>
      <c r="K216" s="3" t="s">
        <v>218</v>
      </c>
    </row>
    <row r="217" customFormat="false" ht="15" hidden="false" customHeight="false" outlineLevel="0" collapsed="false">
      <c r="A217" s="2" t="s">
        <v>701</v>
      </c>
      <c r="B217" s="3" t="s">
        <v>117</v>
      </c>
      <c r="C217" s="2" t="s">
        <v>72</v>
      </c>
      <c r="D217" s="2" t="s">
        <v>225</v>
      </c>
      <c r="E217" s="2" t="s">
        <v>64</v>
      </c>
      <c r="F217" s="2" t="s">
        <v>65</v>
      </c>
      <c r="G217" s="2" t="n">
        <v>38</v>
      </c>
      <c r="H217" s="4" t="n">
        <v>75000</v>
      </c>
      <c r="I217" s="2" t="s">
        <v>24</v>
      </c>
      <c r="J217" s="2" t="n">
        <v>5</v>
      </c>
      <c r="K217" s="3"/>
    </row>
    <row r="218" customFormat="false" ht="15" hidden="false" customHeight="false" outlineLevel="0" collapsed="false">
      <c r="A218" s="2" t="s">
        <v>702</v>
      </c>
      <c r="B218" s="3" t="s">
        <v>703</v>
      </c>
      <c r="C218" s="2" t="s">
        <v>27</v>
      </c>
      <c r="D218" s="2" t="s">
        <v>183</v>
      </c>
      <c r="E218" s="2" t="s">
        <v>15</v>
      </c>
      <c r="F218" s="2" t="s">
        <v>16</v>
      </c>
      <c r="G218" s="2" t="n">
        <v>429</v>
      </c>
      <c r="H218" s="4" t="n">
        <v>500000</v>
      </c>
      <c r="I218" s="2" t="s">
        <v>24</v>
      </c>
      <c r="J218" s="2" t="n">
        <v>3</v>
      </c>
      <c r="K218" s="3"/>
    </row>
    <row r="219" customFormat="false" ht="15" hidden="false" customHeight="false" outlineLevel="0" collapsed="false">
      <c r="A219" s="2" t="s">
        <v>704</v>
      </c>
      <c r="B219" s="3" t="s">
        <v>705</v>
      </c>
      <c r="C219" s="2" t="s">
        <v>77</v>
      </c>
      <c r="D219" s="2" t="s">
        <v>706</v>
      </c>
      <c r="E219" s="2" t="s">
        <v>243</v>
      </c>
      <c r="F219" s="2" t="s">
        <v>16</v>
      </c>
      <c r="G219" s="2" t="n">
        <v>174</v>
      </c>
      <c r="H219" s="4" t="n">
        <v>15000</v>
      </c>
      <c r="I219" s="2" t="s">
        <v>31</v>
      </c>
      <c r="J219" s="2" t="n">
        <v>3</v>
      </c>
      <c r="K219" s="3" t="s">
        <v>707</v>
      </c>
    </row>
    <row r="220" customFormat="false" ht="15" hidden="false" customHeight="false" outlineLevel="0" collapsed="false">
      <c r="A220" s="2" t="s">
        <v>708</v>
      </c>
      <c r="B220" s="3" t="s">
        <v>81</v>
      </c>
      <c r="C220" s="2" t="s">
        <v>72</v>
      </c>
      <c r="D220" s="2" t="s">
        <v>709</v>
      </c>
      <c r="E220" s="2" t="s">
        <v>119</v>
      </c>
      <c r="F220" s="2" t="s">
        <v>16</v>
      </c>
      <c r="G220" s="2" t="n">
        <v>121</v>
      </c>
      <c r="H220" s="4" t="n">
        <v>120000</v>
      </c>
      <c r="I220" s="2" t="s">
        <v>31</v>
      </c>
      <c r="J220" s="2" t="n">
        <v>10</v>
      </c>
      <c r="K220" s="3" t="s">
        <v>152</v>
      </c>
    </row>
    <row r="221" customFormat="false" ht="15" hidden="false" customHeight="false" outlineLevel="0" collapsed="false">
      <c r="A221" s="2" t="s">
        <v>710</v>
      </c>
      <c r="B221" s="3" t="s">
        <v>711</v>
      </c>
      <c r="C221" s="2" t="s">
        <v>13</v>
      </c>
      <c r="D221" s="2" t="s">
        <v>712</v>
      </c>
      <c r="E221" s="2" t="s">
        <v>243</v>
      </c>
      <c r="F221" s="2" t="s">
        <v>16</v>
      </c>
      <c r="G221" s="2" t="n">
        <v>65</v>
      </c>
      <c r="H221" s="4" t="n">
        <v>1200000</v>
      </c>
      <c r="I221" s="2" t="s">
        <v>31</v>
      </c>
      <c r="J221" s="2" t="n">
        <v>14</v>
      </c>
      <c r="K221" s="3" t="s">
        <v>156</v>
      </c>
    </row>
    <row r="222" customFormat="false" ht="15" hidden="false" customHeight="false" outlineLevel="0" collapsed="false">
      <c r="A222" s="2" t="s">
        <v>713</v>
      </c>
      <c r="B222" s="3" t="s">
        <v>343</v>
      </c>
      <c r="C222" s="2" t="s">
        <v>182</v>
      </c>
      <c r="D222" s="2" t="s">
        <v>714</v>
      </c>
      <c r="E222" s="2" t="s">
        <v>294</v>
      </c>
      <c r="F222" s="2" t="s">
        <v>30</v>
      </c>
      <c r="G222" s="2" t="n">
        <v>480</v>
      </c>
      <c r="H222" s="4" t="n">
        <v>1200000</v>
      </c>
      <c r="I222" s="2" t="s">
        <v>31</v>
      </c>
      <c r="J222" s="2" t="n">
        <v>7</v>
      </c>
      <c r="K222" s="3" t="s">
        <v>715</v>
      </c>
    </row>
    <row r="223" customFormat="false" ht="15" hidden="false" customHeight="false" outlineLevel="0" collapsed="false">
      <c r="A223" s="2" t="s">
        <v>716</v>
      </c>
      <c r="B223" s="3" t="s">
        <v>717</v>
      </c>
      <c r="C223" s="2" t="s">
        <v>96</v>
      </c>
      <c r="D223" s="2" t="s">
        <v>633</v>
      </c>
      <c r="E223" s="2" t="s">
        <v>41</v>
      </c>
      <c r="F223" s="2" t="s">
        <v>42</v>
      </c>
      <c r="G223" s="2" t="n">
        <v>343</v>
      </c>
      <c r="H223" s="4" t="n">
        <v>15000</v>
      </c>
      <c r="I223" s="2" t="s">
        <v>31</v>
      </c>
      <c r="J223" s="2" t="n">
        <v>14</v>
      </c>
      <c r="K223" s="3" t="s">
        <v>718</v>
      </c>
    </row>
    <row r="224" customFormat="false" ht="15" hidden="false" customHeight="false" outlineLevel="0" collapsed="false">
      <c r="A224" s="2" t="s">
        <v>719</v>
      </c>
      <c r="B224" s="3" t="s">
        <v>257</v>
      </c>
      <c r="C224" s="2" t="s">
        <v>27</v>
      </c>
      <c r="D224" s="2" t="s">
        <v>720</v>
      </c>
      <c r="E224" s="2" t="s">
        <v>203</v>
      </c>
      <c r="F224" s="2" t="s">
        <v>65</v>
      </c>
      <c r="G224" s="2" t="n">
        <v>78</v>
      </c>
      <c r="H224" s="4" t="n">
        <v>120000</v>
      </c>
      <c r="I224" s="2" t="s">
        <v>24</v>
      </c>
      <c r="J224" s="2" t="n">
        <v>7</v>
      </c>
      <c r="K224" s="3"/>
    </row>
    <row r="225" customFormat="false" ht="15" hidden="false" customHeight="false" outlineLevel="0" collapsed="false">
      <c r="A225" s="2" t="s">
        <v>721</v>
      </c>
      <c r="B225" s="3" t="s">
        <v>722</v>
      </c>
      <c r="C225" s="2" t="s">
        <v>72</v>
      </c>
      <c r="D225" s="2" t="s">
        <v>566</v>
      </c>
      <c r="E225" s="2" t="s">
        <v>94</v>
      </c>
      <c r="F225" s="2" t="s">
        <v>65</v>
      </c>
      <c r="G225" s="2" t="n">
        <v>26</v>
      </c>
      <c r="H225" s="4" t="n">
        <v>15000</v>
      </c>
      <c r="I225" s="2" t="s">
        <v>24</v>
      </c>
      <c r="J225" s="2" t="n">
        <v>10</v>
      </c>
      <c r="K225" s="3"/>
    </row>
    <row r="226" customFormat="false" ht="15" hidden="false" customHeight="false" outlineLevel="0" collapsed="false">
      <c r="A226" s="2" t="s">
        <v>723</v>
      </c>
      <c r="B226" s="3" t="s">
        <v>493</v>
      </c>
      <c r="C226" s="2" t="s">
        <v>72</v>
      </c>
      <c r="D226" s="2" t="s">
        <v>724</v>
      </c>
      <c r="E226" s="2" t="s">
        <v>162</v>
      </c>
      <c r="F226" s="2" t="s">
        <v>16</v>
      </c>
      <c r="G226" s="2" t="n">
        <v>388</v>
      </c>
      <c r="H226" s="4" t="n">
        <v>250000</v>
      </c>
      <c r="I226" s="2" t="s">
        <v>31</v>
      </c>
      <c r="J226" s="2" t="n">
        <v>14</v>
      </c>
      <c r="K226" s="3" t="s">
        <v>381</v>
      </c>
    </row>
    <row r="227" customFormat="false" ht="15" hidden="false" customHeight="false" outlineLevel="0" collapsed="false">
      <c r="A227" s="2" t="s">
        <v>725</v>
      </c>
      <c r="B227" s="3" t="s">
        <v>726</v>
      </c>
      <c r="C227" s="2" t="s">
        <v>77</v>
      </c>
      <c r="D227" s="2" t="s">
        <v>21</v>
      </c>
      <c r="E227" s="2" t="s">
        <v>22</v>
      </c>
      <c r="F227" s="2" t="s">
        <v>23</v>
      </c>
      <c r="G227" s="2" t="n">
        <v>134</v>
      </c>
      <c r="H227" s="4" t="n">
        <v>75000</v>
      </c>
      <c r="I227" s="2" t="s">
        <v>31</v>
      </c>
      <c r="J227" s="2" t="n">
        <v>14</v>
      </c>
      <c r="K227" s="3" t="s">
        <v>451</v>
      </c>
    </row>
    <row r="228" customFormat="false" ht="15" hidden="false" customHeight="false" outlineLevel="0" collapsed="false">
      <c r="A228" s="2" t="s">
        <v>727</v>
      </c>
      <c r="B228" s="3" t="s">
        <v>728</v>
      </c>
      <c r="C228" s="2" t="s">
        <v>96</v>
      </c>
      <c r="D228" s="2" t="s">
        <v>729</v>
      </c>
      <c r="E228" s="2" t="s">
        <v>114</v>
      </c>
      <c r="F228" s="2" t="s">
        <v>30</v>
      </c>
      <c r="G228" s="2" t="n">
        <v>153</v>
      </c>
      <c r="H228" s="4" t="n">
        <v>25000</v>
      </c>
      <c r="I228" s="2" t="s">
        <v>31</v>
      </c>
      <c r="J228" s="2" t="n">
        <v>5</v>
      </c>
      <c r="K228" s="3" t="s">
        <v>730</v>
      </c>
    </row>
    <row r="229" customFormat="false" ht="15" hidden="false" customHeight="false" outlineLevel="0" collapsed="false">
      <c r="A229" s="2" t="s">
        <v>731</v>
      </c>
      <c r="B229" s="3" t="s">
        <v>26</v>
      </c>
      <c r="C229" s="2" t="s">
        <v>13</v>
      </c>
      <c r="D229" s="2" t="s">
        <v>732</v>
      </c>
      <c r="E229" s="2" t="s">
        <v>370</v>
      </c>
      <c r="F229" s="2" t="s">
        <v>23</v>
      </c>
      <c r="G229" s="2" t="n">
        <v>150</v>
      </c>
      <c r="H229" s="4" t="n">
        <v>25000</v>
      </c>
      <c r="I229" s="2" t="s">
        <v>17</v>
      </c>
      <c r="J229" s="2" t="n">
        <v>7</v>
      </c>
      <c r="K229" s="3"/>
    </row>
    <row r="230" customFormat="false" ht="15" hidden="false" customHeight="false" outlineLevel="0" collapsed="false">
      <c r="A230" s="2" t="s">
        <v>733</v>
      </c>
      <c r="B230" s="3" t="s">
        <v>175</v>
      </c>
      <c r="C230" s="2" t="s">
        <v>96</v>
      </c>
      <c r="D230" s="2" t="s">
        <v>734</v>
      </c>
      <c r="E230" s="2" t="s">
        <v>88</v>
      </c>
      <c r="F230" s="2" t="s">
        <v>89</v>
      </c>
      <c r="G230" s="2" t="n">
        <v>161</v>
      </c>
      <c r="H230" s="4" t="n">
        <v>45000</v>
      </c>
      <c r="I230" s="2" t="s">
        <v>24</v>
      </c>
      <c r="J230" s="2" t="n">
        <v>7</v>
      </c>
      <c r="K230" s="3"/>
    </row>
    <row r="231" customFormat="false" ht="15" hidden="false" customHeight="false" outlineLevel="0" collapsed="false">
      <c r="A231" s="2" t="s">
        <v>735</v>
      </c>
      <c r="B231" s="3" t="s">
        <v>736</v>
      </c>
      <c r="C231" s="2" t="s">
        <v>27</v>
      </c>
      <c r="D231" s="2" t="s">
        <v>737</v>
      </c>
      <c r="E231" s="2" t="s">
        <v>36</v>
      </c>
      <c r="F231" s="2" t="s">
        <v>23</v>
      </c>
      <c r="G231" s="2" t="n">
        <v>131</v>
      </c>
      <c r="H231" s="4" t="n">
        <v>75000</v>
      </c>
      <c r="I231" s="2" t="s">
        <v>24</v>
      </c>
      <c r="J231" s="2" t="n">
        <v>10</v>
      </c>
      <c r="K231" s="3"/>
    </row>
  </sheetData>
  <autoFilter ref="A1:K2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1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6" min="6" style="0" width="17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24"/>
    <col collapsed="false" customWidth="true" hidden="false" outlineLevel="0" max="11" min="11" style="0" width="23"/>
    <col collapsed="false" customWidth="true" hidden="false" outlineLevel="0" max="12" min="12" style="0" width="27"/>
    <col collapsed="false" customWidth="true" hidden="false" outlineLevel="0" max="13" min="13" style="0" width="35"/>
    <col collapsed="false" customWidth="true" hidden="false" outlineLevel="0" max="14" min="14" style="0" width="3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738</v>
      </c>
      <c r="M1" s="1" t="s">
        <v>739</v>
      </c>
      <c r="N1" s="1" t="s">
        <v>740</v>
      </c>
    </row>
    <row r="2" customFormat="false" ht="15" hidden="false" customHeight="false" outlineLevel="0" collapsed="false">
      <c r="A2" s="2" t="s">
        <v>11</v>
      </c>
      <c r="B2" s="3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n">
        <v>78</v>
      </c>
      <c r="H2" s="2" t="n">
        <v>500000</v>
      </c>
      <c r="I2" s="2" t="s">
        <v>17</v>
      </c>
      <c r="J2" s="2" t="n">
        <v>7</v>
      </c>
      <c r="K2" s="3"/>
      <c r="L2" s="5" t="n">
        <f aca="false">G2*H2</f>
        <v>39000000</v>
      </c>
      <c r="M2" s="5" t="str">
        <f aca="false">IF(I2="Received",(K2-B2)-J2,"-")</f>
        <v>-</v>
      </c>
      <c r="N2" s="5" t="str">
        <f aca="false">IF(I2="Received",IF(L2&lt;=0,"Tepat Waktu","Terlambat"),"-")</f>
        <v>-</v>
      </c>
    </row>
    <row r="3" customFormat="false" ht="15" hidden="false" customHeight="false" outlineLevel="0" collapsed="false">
      <c r="A3" s="2" t="s">
        <v>18</v>
      </c>
      <c r="B3" s="3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n">
        <v>439</v>
      </c>
      <c r="H3" s="2" t="n">
        <v>500000</v>
      </c>
      <c r="I3" s="2" t="s">
        <v>24</v>
      </c>
      <c r="J3" s="2" t="n">
        <v>14</v>
      </c>
      <c r="K3" s="3"/>
      <c r="L3" s="5"/>
      <c r="M3" s="5"/>
      <c r="N3" s="5"/>
    </row>
    <row r="4" customFormat="false" ht="15" hidden="false" customHeight="false" outlineLevel="0" collapsed="false">
      <c r="A4" s="2" t="s">
        <v>25</v>
      </c>
      <c r="B4" s="3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n">
        <v>357</v>
      </c>
      <c r="H4" s="2" t="n">
        <v>25000</v>
      </c>
      <c r="I4" s="2" t="s">
        <v>31</v>
      </c>
      <c r="J4" s="2" t="n">
        <v>7</v>
      </c>
      <c r="K4" s="3" t="s">
        <v>32</v>
      </c>
      <c r="L4" s="5"/>
      <c r="M4" s="5"/>
      <c r="N4" s="5"/>
    </row>
    <row r="5" customFormat="false" ht="15" hidden="false" customHeight="false" outlineLevel="0" collapsed="false">
      <c r="A5" s="2" t="s">
        <v>33</v>
      </c>
      <c r="B5" s="3" t="s">
        <v>34</v>
      </c>
      <c r="C5" s="2" t="s">
        <v>27</v>
      </c>
      <c r="D5" s="2" t="s">
        <v>35</v>
      </c>
      <c r="E5" s="2" t="s">
        <v>36</v>
      </c>
      <c r="F5" s="2" t="s">
        <v>23</v>
      </c>
      <c r="G5" s="2" t="n">
        <v>314</v>
      </c>
      <c r="H5" s="2" t="n">
        <v>500000</v>
      </c>
      <c r="I5" s="2" t="s">
        <v>17</v>
      </c>
      <c r="J5" s="2" t="n">
        <v>7</v>
      </c>
      <c r="K5" s="3"/>
      <c r="L5" s="5"/>
      <c r="M5" s="5"/>
      <c r="N5" s="5"/>
    </row>
    <row r="6" customFormat="false" ht="15" hidden="false" customHeight="false" outlineLevel="0" collapsed="false">
      <c r="A6" s="2" t="s">
        <v>37</v>
      </c>
      <c r="B6" s="3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 t="n">
        <v>187</v>
      </c>
      <c r="H6" s="2" t="n">
        <v>1200000</v>
      </c>
      <c r="I6" s="2" t="s">
        <v>17</v>
      </c>
      <c r="J6" s="2" t="n">
        <v>10</v>
      </c>
      <c r="K6" s="3"/>
      <c r="L6" s="5"/>
      <c r="M6" s="5"/>
      <c r="N6" s="5"/>
    </row>
    <row r="7" customFormat="false" ht="15" hidden="false" customHeight="false" outlineLevel="0" collapsed="false">
      <c r="A7" s="2" t="s">
        <v>43</v>
      </c>
      <c r="B7" s="3" t="s">
        <v>44</v>
      </c>
      <c r="C7" s="2" t="s">
        <v>20</v>
      </c>
      <c r="D7" s="2" t="s">
        <v>45</v>
      </c>
      <c r="E7" s="2" t="s">
        <v>46</v>
      </c>
      <c r="F7" s="2" t="s">
        <v>30</v>
      </c>
      <c r="G7" s="2" t="n">
        <v>400</v>
      </c>
      <c r="H7" s="2" t="n">
        <v>120000</v>
      </c>
      <c r="I7" s="2" t="s">
        <v>47</v>
      </c>
      <c r="J7" s="2" t="n">
        <v>3</v>
      </c>
      <c r="K7" s="3"/>
      <c r="L7" s="5"/>
      <c r="M7" s="5"/>
      <c r="N7" s="5"/>
    </row>
    <row r="8" customFormat="false" ht="15" hidden="false" customHeight="false" outlineLevel="0" collapsed="false">
      <c r="A8" s="2" t="s">
        <v>48</v>
      </c>
      <c r="B8" s="3" t="s">
        <v>49</v>
      </c>
      <c r="C8" s="2" t="s">
        <v>39</v>
      </c>
      <c r="D8" s="2" t="s">
        <v>50</v>
      </c>
      <c r="E8" s="2" t="s">
        <v>51</v>
      </c>
      <c r="F8" s="2" t="s">
        <v>23</v>
      </c>
      <c r="G8" s="2" t="n">
        <v>406</v>
      </c>
      <c r="H8" s="2" t="n">
        <v>45000</v>
      </c>
      <c r="I8" s="2" t="s">
        <v>24</v>
      </c>
      <c r="J8" s="2" t="n">
        <v>7</v>
      </c>
      <c r="K8" s="3"/>
      <c r="L8" s="5"/>
      <c r="M8" s="5"/>
      <c r="N8" s="5"/>
    </row>
    <row r="9" customFormat="false" ht="15" hidden="false" customHeight="false" outlineLevel="0" collapsed="false">
      <c r="A9" s="2" t="s">
        <v>52</v>
      </c>
      <c r="B9" s="3" t="s">
        <v>53</v>
      </c>
      <c r="C9" s="2" t="s">
        <v>54</v>
      </c>
      <c r="D9" s="2" t="s">
        <v>55</v>
      </c>
      <c r="E9" s="2" t="s">
        <v>56</v>
      </c>
      <c r="F9" s="2" t="s">
        <v>16</v>
      </c>
      <c r="G9" s="2" t="n">
        <v>232</v>
      </c>
      <c r="H9" s="2" t="n">
        <v>250000</v>
      </c>
      <c r="I9" s="2" t="s">
        <v>47</v>
      </c>
      <c r="J9" s="2" t="n">
        <v>3</v>
      </c>
      <c r="K9" s="3"/>
      <c r="L9" s="5"/>
      <c r="M9" s="5"/>
      <c r="N9" s="5"/>
    </row>
    <row r="10" customFormat="false" ht="15" hidden="false" customHeight="false" outlineLevel="0" collapsed="false">
      <c r="A10" s="2" t="s">
        <v>57</v>
      </c>
      <c r="B10" s="3" t="s">
        <v>58</v>
      </c>
      <c r="C10" s="2" t="s">
        <v>54</v>
      </c>
      <c r="D10" s="2" t="s">
        <v>59</v>
      </c>
      <c r="E10" s="2" t="s">
        <v>51</v>
      </c>
      <c r="F10" s="2" t="s">
        <v>23</v>
      </c>
      <c r="G10" s="2" t="n">
        <v>290</v>
      </c>
      <c r="H10" s="2" t="n">
        <v>1200000</v>
      </c>
      <c r="I10" s="2" t="s">
        <v>31</v>
      </c>
      <c r="J10" s="2" t="n">
        <v>3</v>
      </c>
      <c r="K10" s="3" t="s">
        <v>60</v>
      </c>
      <c r="L10" s="5"/>
      <c r="M10" s="5"/>
      <c r="N10" s="5"/>
    </row>
    <row r="11" customFormat="false" ht="15" hidden="false" customHeight="false" outlineLevel="0" collapsed="false">
      <c r="A11" s="2" t="s">
        <v>61</v>
      </c>
      <c r="B11" s="3" t="s">
        <v>62</v>
      </c>
      <c r="C11" s="2" t="s">
        <v>13</v>
      </c>
      <c r="D11" s="2" t="s">
        <v>63</v>
      </c>
      <c r="E11" s="2" t="s">
        <v>64</v>
      </c>
      <c r="F11" s="2" t="s">
        <v>65</v>
      </c>
      <c r="G11" s="2" t="n">
        <v>311</v>
      </c>
      <c r="H11" s="2" t="n">
        <v>250000</v>
      </c>
      <c r="I11" s="2" t="s">
        <v>47</v>
      </c>
      <c r="J11" s="2" t="n">
        <v>3</v>
      </c>
      <c r="K11" s="3"/>
      <c r="L11" s="5"/>
      <c r="M11" s="5"/>
      <c r="N11" s="5"/>
    </row>
    <row r="12" customFormat="false" ht="15" hidden="false" customHeight="false" outlineLevel="0" collapsed="false">
      <c r="A12" s="2" t="s">
        <v>66</v>
      </c>
      <c r="B12" s="3" t="s">
        <v>67</v>
      </c>
      <c r="C12" s="2" t="s">
        <v>27</v>
      </c>
      <c r="D12" s="2" t="s">
        <v>68</v>
      </c>
      <c r="E12" s="2" t="s">
        <v>69</v>
      </c>
      <c r="F12" s="2" t="s">
        <v>42</v>
      </c>
      <c r="G12" s="2" t="n">
        <v>466</v>
      </c>
      <c r="H12" s="2" t="n">
        <v>1200000</v>
      </c>
      <c r="I12" s="2" t="s">
        <v>17</v>
      </c>
      <c r="J12" s="2" t="n">
        <v>5</v>
      </c>
      <c r="K12" s="3"/>
      <c r="L12" s="5"/>
      <c r="M12" s="5"/>
      <c r="N12" s="5"/>
    </row>
    <row r="13" customFormat="false" ht="15" hidden="false" customHeight="false" outlineLevel="0" collapsed="false">
      <c r="A13" s="2" t="s">
        <v>70</v>
      </c>
      <c r="B13" s="3" t="s">
        <v>71</v>
      </c>
      <c r="C13" s="2" t="s">
        <v>72</v>
      </c>
      <c r="D13" s="2" t="s">
        <v>73</v>
      </c>
      <c r="E13" s="2" t="s">
        <v>51</v>
      </c>
      <c r="F13" s="2" t="s">
        <v>23</v>
      </c>
      <c r="G13" s="2" t="n">
        <v>76</v>
      </c>
      <c r="H13" s="2" t="n">
        <v>120000</v>
      </c>
      <c r="I13" s="2" t="s">
        <v>31</v>
      </c>
      <c r="J13" s="2" t="n">
        <v>10</v>
      </c>
      <c r="K13" s="3" t="s">
        <v>74</v>
      </c>
      <c r="L13" s="5"/>
      <c r="M13" s="5"/>
      <c r="N13" s="5"/>
    </row>
    <row r="14" customFormat="false" ht="15" hidden="false" customHeight="false" outlineLevel="0" collapsed="false">
      <c r="A14" s="2" t="s">
        <v>75</v>
      </c>
      <c r="B14" s="3" t="s">
        <v>76</v>
      </c>
      <c r="C14" s="2" t="s">
        <v>77</v>
      </c>
      <c r="D14" s="2" t="s">
        <v>78</v>
      </c>
      <c r="E14" s="2" t="s">
        <v>79</v>
      </c>
      <c r="F14" s="2" t="s">
        <v>42</v>
      </c>
      <c r="G14" s="2" t="n">
        <v>158</v>
      </c>
      <c r="H14" s="2" t="n">
        <v>850000</v>
      </c>
      <c r="I14" s="2" t="s">
        <v>47</v>
      </c>
      <c r="J14" s="2" t="n">
        <v>7</v>
      </c>
      <c r="K14" s="3"/>
      <c r="L14" s="5"/>
      <c r="M14" s="5"/>
      <c r="N14" s="5"/>
    </row>
    <row r="15" customFormat="false" ht="15" hidden="false" customHeight="false" outlineLevel="0" collapsed="false">
      <c r="A15" s="2" t="s">
        <v>80</v>
      </c>
      <c r="B15" s="3" t="s">
        <v>81</v>
      </c>
      <c r="C15" s="2" t="s">
        <v>82</v>
      </c>
      <c r="D15" s="2" t="s">
        <v>83</v>
      </c>
      <c r="E15" s="2" t="s">
        <v>46</v>
      </c>
      <c r="F15" s="2" t="s">
        <v>30</v>
      </c>
      <c r="G15" s="2" t="n">
        <v>320</v>
      </c>
      <c r="H15" s="2" t="n">
        <v>75000</v>
      </c>
      <c r="I15" s="2" t="s">
        <v>31</v>
      </c>
      <c r="J15" s="2" t="n">
        <v>5</v>
      </c>
      <c r="K15" s="3" t="s">
        <v>84</v>
      </c>
      <c r="L15" s="5"/>
      <c r="M15" s="5"/>
      <c r="N15" s="5"/>
    </row>
    <row r="16" customFormat="false" ht="15" hidden="false" customHeight="false" outlineLevel="0" collapsed="false">
      <c r="A16" s="2" t="s">
        <v>85</v>
      </c>
      <c r="B16" s="3" t="s">
        <v>86</v>
      </c>
      <c r="C16" s="2" t="s">
        <v>27</v>
      </c>
      <c r="D16" s="2" t="s">
        <v>87</v>
      </c>
      <c r="E16" s="2" t="s">
        <v>88</v>
      </c>
      <c r="F16" s="2" t="s">
        <v>89</v>
      </c>
      <c r="G16" s="2" t="n">
        <v>416</v>
      </c>
      <c r="H16" s="2" t="n">
        <v>250000</v>
      </c>
      <c r="I16" s="2" t="s">
        <v>31</v>
      </c>
      <c r="J16" s="2" t="n">
        <v>10</v>
      </c>
      <c r="K16" s="3" t="s">
        <v>90</v>
      </c>
      <c r="L16" s="5"/>
      <c r="M16" s="5"/>
      <c r="N16" s="5"/>
    </row>
    <row r="17" customFormat="false" ht="15" hidden="false" customHeight="false" outlineLevel="0" collapsed="false">
      <c r="A17" s="2" t="s">
        <v>91</v>
      </c>
      <c r="B17" s="3" t="s">
        <v>92</v>
      </c>
      <c r="C17" s="2" t="s">
        <v>13</v>
      </c>
      <c r="D17" s="2" t="s">
        <v>93</v>
      </c>
      <c r="E17" s="2" t="s">
        <v>94</v>
      </c>
      <c r="F17" s="2" t="s">
        <v>65</v>
      </c>
      <c r="G17" s="2" t="n">
        <v>165</v>
      </c>
      <c r="H17" s="2" t="n">
        <v>45000</v>
      </c>
      <c r="I17" s="2" t="s">
        <v>17</v>
      </c>
      <c r="J17" s="2" t="n">
        <v>7</v>
      </c>
      <c r="K17" s="3"/>
      <c r="L17" s="5"/>
      <c r="M17" s="5"/>
      <c r="N17" s="5"/>
    </row>
    <row r="18" customFormat="false" ht="15" hidden="false" customHeight="false" outlineLevel="0" collapsed="false">
      <c r="A18" s="2" t="s">
        <v>95</v>
      </c>
      <c r="B18" s="3" t="s">
        <v>67</v>
      </c>
      <c r="C18" s="2" t="s">
        <v>96</v>
      </c>
      <c r="D18" s="2" t="s">
        <v>97</v>
      </c>
      <c r="E18" s="2" t="s">
        <v>94</v>
      </c>
      <c r="F18" s="2" t="s">
        <v>65</v>
      </c>
      <c r="G18" s="2" t="n">
        <v>197</v>
      </c>
      <c r="H18" s="2" t="n">
        <v>120000</v>
      </c>
      <c r="I18" s="2" t="s">
        <v>47</v>
      </c>
      <c r="J18" s="2" t="n">
        <v>10</v>
      </c>
      <c r="K18" s="3"/>
      <c r="L18" s="5"/>
      <c r="M18" s="5"/>
      <c r="N18" s="5"/>
    </row>
    <row r="19" customFormat="false" ht="15" hidden="false" customHeight="false" outlineLevel="0" collapsed="false">
      <c r="A19" s="2" t="s">
        <v>98</v>
      </c>
      <c r="B19" s="3" t="s">
        <v>99</v>
      </c>
      <c r="C19" s="2" t="s">
        <v>54</v>
      </c>
      <c r="D19" s="2" t="s">
        <v>100</v>
      </c>
      <c r="E19" s="2" t="s">
        <v>94</v>
      </c>
      <c r="F19" s="2" t="s">
        <v>65</v>
      </c>
      <c r="G19" s="2" t="n">
        <v>284</v>
      </c>
      <c r="H19" s="2" t="n">
        <v>45000</v>
      </c>
      <c r="I19" s="2" t="s">
        <v>24</v>
      </c>
      <c r="J19" s="2" t="n">
        <v>14</v>
      </c>
      <c r="K19" s="3"/>
      <c r="L19" s="5"/>
      <c r="M19" s="5"/>
      <c r="N19" s="5"/>
    </row>
    <row r="20" customFormat="false" ht="15" hidden="false" customHeight="false" outlineLevel="0" collapsed="false">
      <c r="A20" s="2" t="s">
        <v>101</v>
      </c>
      <c r="B20" s="3" t="s">
        <v>90</v>
      </c>
      <c r="C20" s="2" t="s">
        <v>96</v>
      </c>
      <c r="D20" s="2" t="s">
        <v>102</v>
      </c>
      <c r="E20" s="2" t="s">
        <v>29</v>
      </c>
      <c r="F20" s="2" t="s">
        <v>30</v>
      </c>
      <c r="G20" s="2" t="n">
        <v>413</v>
      </c>
      <c r="H20" s="2" t="n">
        <v>120000</v>
      </c>
      <c r="I20" s="2" t="s">
        <v>47</v>
      </c>
      <c r="J20" s="2" t="n">
        <v>3</v>
      </c>
      <c r="K20" s="3"/>
      <c r="L20" s="5"/>
      <c r="M20" s="5"/>
      <c r="N20" s="5"/>
    </row>
    <row r="21" customFormat="false" ht="15" hidden="false" customHeight="false" outlineLevel="0" collapsed="false">
      <c r="A21" s="2" t="s">
        <v>103</v>
      </c>
      <c r="B21" s="3" t="s">
        <v>104</v>
      </c>
      <c r="C21" s="2" t="s">
        <v>96</v>
      </c>
      <c r="D21" s="2" t="s">
        <v>105</v>
      </c>
      <c r="E21" s="2" t="s">
        <v>106</v>
      </c>
      <c r="F21" s="2" t="s">
        <v>23</v>
      </c>
      <c r="G21" s="2" t="n">
        <v>134</v>
      </c>
      <c r="H21" s="2" t="n">
        <v>45000</v>
      </c>
      <c r="I21" s="2" t="s">
        <v>24</v>
      </c>
      <c r="J21" s="2" t="n">
        <v>10</v>
      </c>
      <c r="K21" s="3"/>
      <c r="L21" s="5"/>
      <c r="M21" s="5"/>
      <c r="N21" s="5"/>
    </row>
    <row r="22" customFormat="false" ht="15" hidden="false" customHeight="false" outlineLevel="0" collapsed="false">
      <c r="A22" s="2" t="s">
        <v>107</v>
      </c>
      <c r="B22" s="3" t="s">
        <v>108</v>
      </c>
      <c r="C22" s="2" t="s">
        <v>96</v>
      </c>
      <c r="D22" s="2" t="s">
        <v>109</v>
      </c>
      <c r="E22" s="2" t="s">
        <v>110</v>
      </c>
      <c r="F22" s="2" t="s">
        <v>65</v>
      </c>
      <c r="G22" s="2" t="n">
        <v>210</v>
      </c>
      <c r="H22" s="2" t="n">
        <v>1200000</v>
      </c>
      <c r="I22" s="2" t="s">
        <v>31</v>
      </c>
      <c r="J22" s="2" t="n">
        <v>10</v>
      </c>
      <c r="K22" s="3" t="s">
        <v>111</v>
      </c>
      <c r="L22" s="5"/>
      <c r="M22" s="5"/>
      <c r="N22" s="5"/>
    </row>
    <row r="23" customFormat="false" ht="15" hidden="false" customHeight="false" outlineLevel="0" collapsed="false">
      <c r="A23" s="2" t="s">
        <v>112</v>
      </c>
      <c r="B23" s="3" t="s">
        <v>113</v>
      </c>
      <c r="C23" s="2" t="s">
        <v>13</v>
      </c>
      <c r="D23" s="2" t="s">
        <v>83</v>
      </c>
      <c r="E23" s="2" t="s">
        <v>114</v>
      </c>
      <c r="F23" s="2" t="s">
        <v>30</v>
      </c>
      <c r="G23" s="2" t="n">
        <v>331</v>
      </c>
      <c r="H23" s="2" t="n">
        <v>25000</v>
      </c>
      <c r="I23" s="2" t="s">
        <v>31</v>
      </c>
      <c r="J23" s="2" t="n">
        <v>5</v>
      </c>
      <c r="K23" s="3" t="s">
        <v>115</v>
      </c>
      <c r="L23" s="5"/>
      <c r="M23" s="5"/>
      <c r="N23" s="5"/>
    </row>
    <row r="24" customFormat="false" ht="15" hidden="false" customHeight="false" outlineLevel="0" collapsed="false">
      <c r="A24" s="2" t="s">
        <v>116</v>
      </c>
      <c r="B24" s="3" t="s">
        <v>117</v>
      </c>
      <c r="C24" s="2" t="s">
        <v>20</v>
      </c>
      <c r="D24" s="2" t="s">
        <v>118</v>
      </c>
      <c r="E24" s="2" t="s">
        <v>119</v>
      </c>
      <c r="F24" s="2" t="s">
        <v>16</v>
      </c>
      <c r="G24" s="2" t="n">
        <v>351</v>
      </c>
      <c r="H24" s="2" t="n">
        <v>500000</v>
      </c>
      <c r="I24" s="2" t="s">
        <v>17</v>
      </c>
      <c r="J24" s="2" t="n">
        <v>7</v>
      </c>
      <c r="K24" s="3"/>
      <c r="L24" s="5"/>
      <c r="M24" s="5"/>
      <c r="N24" s="5"/>
    </row>
    <row r="25" customFormat="false" ht="15" hidden="false" customHeight="false" outlineLevel="0" collapsed="false">
      <c r="A25" s="2" t="s">
        <v>120</v>
      </c>
      <c r="B25" s="3" t="s">
        <v>121</v>
      </c>
      <c r="C25" s="2" t="s">
        <v>54</v>
      </c>
      <c r="D25" s="2" t="s">
        <v>122</v>
      </c>
      <c r="E25" s="2" t="s">
        <v>56</v>
      </c>
      <c r="F25" s="2" t="s">
        <v>16</v>
      </c>
      <c r="G25" s="2" t="n">
        <v>118</v>
      </c>
      <c r="H25" s="2" t="n">
        <v>1200000</v>
      </c>
      <c r="I25" s="2" t="s">
        <v>24</v>
      </c>
      <c r="J25" s="2" t="n">
        <v>14</v>
      </c>
      <c r="K25" s="3"/>
      <c r="L25" s="5"/>
      <c r="M25" s="5"/>
      <c r="N25" s="5"/>
    </row>
    <row r="26" customFormat="false" ht="15" hidden="false" customHeight="false" outlineLevel="0" collapsed="false">
      <c r="A26" s="2" t="s">
        <v>123</v>
      </c>
      <c r="B26" s="3" t="s">
        <v>124</v>
      </c>
      <c r="C26" s="2" t="s">
        <v>20</v>
      </c>
      <c r="D26" s="2" t="s">
        <v>125</v>
      </c>
      <c r="E26" s="2" t="s">
        <v>51</v>
      </c>
      <c r="F26" s="2" t="s">
        <v>23</v>
      </c>
      <c r="G26" s="2" t="n">
        <v>205</v>
      </c>
      <c r="H26" s="2" t="n">
        <v>850000</v>
      </c>
      <c r="I26" s="2" t="s">
        <v>47</v>
      </c>
      <c r="J26" s="2" t="n">
        <v>14</v>
      </c>
      <c r="K26" s="3"/>
      <c r="L26" s="5"/>
      <c r="M26" s="5"/>
      <c r="N26" s="5"/>
    </row>
    <row r="27" customFormat="false" ht="15" hidden="false" customHeight="false" outlineLevel="0" collapsed="false">
      <c r="A27" s="2" t="s">
        <v>126</v>
      </c>
      <c r="B27" s="3" t="s">
        <v>127</v>
      </c>
      <c r="C27" s="2" t="s">
        <v>72</v>
      </c>
      <c r="D27" s="2" t="s">
        <v>128</v>
      </c>
      <c r="E27" s="2" t="s">
        <v>106</v>
      </c>
      <c r="F27" s="2" t="s">
        <v>23</v>
      </c>
      <c r="G27" s="2" t="n">
        <v>252</v>
      </c>
      <c r="H27" s="2" t="n">
        <v>25000</v>
      </c>
      <c r="I27" s="2" t="s">
        <v>31</v>
      </c>
      <c r="J27" s="2" t="n">
        <v>3</v>
      </c>
      <c r="K27" s="3" t="s">
        <v>129</v>
      </c>
      <c r="L27" s="5"/>
      <c r="M27" s="5"/>
      <c r="N27" s="5"/>
    </row>
    <row r="28" customFormat="false" ht="15" hidden="false" customHeight="false" outlineLevel="0" collapsed="false">
      <c r="A28" s="2" t="s">
        <v>130</v>
      </c>
      <c r="B28" s="3" t="s">
        <v>131</v>
      </c>
      <c r="C28" s="2" t="s">
        <v>13</v>
      </c>
      <c r="D28" s="2" t="s">
        <v>132</v>
      </c>
      <c r="E28" s="2" t="s">
        <v>133</v>
      </c>
      <c r="F28" s="2" t="s">
        <v>89</v>
      </c>
      <c r="G28" s="2" t="n">
        <v>406</v>
      </c>
      <c r="H28" s="2" t="n">
        <v>75000</v>
      </c>
      <c r="I28" s="2" t="s">
        <v>31</v>
      </c>
      <c r="J28" s="2" t="n">
        <v>7</v>
      </c>
      <c r="K28" s="3" t="s">
        <v>134</v>
      </c>
      <c r="L28" s="5"/>
      <c r="M28" s="5"/>
      <c r="N28" s="5"/>
    </row>
    <row r="29" customFormat="false" ht="15" hidden="false" customHeight="false" outlineLevel="0" collapsed="false">
      <c r="A29" s="2" t="s">
        <v>135</v>
      </c>
      <c r="B29" s="3" t="s">
        <v>136</v>
      </c>
      <c r="C29" s="2" t="s">
        <v>96</v>
      </c>
      <c r="D29" s="2" t="s">
        <v>137</v>
      </c>
      <c r="E29" s="2" t="s">
        <v>46</v>
      </c>
      <c r="F29" s="2" t="s">
        <v>30</v>
      </c>
      <c r="G29" s="2" t="n">
        <v>39</v>
      </c>
      <c r="H29" s="2" t="n">
        <v>120000</v>
      </c>
      <c r="I29" s="2" t="s">
        <v>31</v>
      </c>
      <c r="J29" s="2" t="n">
        <v>3</v>
      </c>
      <c r="K29" s="3" t="s">
        <v>34</v>
      </c>
      <c r="L29" s="5"/>
      <c r="M29" s="5"/>
      <c r="N29" s="5"/>
    </row>
    <row r="30" customFormat="false" ht="15" hidden="false" customHeight="false" outlineLevel="0" collapsed="false">
      <c r="A30" s="2" t="s">
        <v>138</v>
      </c>
      <c r="B30" s="3" t="s">
        <v>139</v>
      </c>
      <c r="C30" s="2" t="s">
        <v>54</v>
      </c>
      <c r="D30" s="2" t="s">
        <v>140</v>
      </c>
      <c r="E30" s="2" t="s">
        <v>29</v>
      </c>
      <c r="F30" s="2" t="s">
        <v>30</v>
      </c>
      <c r="G30" s="2" t="n">
        <v>129</v>
      </c>
      <c r="H30" s="2" t="n">
        <v>1200000</v>
      </c>
      <c r="I30" s="2" t="s">
        <v>31</v>
      </c>
      <c r="J30" s="2" t="n">
        <v>5</v>
      </c>
      <c r="K30" s="3" t="s">
        <v>141</v>
      </c>
      <c r="L30" s="5"/>
      <c r="M30" s="5"/>
      <c r="N30" s="5"/>
    </row>
    <row r="31" customFormat="false" ht="15" hidden="false" customHeight="false" outlineLevel="0" collapsed="false">
      <c r="A31" s="2" t="s">
        <v>142</v>
      </c>
      <c r="B31" s="3" t="s">
        <v>143</v>
      </c>
      <c r="C31" s="2" t="s">
        <v>27</v>
      </c>
      <c r="D31" s="2" t="s">
        <v>144</v>
      </c>
      <c r="E31" s="2" t="s">
        <v>145</v>
      </c>
      <c r="F31" s="2" t="s">
        <v>42</v>
      </c>
      <c r="G31" s="2" t="n">
        <v>212</v>
      </c>
      <c r="H31" s="2" t="n">
        <v>45000</v>
      </c>
      <c r="I31" s="2" t="s">
        <v>31</v>
      </c>
      <c r="J31" s="2" t="n">
        <v>10</v>
      </c>
      <c r="K31" s="3" t="s">
        <v>146</v>
      </c>
      <c r="L31" s="5"/>
      <c r="M31" s="5"/>
      <c r="N31" s="5"/>
    </row>
    <row r="32" customFormat="false" ht="15" hidden="false" customHeight="false" outlineLevel="0" collapsed="false">
      <c r="A32" s="2" t="s">
        <v>147</v>
      </c>
      <c r="B32" s="3" t="s">
        <v>148</v>
      </c>
      <c r="C32" s="2" t="s">
        <v>20</v>
      </c>
      <c r="D32" s="2" t="s">
        <v>149</v>
      </c>
      <c r="E32" s="2" t="s">
        <v>51</v>
      </c>
      <c r="F32" s="2" t="s">
        <v>23</v>
      </c>
      <c r="G32" s="2" t="n">
        <v>224</v>
      </c>
      <c r="H32" s="2" t="n">
        <v>500000</v>
      </c>
      <c r="I32" s="2" t="s">
        <v>31</v>
      </c>
      <c r="J32" s="2" t="n">
        <v>5</v>
      </c>
      <c r="K32" s="3" t="s">
        <v>150</v>
      </c>
      <c r="L32" s="5"/>
      <c r="M32" s="5"/>
      <c r="N32" s="5"/>
    </row>
    <row r="33" customFormat="false" ht="15" hidden="false" customHeight="false" outlineLevel="0" collapsed="false">
      <c r="A33" s="2" t="s">
        <v>151</v>
      </c>
      <c r="B33" s="3" t="s">
        <v>152</v>
      </c>
      <c r="C33" s="2" t="s">
        <v>54</v>
      </c>
      <c r="D33" s="2" t="s">
        <v>153</v>
      </c>
      <c r="E33" s="2" t="s">
        <v>64</v>
      </c>
      <c r="F33" s="2" t="s">
        <v>65</v>
      </c>
      <c r="G33" s="2" t="n">
        <v>451</v>
      </c>
      <c r="H33" s="2" t="n">
        <v>1200000</v>
      </c>
      <c r="I33" s="2" t="s">
        <v>31</v>
      </c>
      <c r="J33" s="2" t="n">
        <v>7</v>
      </c>
      <c r="K33" s="3" t="s">
        <v>154</v>
      </c>
      <c r="L33" s="5"/>
      <c r="M33" s="5"/>
      <c r="N33" s="5"/>
    </row>
    <row r="34" customFormat="false" ht="15" hidden="false" customHeight="false" outlineLevel="0" collapsed="false">
      <c r="A34" s="2" t="s">
        <v>155</v>
      </c>
      <c r="B34" s="3" t="s">
        <v>156</v>
      </c>
      <c r="C34" s="2" t="s">
        <v>54</v>
      </c>
      <c r="D34" s="2" t="s">
        <v>157</v>
      </c>
      <c r="E34" s="2" t="s">
        <v>158</v>
      </c>
      <c r="F34" s="2" t="s">
        <v>89</v>
      </c>
      <c r="G34" s="2" t="n">
        <v>499</v>
      </c>
      <c r="H34" s="2" t="n">
        <v>250000</v>
      </c>
      <c r="I34" s="2" t="s">
        <v>24</v>
      </c>
      <c r="J34" s="2" t="n">
        <v>14</v>
      </c>
      <c r="K34" s="3"/>
      <c r="L34" s="5"/>
      <c r="M34" s="5"/>
      <c r="N34" s="5"/>
    </row>
    <row r="35" customFormat="false" ht="15" hidden="false" customHeight="false" outlineLevel="0" collapsed="false">
      <c r="A35" s="2" t="s">
        <v>159</v>
      </c>
      <c r="B35" s="3" t="s">
        <v>160</v>
      </c>
      <c r="C35" s="2" t="s">
        <v>20</v>
      </c>
      <c r="D35" s="2" t="s">
        <v>161</v>
      </c>
      <c r="E35" s="2" t="s">
        <v>162</v>
      </c>
      <c r="F35" s="2" t="s">
        <v>16</v>
      </c>
      <c r="G35" s="2" t="n">
        <v>437</v>
      </c>
      <c r="H35" s="2" t="n">
        <v>850000</v>
      </c>
      <c r="I35" s="2" t="s">
        <v>24</v>
      </c>
      <c r="J35" s="2" t="n">
        <v>7</v>
      </c>
      <c r="K35" s="3"/>
      <c r="L35" s="5"/>
      <c r="M35" s="5"/>
      <c r="N35" s="5"/>
    </row>
    <row r="36" customFormat="false" ht="15" hidden="false" customHeight="false" outlineLevel="0" collapsed="false">
      <c r="A36" s="2" t="s">
        <v>163</v>
      </c>
      <c r="B36" s="3" t="s">
        <v>164</v>
      </c>
      <c r="C36" s="2" t="s">
        <v>20</v>
      </c>
      <c r="D36" s="2" t="s">
        <v>165</v>
      </c>
      <c r="E36" s="2" t="s">
        <v>15</v>
      </c>
      <c r="F36" s="2" t="s">
        <v>16</v>
      </c>
      <c r="G36" s="2" t="n">
        <v>65</v>
      </c>
      <c r="H36" s="2" t="n">
        <v>75000</v>
      </c>
      <c r="I36" s="2" t="s">
        <v>31</v>
      </c>
      <c r="J36" s="2" t="n">
        <v>5</v>
      </c>
      <c r="K36" s="3" t="s">
        <v>166</v>
      </c>
      <c r="L36" s="5"/>
      <c r="M36" s="5"/>
      <c r="N36" s="5"/>
    </row>
    <row r="37" customFormat="false" ht="15" hidden="false" customHeight="false" outlineLevel="0" collapsed="false">
      <c r="A37" s="2" t="s">
        <v>167</v>
      </c>
      <c r="B37" s="3" t="s">
        <v>129</v>
      </c>
      <c r="C37" s="2" t="s">
        <v>77</v>
      </c>
      <c r="D37" s="2" t="s">
        <v>168</v>
      </c>
      <c r="E37" s="2" t="s">
        <v>110</v>
      </c>
      <c r="F37" s="2" t="s">
        <v>65</v>
      </c>
      <c r="G37" s="2" t="n">
        <v>310</v>
      </c>
      <c r="H37" s="2" t="n">
        <v>45000</v>
      </c>
      <c r="I37" s="2" t="s">
        <v>24</v>
      </c>
      <c r="J37" s="2" t="n">
        <v>10</v>
      </c>
      <c r="K37" s="3"/>
      <c r="L37" s="5"/>
      <c r="M37" s="5"/>
      <c r="N37" s="5"/>
    </row>
    <row r="38" customFormat="false" ht="15" hidden="false" customHeight="false" outlineLevel="0" collapsed="false">
      <c r="A38" s="2" t="s">
        <v>169</v>
      </c>
      <c r="B38" s="3" t="s">
        <v>44</v>
      </c>
      <c r="C38" s="2" t="s">
        <v>96</v>
      </c>
      <c r="D38" s="2" t="s">
        <v>170</v>
      </c>
      <c r="E38" s="2" t="s">
        <v>114</v>
      </c>
      <c r="F38" s="2" t="s">
        <v>30</v>
      </c>
      <c r="G38" s="2" t="n">
        <v>475</v>
      </c>
      <c r="H38" s="2" t="n">
        <v>45000</v>
      </c>
      <c r="I38" s="2" t="s">
        <v>24</v>
      </c>
      <c r="J38" s="2" t="n">
        <v>10</v>
      </c>
      <c r="K38" s="3"/>
      <c r="L38" s="5"/>
      <c r="M38" s="5"/>
      <c r="N38" s="5"/>
    </row>
    <row r="39" customFormat="false" ht="15" hidden="false" customHeight="false" outlineLevel="0" collapsed="false">
      <c r="A39" s="2" t="s">
        <v>171</v>
      </c>
      <c r="B39" s="3" t="s">
        <v>172</v>
      </c>
      <c r="C39" s="2" t="s">
        <v>77</v>
      </c>
      <c r="D39" s="2" t="s">
        <v>173</v>
      </c>
      <c r="E39" s="2" t="s">
        <v>106</v>
      </c>
      <c r="F39" s="2" t="s">
        <v>23</v>
      </c>
      <c r="G39" s="2" t="n">
        <v>235</v>
      </c>
      <c r="H39" s="2" t="n">
        <v>15000</v>
      </c>
      <c r="I39" s="2" t="s">
        <v>47</v>
      </c>
      <c r="J39" s="2" t="n">
        <v>3</v>
      </c>
      <c r="K39" s="3"/>
      <c r="L39" s="5"/>
      <c r="M39" s="5"/>
      <c r="N39" s="5"/>
    </row>
    <row r="40" customFormat="false" ht="15" hidden="false" customHeight="false" outlineLevel="0" collapsed="false">
      <c r="A40" s="2" t="s">
        <v>174</v>
      </c>
      <c r="B40" s="3" t="s">
        <v>175</v>
      </c>
      <c r="C40" s="2" t="s">
        <v>77</v>
      </c>
      <c r="D40" s="2" t="s">
        <v>176</v>
      </c>
      <c r="E40" s="2" t="s">
        <v>51</v>
      </c>
      <c r="F40" s="2" t="s">
        <v>23</v>
      </c>
      <c r="G40" s="2" t="n">
        <v>263</v>
      </c>
      <c r="H40" s="2" t="n">
        <v>850000</v>
      </c>
      <c r="I40" s="2" t="s">
        <v>31</v>
      </c>
      <c r="J40" s="2" t="n">
        <v>10</v>
      </c>
      <c r="K40" s="3" t="s">
        <v>177</v>
      </c>
      <c r="L40" s="5"/>
      <c r="M40" s="5"/>
      <c r="N40" s="5"/>
    </row>
    <row r="41" customFormat="false" ht="15" hidden="false" customHeight="false" outlineLevel="0" collapsed="false">
      <c r="A41" s="2" t="s">
        <v>178</v>
      </c>
      <c r="B41" s="3" t="s">
        <v>179</v>
      </c>
      <c r="C41" s="2" t="s">
        <v>96</v>
      </c>
      <c r="D41" s="2" t="s">
        <v>180</v>
      </c>
      <c r="E41" s="2" t="s">
        <v>145</v>
      </c>
      <c r="F41" s="2" t="s">
        <v>42</v>
      </c>
      <c r="G41" s="2" t="n">
        <v>294</v>
      </c>
      <c r="H41" s="2" t="n">
        <v>15000</v>
      </c>
      <c r="I41" s="2" t="s">
        <v>47</v>
      </c>
      <c r="J41" s="2" t="n">
        <v>5</v>
      </c>
      <c r="K41" s="3"/>
      <c r="L41" s="5"/>
      <c r="M41" s="5"/>
      <c r="N41" s="5"/>
    </row>
    <row r="42" customFormat="false" ht="15" hidden="false" customHeight="false" outlineLevel="0" collapsed="false">
      <c r="A42" s="2" t="s">
        <v>181</v>
      </c>
      <c r="B42" s="3" t="s">
        <v>67</v>
      </c>
      <c r="C42" s="2" t="s">
        <v>182</v>
      </c>
      <c r="D42" s="2" t="s">
        <v>183</v>
      </c>
      <c r="E42" s="2" t="s">
        <v>184</v>
      </c>
      <c r="F42" s="2" t="s">
        <v>89</v>
      </c>
      <c r="G42" s="2" t="n">
        <v>152</v>
      </c>
      <c r="H42" s="2" t="n">
        <v>45000</v>
      </c>
      <c r="I42" s="2" t="s">
        <v>47</v>
      </c>
      <c r="J42" s="2" t="n">
        <v>14</v>
      </c>
      <c r="K42" s="3"/>
      <c r="L42" s="5"/>
      <c r="M42" s="5"/>
      <c r="N42" s="5"/>
    </row>
    <row r="43" customFormat="false" ht="15" hidden="false" customHeight="false" outlineLevel="0" collapsed="false">
      <c r="A43" s="2" t="s">
        <v>185</v>
      </c>
      <c r="B43" s="3" t="s">
        <v>186</v>
      </c>
      <c r="C43" s="2" t="s">
        <v>72</v>
      </c>
      <c r="D43" s="2" t="s">
        <v>187</v>
      </c>
      <c r="E43" s="2" t="s">
        <v>64</v>
      </c>
      <c r="F43" s="2" t="s">
        <v>65</v>
      </c>
      <c r="G43" s="2" t="n">
        <v>63</v>
      </c>
      <c r="H43" s="2" t="n">
        <v>120000</v>
      </c>
      <c r="I43" s="2" t="s">
        <v>47</v>
      </c>
      <c r="J43" s="2" t="n">
        <v>7</v>
      </c>
      <c r="K43" s="3"/>
      <c r="L43" s="5"/>
      <c r="M43" s="5"/>
      <c r="N43" s="5"/>
    </row>
    <row r="44" customFormat="false" ht="15" hidden="false" customHeight="false" outlineLevel="0" collapsed="false">
      <c r="A44" s="2" t="s">
        <v>188</v>
      </c>
      <c r="B44" s="3" t="s">
        <v>189</v>
      </c>
      <c r="C44" s="2" t="s">
        <v>182</v>
      </c>
      <c r="D44" s="2" t="s">
        <v>190</v>
      </c>
      <c r="E44" s="2" t="s">
        <v>46</v>
      </c>
      <c r="F44" s="2" t="s">
        <v>30</v>
      </c>
      <c r="G44" s="2" t="n">
        <v>116</v>
      </c>
      <c r="H44" s="2" t="n">
        <v>500000</v>
      </c>
      <c r="I44" s="2" t="s">
        <v>31</v>
      </c>
      <c r="J44" s="2" t="n">
        <v>5</v>
      </c>
      <c r="K44" s="3" t="s">
        <v>191</v>
      </c>
      <c r="L44" s="5"/>
      <c r="M44" s="5"/>
      <c r="N44" s="5"/>
    </row>
    <row r="45" customFormat="false" ht="15" hidden="false" customHeight="false" outlineLevel="0" collapsed="false">
      <c r="A45" s="2" t="s">
        <v>192</v>
      </c>
      <c r="B45" s="3" t="s">
        <v>193</v>
      </c>
      <c r="C45" s="2" t="s">
        <v>96</v>
      </c>
      <c r="D45" s="2" t="s">
        <v>194</v>
      </c>
      <c r="E45" s="2" t="s">
        <v>133</v>
      </c>
      <c r="F45" s="2" t="s">
        <v>89</v>
      </c>
      <c r="G45" s="2" t="n">
        <v>423</v>
      </c>
      <c r="H45" s="2" t="n">
        <v>25000</v>
      </c>
      <c r="I45" s="2" t="s">
        <v>31</v>
      </c>
      <c r="J45" s="2" t="n">
        <v>3</v>
      </c>
      <c r="K45" s="3" t="s">
        <v>150</v>
      </c>
      <c r="L45" s="5"/>
      <c r="M45" s="5"/>
      <c r="N45" s="5"/>
    </row>
    <row r="46" customFormat="false" ht="15" hidden="false" customHeight="false" outlineLevel="0" collapsed="false">
      <c r="A46" s="2" t="s">
        <v>195</v>
      </c>
      <c r="B46" s="3" t="s">
        <v>196</v>
      </c>
      <c r="C46" s="2" t="s">
        <v>20</v>
      </c>
      <c r="D46" s="2" t="s">
        <v>197</v>
      </c>
      <c r="E46" s="2" t="s">
        <v>198</v>
      </c>
      <c r="F46" s="2" t="s">
        <v>30</v>
      </c>
      <c r="G46" s="2" t="n">
        <v>368</v>
      </c>
      <c r="H46" s="2" t="n">
        <v>500000</v>
      </c>
      <c r="I46" s="2" t="s">
        <v>31</v>
      </c>
      <c r="J46" s="2" t="n">
        <v>5</v>
      </c>
      <c r="K46" s="3" t="s">
        <v>199</v>
      </c>
      <c r="L46" s="5"/>
      <c r="M46" s="5"/>
      <c r="N46" s="5"/>
    </row>
    <row r="47" customFormat="false" ht="15" hidden="false" customHeight="false" outlineLevel="0" collapsed="false">
      <c r="A47" s="2" t="s">
        <v>200</v>
      </c>
      <c r="B47" s="3" t="s">
        <v>201</v>
      </c>
      <c r="C47" s="2" t="s">
        <v>182</v>
      </c>
      <c r="D47" s="2" t="s">
        <v>202</v>
      </c>
      <c r="E47" s="2" t="s">
        <v>203</v>
      </c>
      <c r="F47" s="2" t="s">
        <v>65</v>
      </c>
      <c r="G47" s="2" t="n">
        <v>148</v>
      </c>
      <c r="H47" s="2" t="n">
        <v>1200000</v>
      </c>
      <c r="I47" s="2" t="s">
        <v>31</v>
      </c>
      <c r="J47" s="2" t="n">
        <v>7</v>
      </c>
      <c r="K47" s="3" t="s">
        <v>204</v>
      </c>
      <c r="L47" s="5"/>
      <c r="M47" s="5"/>
      <c r="N47" s="5"/>
    </row>
    <row r="48" customFormat="false" ht="15" hidden="false" customHeight="false" outlineLevel="0" collapsed="false">
      <c r="A48" s="2" t="s">
        <v>205</v>
      </c>
      <c r="B48" s="3" t="s">
        <v>206</v>
      </c>
      <c r="C48" s="2" t="s">
        <v>39</v>
      </c>
      <c r="D48" s="2" t="s">
        <v>207</v>
      </c>
      <c r="E48" s="2" t="s">
        <v>64</v>
      </c>
      <c r="F48" s="2" t="s">
        <v>65</v>
      </c>
      <c r="G48" s="2" t="n">
        <v>497</v>
      </c>
      <c r="H48" s="2" t="n">
        <v>500000</v>
      </c>
      <c r="I48" s="2" t="s">
        <v>17</v>
      </c>
      <c r="J48" s="2" t="n">
        <v>7</v>
      </c>
      <c r="K48" s="3"/>
      <c r="L48" s="5"/>
      <c r="M48" s="5"/>
      <c r="N48" s="5"/>
    </row>
    <row r="49" customFormat="false" ht="15" hidden="false" customHeight="false" outlineLevel="0" collapsed="false">
      <c r="A49" s="2" t="s">
        <v>208</v>
      </c>
      <c r="B49" s="3" t="s">
        <v>209</v>
      </c>
      <c r="C49" s="2" t="s">
        <v>77</v>
      </c>
      <c r="D49" s="2" t="s">
        <v>210</v>
      </c>
      <c r="E49" s="2" t="s">
        <v>29</v>
      </c>
      <c r="F49" s="2" t="s">
        <v>30</v>
      </c>
      <c r="G49" s="2" t="n">
        <v>79</v>
      </c>
      <c r="H49" s="2" t="n">
        <v>250000</v>
      </c>
      <c r="I49" s="2" t="s">
        <v>47</v>
      </c>
      <c r="J49" s="2" t="n">
        <v>10</v>
      </c>
      <c r="K49" s="3"/>
      <c r="L49" s="5"/>
      <c r="M49" s="5"/>
      <c r="N49" s="5"/>
    </row>
    <row r="50" customFormat="false" ht="15" hidden="false" customHeight="false" outlineLevel="0" collapsed="false">
      <c r="A50" s="2" t="s">
        <v>211</v>
      </c>
      <c r="B50" s="3" t="s">
        <v>212</v>
      </c>
      <c r="C50" s="2" t="s">
        <v>77</v>
      </c>
      <c r="D50" s="2" t="s">
        <v>213</v>
      </c>
      <c r="E50" s="2" t="s">
        <v>203</v>
      </c>
      <c r="F50" s="2" t="s">
        <v>65</v>
      </c>
      <c r="G50" s="2" t="n">
        <v>217</v>
      </c>
      <c r="H50" s="2" t="n">
        <v>500000</v>
      </c>
      <c r="I50" s="2" t="s">
        <v>31</v>
      </c>
      <c r="J50" s="2" t="n">
        <v>3</v>
      </c>
      <c r="K50" s="3" t="s">
        <v>214</v>
      </c>
      <c r="L50" s="5"/>
      <c r="M50" s="5"/>
      <c r="N50" s="5"/>
    </row>
    <row r="51" customFormat="false" ht="15" hidden="false" customHeight="false" outlineLevel="0" collapsed="false">
      <c r="A51" s="2" t="s">
        <v>215</v>
      </c>
      <c r="B51" s="3" t="s">
        <v>216</v>
      </c>
      <c r="C51" s="2" t="s">
        <v>39</v>
      </c>
      <c r="D51" s="2" t="s">
        <v>217</v>
      </c>
      <c r="E51" s="2" t="s">
        <v>198</v>
      </c>
      <c r="F51" s="2" t="s">
        <v>30</v>
      </c>
      <c r="G51" s="2" t="n">
        <v>491</v>
      </c>
      <c r="H51" s="2" t="n">
        <v>850000</v>
      </c>
      <c r="I51" s="2" t="s">
        <v>31</v>
      </c>
      <c r="J51" s="2" t="n">
        <v>3</v>
      </c>
      <c r="K51" s="3" t="s">
        <v>218</v>
      </c>
      <c r="L51" s="5"/>
      <c r="M51" s="5"/>
      <c r="N51" s="5"/>
    </row>
    <row r="52" customFormat="false" ht="15" hidden="false" customHeight="false" outlineLevel="0" collapsed="false">
      <c r="A52" s="2" t="s">
        <v>219</v>
      </c>
      <c r="B52" s="3" t="s">
        <v>156</v>
      </c>
      <c r="C52" s="2" t="s">
        <v>13</v>
      </c>
      <c r="D52" s="2" t="s">
        <v>220</v>
      </c>
      <c r="E52" s="2" t="s">
        <v>119</v>
      </c>
      <c r="F52" s="2" t="s">
        <v>16</v>
      </c>
      <c r="G52" s="2" t="n">
        <v>116</v>
      </c>
      <c r="H52" s="2" t="n">
        <v>500000</v>
      </c>
      <c r="I52" s="2" t="s">
        <v>47</v>
      </c>
      <c r="J52" s="2" t="n">
        <v>10</v>
      </c>
      <c r="K52" s="3"/>
      <c r="L52" s="5"/>
      <c r="M52" s="5"/>
      <c r="N52" s="5"/>
    </row>
    <row r="53" customFormat="false" ht="15" hidden="false" customHeight="false" outlineLevel="0" collapsed="false">
      <c r="A53" s="2" t="s">
        <v>221</v>
      </c>
      <c r="B53" s="3" t="s">
        <v>222</v>
      </c>
      <c r="C53" s="2" t="s">
        <v>13</v>
      </c>
      <c r="D53" s="2" t="s">
        <v>223</v>
      </c>
      <c r="E53" s="2" t="s">
        <v>133</v>
      </c>
      <c r="F53" s="2" t="s">
        <v>89</v>
      </c>
      <c r="G53" s="2" t="n">
        <v>300</v>
      </c>
      <c r="H53" s="2" t="n">
        <v>45000</v>
      </c>
      <c r="I53" s="2" t="s">
        <v>24</v>
      </c>
      <c r="J53" s="2" t="n">
        <v>10</v>
      </c>
      <c r="K53" s="3"/>
      <c r="L53" s="5"/>
      <c r="M53" s="5"/>
      <c r="N53" s="5"/>
    </row>
    <row r="54" customFormat="false" ht="15" hidden="false" customHeight="false" outlineLevel="0" collapsed="false">
      <c r="A54" s="2" t="s">
        <v>224</v>
      </c>
      <c r="B54" s="3" t="s">
        <v>139</v>
      </c>
      <c r="C54" s="2" t="s">
        <v>182</v>
      </c>
      <c r="D54" s="2" t="s">
        <v>225</v>
      </c>
      <c r="E54" s="2" t="s">
        <v>56</v>
      </c>
      <c r="F54" s="2" t="s">
        <v>16</v>
      </c>
      <c r="G54" s="2" t="n">
        <v>406</v>
      </c>
      <c r="H54" s="2" t="n">
        <v>850000</v>
      </c>
      <c r="I54" s="2" t="s">
        <v>31</v>
      </c>
      <c r="J54" s="2" t="n">
        <v>5</v>
      </c>
      <c r="K54" s="3" t="s">
        <v>226</v>
      </c>
      <c r="L54" s="5"/>
      <c r="M54" s="5"/>
      <c r="N54" s="5"/>
    </row>
    <row r="55" customFormat="false" ht="15" hidden="false" customHeight="false" outlineLevel="0" collapsed="false">
      <c r="A55" s="2" t="s">
        <v>227</v>
      </c>
      <c r="B55" s="3" t="s">
        <v>228</v>
      </c>
      <c r="C55" s="2" t="s">
        <v>182</v>
      </c>
      <c r="D55" s="2" t="s">
        <v>229</v>
      </c>
      <c r="E55" s="2" t="s">
        <v>145</v>
      </c>
      <c r="F55" s="2" t="s">
        <v>42</v>
      </c>
      <c r="G55" s="2" t="n">
        <v>470</v>
      </c>
      <c r="H55" s="2" t="n">
        <v>45000</v>
      </c>
      <c r="I55" s="2" t="s">
        <v>47</v>
      </c>
      <c r="J55" s="2" t="n">
        <v>7</v>
      </c>
      <c r="K55" s="3"/>
      <c r="L55" s="5"/>
      <c r="M55" s="5"/>
      <c r="N55" s="5"/>
    </row>
    <row r="56" customFormat="false" ht="15" hidden="false" customHeight="false" outlineLevel="0" collapsed="false">
      <c r="A56" s="2" t="s">
        <v>230</v>
      </c>
      <c r="B56" s="3" t="s">
        <v>231</v>
      </c>
      <c r="C56" s="2" t="s">
        <v>39</v>
      </c>
      <c r="D56" s="2" t="s">
        <v>232</v>
      </c>
      <c r="E56" s="2" t="s">
        <v>162</v>
      </c>
      <c r="F56" s="2" t="s">
        <v>16</v>
      </c>
      <c r="G56" s="2" t="n">
        <v>47</v>
      </c>
      <c r="H56" s="2" t="n">
        <v>250000</v>
      </c>
      <c r="I56" s="2" t="s">
        <v>24</v>
      </c>
      <c r="J56" s="2" t="n">
        <v>5</v>
      </c>
      <c r="K56" s="3"/>
      <c r="L56" s="5"/>
      <c r="M56" s="5"/>
      <c r="N56" s="5"/>
    </row>
    <row r="57" customFormat="false" ht="15" hidden="false" customHeight="false" outlineLevel="0" collapsed="false">
      <c r="A57" s="2" t="s">
        <v>233</v>
      </c>
      <c r="B57" s="3" t="s">
        <v>115</v>
      </c>
      <c r="C57" s="2" t="s">
        <v>27</v>
      </c>
      <c r="D57" s="2" t="s">
        <v>234</v>
      </c>
      <c r="E57" s="2" t="s">
        <v>198</v>
      </c>
      <c r="F57" s="2" t="s">
        <v>30</v>
      </c>
      <c r="G57" s="2" t="n">
        <v>363</v>
      </c>
      <c r="H57" s="2" t="n">
        <v>75000</v>
      </c>
      <c r="I57" s="2" t="s">
        <v>31</v>
      </c>
      <c r="J57" s="2" t="n">
        <v>3</v>
      </c>
      <c r="K57" s="3" t="s">
        <v>235</v>
      </c>
      <c r="L57" s="5"/>
      <c r="M57" s="5"/>
      <c r="N57" s="5"/>
    </row>
    <row r="58" customFormat="false" ht="15" hidden="false" customHeight="false" outlineLevel="0" collapsed="false">
      <c r="A58" s="2" t="s">
        <v>236</v>
      </c>
      <c r="B58" s="3" t="s">
        <v>237</v>
      </c>
      <c r="C58" s="2" t="s">
        <v>82</v>
      </c>
      <c r="D58" s="2" t="s">
        <v>238</v>
      </c>
      <c r="E58" s="2" t="s">
        <v>69</v>
      </c>
      <c r="F58" s="2" t="s">
        <v>42</v>
      </c>
      <c r="G58" s="2" t="n">
        <v>308</v>
      </c>
      <c r="H58" s="2" t="n">
        <v>75000</v>
      </c>
      <c r="I58" s="2" t="s">
        <v>31</v>
      </c>
      <c r="J58" s="2" t="n">
        <v>10</v>
      </c>
      <c r="K58" s="3" t="s">
        <v>239</v>
      </c>
      <c r="L58" s="5"/>
      <c r="M58" s="5"/>
      <c r="N58" s="5"/>
    </row>
    <row r="59" customFormat="false" ht="15" hidden="false" customHeight="false" outlineLevel="0" collapsed="false">
      <c r="A59" s="2" t="s">
        <v>240</v>
      </c>
      <c r="B59" s="3" t="s">
        <v>241</v>
      </c>
      <c r="C59" s="2" t="s">
        <v>13</v>
      </c>
      <c r="D59" s="2" t="s">
        <v>242</v>
      </c>
      <c r="E59" s="2" t="s">
        <v>243</v>
      </c>
      <c r="F59" s="2" t="s">
        <v>16</v>
      </c>
      <c r="G59" s="2" t="n">
        <v>72</v>
      </c>
      <c r="H59" s="2" t="n">
        <v>850000</v>
      </c>
      <c r="I59" s="2" t="s">
        <v>31</v>
      </c>
      <c r="J59" s="2" t="n">
        <v>10</v>
      </c>
      <c r="K59" s="3" t="s">
        <v>90</v>
      </c>
      <c r="L59" s="5"/>
      <c r="M59" s="5"/>
      <c r="N59" s="5"/>
    </row>
    <row r="60" customFormat="false" ht="15" hidden="false" customHeight="false" outlineLevel="0" collapsed="false">
      <c r="A60" s="2" t="s">
        <v>244</v>
      </c>
      <c r="B60" s="3" t="s">
        <v>245</v>
      </c>
      <c r="C60" s="2" t="s">
        <v>54</v>
      </c>
      <c r="D60" s="2" t="s">
        <v>246</v>
      </c>
      <c r="E60" s="2" t="s">
        <v>133</v>
      </c>
      <c r="F60" s="2" t="s">
        <v>89</v>
      </c>
      <c r="G60" s="2" t="n">
        <v>75</v>
      </c>
      <c r="H60" s="2" t="n">
        <v>500000</v>
      </c>
      <c r="I60" s="2" t="s">
        <v>47</v>
      </c>
      <c r="J60" s="2" t="n">
        <v>5</v>
      </c>
      <c r="K60" s="3"/>
      <c r="L60" s="5"/>
      <c r="M60" s="5"/>
      <c r="N60" s="5"/>
    </row>
    <row r="61" customFormat="false" ht="15" hidden="false" customHeight="false" outlineLevel="0" collapsed="false">
      <c r="A61" s="2" t="s">
        <v>247</v>
      </c>
      <c r="B61" s="3" t="s">
        <v>248</v>
      </c>
      <c r="C61" s="2" t="s">
        <v>77</v>
      </c>
      <c r="D61" s="2" t="s">
        <v>249</v>
      </c>
      <c r="E61" s="2" t="s">
        <v>119</v>
      </c>
      <c r="F61" s="2" t="s">
        <v>16</v>
      </c>
      <c r="G61" s="2" t="n">
        <v>9</v>
      </c>
      <c r="H61" s="2" t="n">
        <v>45000</v>
      </c>
      <c r="I61" s="2" t="s">
        <v>31</v>
      </c>
      <c r="J61" s="2" t="n">
        <v>5</v>
      </c>
      <c r="K61" s="3" t="s">
        <v>250</v>
      </c>
      <c r="L61" s="5"/>
      <c r="M61" s="5"/>
      <c r="N61" s="5"/>
    </row>
    <row r="62" customFormat="false" ht="15" hidden="false" customHeight="false" outlineLevel="0" collapsed="false">
      <c r="A62" s="2" t="s">
        <v>251</v>
      </c>
      <c r="B62" s="3" t="s">
        <v>252</v>
      </c>
      <c r="C62" s="2" t="s">
        <v>20</v>
      </c>
      <c r="D62" s="2" t="s">
        <v>253</v>
      </c>
      <c r="E62" s="2" t="s">
        <v>46</v>
      </c>
      <c r="F62" s="2" t="s">
        <v>30</v>
      </c>
      <c r="G62" s="2" t="n">
        <v>116</v>
      </c>
      <c r="H62" s="2" t="n">
        <v>25000</v>
      </c>
      <c r="I62" s="2" t="s">
        <v>47</v>
      </c>
      <c r="J62" s="2" t="n">
        <v>5</v>
      </c>
      <c r="K62" s="3"/>
      <c r="L62" s="5"/>
      <c r="M62" s="5"/>
      <c r="N62" s="5"/>
    </row>
    <row r="63" customFormat="false" ht="15" hidden="false" customHeight="false" outlineLevel="0" collapsed="false">
      <c r="A63" s="2" t="s">
        <v>254</v>
      </c>
      <c r="B63" s="3" t="s">
        <v>255</v>
      </c>
      <c r="C63" s="2" t="s">
        <v>20</v>
      </c>
      <c r="D63" s="2" t="s">
        <v>256</v>
      </c>
      <c r="E63" s="2" t="s">
        <v>46</v>
      </c>
      <c r="F63" s="2" t="s">
        <v>30</v>
      </c>
      <c r="G63" s="2" t="n">
        <v>498</v>
      </c>
      <c r="H63" s="2" t="n">
        <v>500000</v>
      </c>
      <c r="I63" s="2" t="s">
        <v>31</v>
      </c>
      <c r="J63" s="2" t="n">
        <v>5</v>
      </c>
      <c r="K63" s="3" t="s">
        <v>257</v>
      </c>
      <c r="L63" s="5"/>
      <c r="M63" s="5"/>
      <c r="N63" s="5"/>
    </row>
    <row r="64" customFormat="false" ht="15" hidden="false" customHeight="false" outlineLevel="0" collapsed="false">
      <c r="A64" s="2" t="s">
        <v>258</v>
      </c>
      <c r="B64" s="3" t="s">
        <v>259</v>
      </c>
      <c r="C64" s="2" t="s">
        <v>54</v>
      </c>
      <c r="D64" s="2" t="s">
        <v>260</v>
      </c>
      <c r="E64" s="2" t="s">
        <v>22</v>
      </c>
      <c r="F64" s="2" t="s">
        <v>23</v>
      </c>
      <c r="G64" s="2" t="n">
        <v>312</v>
      </c>
      <c r="H64" s="2" t="n">
        <v>120000</v>
      </c>
      <c r="I64" s="2" t="s">
        <v>47</v>
      </c>
      <c r="J64" s="2" t="n">
        <v>3</v>
      </c>
      <c r="K64" s="3"/>
      <c r="L64" s="5"/>
      <c r="M64" s="5"/>
      <c r="N64" s="5"/>
    </row>
    <row r="65" customFormat="false" ht="15" hidden="false" customHeight="false" outlineLevel="0" collapsed="false">
      <c r="A65" s="2" t="s">
        <v>261</v>
      </c>
      <c r="B65" s="3" t="s">
        <v>262</v>
      </c>
      <c r="C65" s="2" t="s">
        <v>39</v>
      </c>
      <c r="D65" s="2" t="s">
        <v>263</v>
      </c>
      <c r="E65" s="2" t="s">
        <v>22</v>
      </c>
      <c r="F65" s="2" t="s">
        <v>23</v>
      </c>
      <c r="G65" s="2" t="n">
        <v>265</v>
      </c>
      <c r="H65" s="2" t="n">
        <v>75000</v>
      </c>
      <c r="I65" s="2" t="s">
        <v>24</v>
      </c>
      <c r="J65" s="2" t="n">
        <v>7</v>
      </c>
      <c r="K65" s="3"/>
      <c r="L65" s="5"/>
      <c r="M65" s="5"/>
      <c r="N65" s="5"/>
    </row>
    <row r="66" customFormat="false" ht="15" hidden="false" customHeight="false" outlineLevel="0" collapsed="false">
      <c r="A66" s="2" t="s">
        <v>264</v>
      </c>
      <c r="B66" s="3" t="s">
        <v>265</v>
      </c>
      <c r="C66" s="2" t="s">
        <v>182</v>
      </c>
      <c r="D66" s="2" t="s">
        <v>266</v>
      </c>
      <c r="E66" s="2" t="s">
        <v>51</v>
      </c>
      <c r="F66" s="2" t="s">
        <v>23</v>
      </c>
      <c r="G66" s="2" t="n">
        <v>62</v>
      </c>
      <c r="H66" s="2" t="n">
        <v>75000</v>
      </c>
      <c r="I66" s="2" t="s">
        <v>31</v>
      </c>
      <c r="J66" s="2" t="n">
        <v>14</v>
      </c>
      <c r="K66" s="3" t="s">
        <v>267</v>
      </c>
      <c r="L66" s="5"/>
      <c r="M66" s="5"/>
      <c r="N66" s="5"/>
    </row>
    <row r="67" customFormat="false" ht="15" hidden="false" customHeight="false" outlineLevel="0" collapsed="false">
      <c r="A67" s="2" t="s">
        <v>268</v>
      </c>
      <c r="B67" s="3" t="s">
        <v>269</v>
      </c>
      <c r="C67" s="2" t="s">
        <v>182</v>
      </c>
      <c r="D67" s="2" t="s">
        <v>270</v>
      </c>
      <c r="E67" s="2" t="s">
        <v>133</v>
      </c>
      <c r="F67" s="2" t="s">
        <v>89</v>
      </c>
      <c r="G67" s="2" t="n">
        <v>203</v>
      </c>
      <c r="H67" s="2" t="n">
        <v>500000</v>
      </c>
      <c r="I67" s="2" t="s">
        <v>31</v>
      </c>
      <c r="J67" s="2" t="n">
        <v>5</v>
      </c>
      <c r="K67" s="3" t="s">
        <v>271</v>
      </c>
      <c r="L67" s="5"/>
      <c r="M67" s="5"/>
      <c r="N67" s="5"/>
    </row>
    <row r="68" customFormat="false" ht="15" hidden="false" customHeight="false" outlineLevel="0" collapsed="false">
      <c r="A68" s="2" t="s">
        <v>272</v>
      </c>
      <c r="B68" s="3" t="s">
        <v>108</v>
      </c>
      <c r="C68" s="2" t="s">
        <v>182</v>
      </c>
      <c r="D68" s="2" t="s">
        <v>273</v>
      </c>
      <c r="E68" s="2" t="s">
        <v>64</v>
      </c>
      <c r="F68" s="2" t="s">
        <v>65</v>
      </c>
      <c r="G68" s="2" t="n">
        <v>139</v>
      </c>
      <c r="H68" s="2" t="n">
        <v>75000</v>
      </c>
      <c r="I68" s="2" t="s">
        <v>31</v>
      </c>
      <c r="J68" s="2" t="n">
        <v>3</v>
      </c>
      <c r="K68" s="3" t="s">
        <v>274</v>
      </c>
      <c r="L68" s="5"/>
      <c r="M68" s="5"/>
      <c r="N68" s="5"/>
    </row>
    <row r="69" customFormat="false" ht="15" hidden="false" customHeight="false" outlineLevel="0" collapsed="false">
      <c r="A69" s="2" t="s">
        <v>275</v>
      </c>
      <c r="B69" s="3" t="s">
        <v>276</v>
      </c>
      <c r="C69" s="2" t="s">
        <v>39</v>
      </c>
      <c r="D69" s="2" t="s">
        <v>277</v>
      </c>
      <c r="E69" s="2" t="s">
        <v>114</v>
      </c>
      <c r="F69" s="2" t="s">
        <v>30</v>
      </c>
      <c r="G69" s="2" t="n">
        <v>217</v>
      </c>
      <c r="H69" s="2" t="n">
        <v>500000</v>
      </c>
      <c r="I69" s="2" t="s">
        <v>24</v>
      </c>
      <c r="J69" s="2" t="n">
        <v>3</v>
      </c>
      <c r="K69" s="3"/>
      <c r="L69" s="5"/>
      <c r="M69" s="5"/>
      <c r="N69" s="5"/>
    </row>
    <row r="70" customFormat="false" ht="15" hidden="false" customHeight="false" outlineLevel="0" collapsed="false">
      <c r="A70" s="2" t="s">
        <v>278</v>
      </c>
      <c r="B70" s="3" t="s">
        <v>279</v>
      </c>
      <c r="C70" s="2" t="s">
        <v>72</v>
      </c>
      <c r="D70" s="2" t="s">
        <v>280</v>
      </c>
      <c r="E70" s="2" t="s">
        <v>281</v>
      </c>
      <c r="F70" s="2" t="s">
        <v>65</v>
      </c>
      <c r="G70" s="2" t="n">
        <v>147</v>
      </c>
      <c r="H70" s="2" t="n">
        <v>25000</v>
      </c>
      <c r="I70" s="2" t="s">
        <v>31</v>
      </c>
      <c r="J70" s="2" t="n">
        <v>14</v>
      </c>
      <c r="K70" s="3" t="s">
        <v>282</v>
      </c>
      <c r="L70" s="5"/>
      <c r="M70" s="5"/>
      <c r="N70" s="5"/>
    </row>
    <row r="71" customFormat="false" ht="15" hidden="false" customHeight="false" outlineLevel="0" collapsed="false">
      <c r="A71" s="2" t="s">
        <v>283</v>
      </c>
      <c r="B71" s="3" t="s">
        <v>284</v>
      </c>
      <c r="C71" s="2" t="s">
        <v>72</v>
      </c>
      <c r="D71" s="2" t="s">
        <v>285</v>
      </c>
      <c r="E71" s="2" t="s">
        <v>158</v>
      </c>
      <c r="F71" s="2" t="s">
        <v>89</v>
      </c>
      <c r="G71" s="2" t="n">
        <v>329</v>
      </c>
      <c r="H71" s="2" t="n">
        <v>25000</v>
      </c>
      <c r="I71" s="2" t="s">
        <v>31</v>
      </c>
      <c r="J71" s="2" t="n">
        <v>10</v>
      </c>
      <c r="K71" s="3" t="s">
        <v>286</v>
      </c>
      <c r="L71" s="5"/>
      <c r="M71" s="5"/>
      <c r="N71" s="5"/>
    </row>
    <row r="72" customFormat="false" ht="15" hidden="false" customHeight="false" outlineLevel="0" collapsed="false">
      <c r="A72" s="2" t="s">
        <v>287</v>
      </c>
      <c r="B72" s="3" t="s">
        <v>288</v>
      </c>
      <c r="C72" s="2" t="s">
        <v>82</v>
      </c>
      <c r="D72" s="2" t="s">
        <v>289</v>
      </c>
      <c r="E72" s="2" t="s">
        <v>243</v>
      </c>
      <c r="F72" s="2" t="s">
        <v>16</v>
      </c>
      <c r="G72" s="2" t="n">
        <v>237</v>
      </c>
      <c r="H72" s="2" t="n">
        <v>15000</v>
      </c>
      <c r="I72" s="2" t="s">
        <v>31</v>
      </c>
      <c r="J72" s="2" t="n">
        <v>5</v>
      </c>
      <c r="K72" s="3" t="s">
        <v>290</v>
      </c>
      <c r="L72" s="5"/>
      <c r="M72" s="5"/>
      <c r="N72" s="5"/>
    </row>
    <row r="73" customFormat="false" ht="15" hidden="false" customHeight="false" outlineLevel="0" collapsed="false">
      <c r="A73" s="2" t="s">
        <v>291</v>
      </c>
      <c r="B73" s="3" t="s">
        <v>292</v>
      </c>
      <c r="C73" s="2" t="s">
        <v>77</v>
      </c>
      <c r="D73" s="2" t="s">
        <v>293</v>
      </c>
      <c r="E73" s="2" t="s">
        <v>294</v>
      </c>
      <c r="F73" s="2" t="s">
        <v>30</v>
      </c>
      <c r="G73" s="2" t="n">
        <v>259</v>
      </c>
      <c r="H73" s="2" t="n">
        <v>250000</v>
      </c>
      <c r="I73" s="2" t="s">
        <v>31</v>
      </c>
      <c r="J73" s="2" t="n">
        <v>7</v>
      </c>
      <c r="K73" s="3" t="s">
        <v>90</v>
      </c>
      <c r="L73" s="5"/>
      <c r="M73" s="5"/>
      <c r="N73" s="5"/>
    </row>
    <row r="74" customFormat="false" ht="15" hidden="false" customHeight="false" outlineLevel="0" collapsed="false">
      <c r="A74" s="2" t="s">
        <v>295</v>
      </c>
      <c r="B74" s="3" t="s">
        <v>296</v>
      </c>
      <c r="C74" s="2" t="s">
        <v>77</v>
      </c>
      <c r="D74" s="2" t="s">
        <v>297</v>
      </c>
      <c r="E74" s="2" t="s">
        <v>198</v>
      </c>
      <c r="F74" s="2" t="s">
        <v>30</v>
      </c>
      <c r="G74" s="2" t="n">
        <v>458</v>
      </c>
      <c r="H74" s="2" t="n">
        <v>25000</v>
      </c>
      <c r="I74" s="2" t="s">
        <v>47</v>
      </c>
      <c r="J74" s="2" t="n">
        <v>3</v>
      </c>
      <c r="K74" s="3"/>
      <c r="L74" s="5"/>
      <c r="M74" s="5"/>
      <c r="N74" s="5"/>
    </row>
    <row r="75" customFormat="false" ht="15" hidden="false" customHeight="false" outlineLevel="0" collapsed="false">
      <c r="A75" s="2" t="s">
        <v>298</v>
      </c>
      <c r="B75" s="3" t="s">
        <v>299</v>
      </c>
      <c r="C75" s="2" t="s">
        <v>27</v>
      </c>
      <c r="D75" s="2" t="s">
        <v>300</v>
      </c>
      <c r="E75" s="2" t="s">
        <v>88</v>
      </c>
      <c r="F75" s="2" t="s">
        <v>89</v>
      </c>
      <c r="G75" s="2" t="n">
        <v>139</v>
      </c>
      <c r="H75" s="2" t="n">
        <v>25000</v>
      </c>
      <c r="I75" s="2" t="s">
        <v>31</v>
      </c>
      <c r="J75" s="2" t="n">
        <v>14</v>
      </c>
      <c r="K75" s="3" t="s">
        <v>301</v>
      </c>
      <c r="L75" s="5"/>
      <c r="M75" s="5"/>
      <c r="N75" s="5"/>
    </row>
    <row r="76" customFormat="false" ht="15" hidden="false" customHeight="false" outlineLevel="0" collapsed="false">
      <c r="A76" s="2" t="s">
        <v>302</v>
      </c>
      <c r="B76" s="3" t="s">
        <v>235</v>
      </c>
      <c r="C76" s="2" t="s">
        <v>96</v>
      </c>
      <c r="D76" s="2" t="s">
        <v>303</v>
      </c>
      <c r="E76" s="2" t="s">
        <v>94</v>
      </c>
      <c r="F76" s="2" t="s">
        <v>65</v>
      </c>
      <c r="G76" s="2" t="n">
        <v>85</v>
      </c>
      <c r="H76" s="2" t="n">
        <v>120000</v>
      </c>
      <c r="I76" s="2" t="s">
        <v>47</v>
      </c>
      <c r="J76" s="2" t="n">
        <v>14</v>
      </c>
      <c r="K76" s="3"/>
      <c r="L76" s="5"/>
      <c r="M76" s="5"/>
      <c r="N76" s="5"/>
    </row>
    <row r="77" customFormat="false" ht="15" hidden="false" customHeight="false" outlineLevel="0" collapsed="false">
      <c r="A77" s="2" t="s">
        <v>304</v>
      </c>
      <c r="B77" s="3" t="s">
        <v>305</v>
      </c>
      <c r="C77" s="2" t="s">
        <v>54</v>
      </c>
      <c r="D77" s="2" t="s">
        <v>306</v>
      </c>
      <c r="E77" s="2" t="s">
        <v>22</v>
      </c>
      <c r="F77" s="2" t="s">
        <v>23</v>
      </c>
      <c r="G77" s="2" t="n">
        <v>27</v>
      </c>
      <c r="H77" s="2" t="n">
        <v>15000</v>
      </c>
      <c r="I77" s="2" t="s">
        <v>31</v>
      </c>
      <c r="J77" s="2" t="n">
        <v>10</v>
      </c>
      <c r="K77" s="3" t="s">
        <v>307</v>
      </c>
      <c r="L77" s="5"/>
      <c r="M77" s="5"/>
      <c r="N77" s="5"/>
    </row>
    <row r="78" customFormat="false" ht="15" hidden="false" customHeight="false" outlineLevel="0" collapsed="false">
      <c r="A78" s="2" t="s">
        <v>308</v>
      </c>
      <c r="B78" s="3" t="s">
        <v>309</v>
      </c>
      <c r="C78" s="2" t="s">
        <v>77</v>
      </c>
      <c r="D78" s="2" t="s">
        <v>310</v>
      </c>
      <c r="E78" s="2" t="s">
        <v>36</v>
      </c>
      <c r="F78" s="2" t="s">
        <v>23</v>
      </c>
      <c r="G78" s="2" t="n">
        <v>416</v>
      </c>
      <c r="H78" s="2" t="n">
        <v>500000</v>
      </c>
      <c r="I78" s="2" t="s">
        <v>31</v>
      </c>
      <c r="J78" s="2" t="n">
        <v>5</v>
      </c>
      <c r="K78" s="3" t="s">
        <v>311</v>
      </c>
      <c r="L78" s="5"/>
      <c r="M78" s="5"/>
      <c r="N78" s="5"/>
    </row>
    <row r="79" customFormat="false" ht="15" hidden="false" customHeight="false" outlineLevel="0" collapsed="false">
      <c r="A79" s="2" t="s">
        <v>312</v>
      </c>
      <c r="B79" s="3" t="s">
        <v>313</v>
      </c>
      <c r="C79" s="2" t="s">
        <v>39</v>
      </c>
      <c r="D79" s="2" t="s">
        <v>314</v>
      </c>
      <c r="E79" s="2" t="s">
        <v>119</v>
      </c>
      <c r="F79" s="2" t="s">
        <v>16</v>
      </c>
      <c r="G79" s="2" t="n">
        <v>66</v>
      </c>
      <c r="H79" s="2" t="n">
        <v>1200000</v>
      </c>
      <c r="I79" s="2" t="s">
        <v>24</v>
      </c>
      <c r="J79" s="2" t="n">
        <v>3</v>
      </c>
      <c r="K79" s="3"/>
      <c r="L79" s="5"/>
      <c r="M79" s="5"/>
      <c r="N79" s="5"/>
    </row>
    <row r="80" customFormat="false" ht="15" hidden="false" customHeight="false" outlineLevel="0" collapsed="false">
      <c r="A80" s="2" t="s">
        <v>315</v>
      </c>
      <c r="B80" s="3" t="s">
        <v>12</v>
      </c>
      <c r="C80" s="2" t="s">
        <v>82</v>
      </c>
      <c r="D80" s="2" t="s">
        <v>316</v>
      </c>
      <c r="E80" s="2" t="s">
        <v>64</v>
      </c>
      <c r="F80" s="2" t="s">
        <v>65</v>
      </c>
      <c r="G80" s="2" t="n">
        <v>40</v>
      </c>
      <c r="H80" s="2" t="n">
        <v>850000</v>
      </c>
      <c r="I80" s="2" t="s">
        <v>47</v>
      </c>
      <c r="J80" s="2" t="n">
        <v>7</v>
      </c>
      <c r="K80" s="3"/>
      <c r="L80" s="5"/>
      <c r="M80" s="5"/>
      <c r="N80" s="5"/>
    </row>
    <row r="81" customFormat="false" ht="15" hidden="false" customHeight="false" outlineLevel="0" collapsed="false">
      <c r="A81" s="2" t="s">
        <v>317</v>
      </c>
      <c r="B81" s="3" t="s">
        <v>318</v>
      </c>
      <c r="C81" s="2" t="s">
        <v>54</v>
      </c>
      <c r="D81" s="2" t="s">
        <v>319</v>
      </c>
      <c r="E81" s="2" t="s">
        <v>110</v>
      </c>
      <c r="F81" s="2" t="s">
        <v>65</v>
      </c>
      <c r="G81" s="2" t="n">
        <v>193</v>
      </c>
      <c r="H81" s="2" t="n">
        <v>75000</v>
      </c>
      <c r="I81" s="2" t="s">
        <v>31</v>
      </c>
      <c r="J81" s="2" t="n">
        <v>7</v>
      </c>
      <c r="K81" s="3" t="s">
        <v>139</v>
      </c>
      <c r="L81" s="5"/>
      <c r="M81" s="5"/>
      <c r="N81" s="5"/>
    </row>
    <row r="82" customFormat="false" ht="15" hidden="false" customHeight="false" outlineLevel="0" collapsed="false">
      <c r="A82" s="2" t="s">
        <v>320</v>
      </c>
      <c r="B82" s="3" t="s">
        <v>321</v>
      </c>
      <c r="C82" s="2" t="s">
        <v>13</v>
      </c>
      <c r="D82" s="2" t="s">
        <v>322</v>
      </c>
      <c r="E82" s="2" t="s">
        <v>110</v>
      </c>
      <c r="F82" s="2" t="s">
        <v>65</v>
      </c>
      <c r="G82" s="2" t="n">
        <v>402</v>
      </c>
      <c r="H82" s="2" t="n">
        <v>75000</v>
      </c>
      <c r="I82" s="2" t="s">
        <v>24</v>
      </c>
      <c r="J82" s="2" t="n">
        <v>14</v>
      </c>
      <c r="K82" s="3"/>
      <c r="L82" s="5"/>
      <c r="M82" s="5"/>
      <c r="N82" s="5"/>
    </row>
    <row r="83" customFormat="false" ht="15" hidden="false" customHeight="false" outlineLevel="0" collapsed="false">
      <c r="A83" s="2" t="s">
        <v>323</v>
      </c>
      <c r="B83" s="3" t="s">
        <v>324</v>
      </c>
      <c r="C83" s="2" t="s">
        <v>77</v>
      </c>
      <c r="D83" s="2" t="s">
        <v>325</v>
      </c>
      <c r="E83" s="2" t="s">
        <v>243</v>
      </c>
      <c r="F83" s="2" t="s">
        <v>16</v>
      </c>
      <c r="G83" s="2" t="n">
        <v>124</v>
      </c>
      <c r="H83" s="2" t="n">
        <v>1200000</v>
      </c>
      <c r="I83" s="2" t="s">
        <v>31</v>
      </c>
      <c r="J83" s="2" t="n">
        <v>3</v>
      </c>
      <c r="K83" s="3" t="s">
        <v>326</v>
      </c>
      <c r="L83" s="5"/>
      <c r="M83" s="5"/>
      <c r="N83" s="5"/>
    </row>
    <row r="84" customFormat="false" ht="15" hidden="false" customHeight="false" outlineLevel="0" collapsed="false">
      <c r="A84" s="2" t="s">
        <v>327</v>
      </c>
      <c r="B84" s="3" t="s">
        <v>237</v>
      </c>
      <c r="C84" s="2" t="s">
        <v>27</v>
      </c>
      <c r="D84" s="2" t="s">
        <v>328</v>
      </c>
      <c r="E84" s="2" t="s">
        <v>198</v>
      </c>
      <c r="F84" s="2" t="s">
        <v>30</v>
      </c>
      <c r="G84" s="2" t="n">
        <v>110</v>
      </c>
      <c r="H84" s="2" t="n">
        <v>1200000</v>
      </c>
      <c r="I84" s="2" t="s">
        <v>17</v>
      </c>
      <c r="J84" s="2" t="n">
        <v>10</v>
      </c>
      <c r="K84" s="3"/>
      <c r="L84" s="5"/>
      <c r="M84" s="5"/>
      <c r="N84" s="5"/>
    </row>
    <row r="85" customFormat="false" ht="15" hidden="false" customHeight="false" outlineLevel="0" collapsed="false">
      <c r="A85" s="2" t="s">
        <v>329</v>
      </c>
      <c r="B85" s="3" t="s">
        <v>330</v>
      </c>
      <c r="C85" s="2" t="s">
        <v>182</v>
      </c>
      <c r="D85" s="2" t="s">
        <v>331</v>
      </c>
      <c r="E85" s="2" t="s">
        <v>106</v>
      </c>
      <c r="F85" s="2" t="s">
        <v>23</v>
      </c>
      <c r="G85" s="2" t="n">
        <v>27</v>
      </c>
      <c r="H85" s="2" t="n">
        <v>75000</v>
      </c>
      <c r="I85" s="2" t="s">
        <v>47</v>
      </c>
      <c r="J85" s="2" t="n">
        <v>14</v>
      </c>
      <c r="K85" s="3"/>
      <c r="L85" s="5"/>
      <c r="M85" s="5"/>
      <c r="N85" s="5"/>
    </row>
    <row r="86" customFormat="false" ht="15" hidden="false" customHeight="false" outlineLevel="0" collapsed="false">
      <c r="A86" s="2" t="s">
        <v>332</v>
      </c>
      <c r="B86" s="3" t="s">
        <v>333</v>
      </c>
      <c r="C86" s="2" t="s">
        <v>13</v>
      </c>
      <c r="D86" s="2" t="s">
        <v>334</v>
      </c>
      <c r="E86" s="2" t="s">
        <v>69</v>
      </c>
      <c r="F86" s="2" t="s">
        <v>42</v>
      </c>
      <c r="G86" s="2" t="n">
        <v>53</v>
      </c>
      <c r="H86" s="2" t="n">
        <v>1200000</v>
      </c>
      <c r="I86" s="2" t="s">
        <v>31</v>
      </c>
      <c r="J86" s="2" t="n">
        <v>10</v>
      </c>
      <c r="K86" s="3" t="s">
        <v>121</v>
      </c>
      <c r="L86" s="5"/>
      <c r="M86" s="5"/>
      <c r="N86" s="5"/>
    </row>
    <row r="87" customFormat="false" ht="15" hidden="false" customHeight="false" outlineLevel="0" collapsed="false">
      <c r="A87" s="2" t="s">
        <v>335</v>
      </c>
      <c r="B87" s="3" t="s">
        <v>336</v>
      </c>
      <c r="C87" s="2" t="s">
        <v>20</v>
      </c>
      <c r="D87" s="2" t="s">
        <v>337</v>
      </c>
      <c r="E87" s="2" t="s">
        <v>243</v>
      </c>
      <c r="F87" s="2" t="s">
        <v>16</v>
      </c>
      <c r="G87" s="2" t="n">
        <v>498</v>
      </c>
      <c r="H87" s="2" t="n">
        <v>45000</v>
      </c>
      <c r="I87" s="2" t="s">
        <v>31</v>
      </c>
      <c r="J87" s="2" t="n">
        <v>7</v>
      </c>
      <c r="K87" s="3" t="s">
        <v>338</v>
      </c>
      <c r="L87" s="5"/>
      <c r="M87" s="5"/>
      <c r="N87" s="5"/>
    </row>
    <row r="88" customFormat="false" ht="15" hidden="false" customHeight="false" outlineLevel="0" collapsed="false">
      <c r="A88" s="2" t="s">
        <v>339</v>
      </c>
      <c r="B88" s="3" t="s">
        <v>340</v>
      </c>
      <c r="C88" s="2" t="s">
        <v>13</v>
      </c>
      <c r="D88" s="2" t="s">
        <v>341</v>
      </c>
      <c r="E88" s="2" t="s">
        <v>158</v>
      </c>
      <c r="F88" s="2" t="s">
        <v>89</v>
      </c>
      <c r="G88" s="2" t="n">
        <v>124</v>
      </c>
      <c r="H88" s="2" t="n">
        <v>25000</v>
      </c>
      <c r="I88" s="2" t="s">
        <v>17</v>
      </c>
      <c r="J88" s="2" t="n">
        <v>5</v>
      </c>
      <c r="K88" s="3"/>
      <c r="L88" s="5"/>
      <c r="M88" s="5"/>
      <c r="N88" s="5"/>
    </row>
    <row r="89" customFormat="false" ht="15" hidden="false" customHeight="false" outlineLevel="0" collapsed="false">
      <c r="A89" s="2" t="s">
        <v>342</v>
      </c>
      <c r="B89" s="3" t="s">
        <v>343</v>
      </c>
      <c r="C89" s="2" t="s">
        <v>54</v>
      </c>
      <c r="D89" s="2" t="s">
        <v>344</v>
      </c>
      <c r="E89" s="2" t="s">
        <v>36</v>
      </c>
      <c r="F89" s="2" t="s">
        <v>23</v>
      </c>
      <c r="G89" s="2" t="n">
        <v>235</v>
      </c>
      <c r="H89" s="2" t="n">
        <v>850000</v>
      </c>
      <c r="I89" s="2" t="s">
        <v>31</v>
      </c>
      <c r="J89" s="2" t="n">
        <v>3</v>
      </c>
      <c r="K89" s="3" t="s">
        <v>345</v>
      </c>
      <c r="L89" s="5"/>
      <c r="M89" s="5"/>
      <c r="N89" s="5"/>
    </row>
    <row r="90" customFormat="false" ht="15" hidden="false" customHeight="false" outlineLevel="0" collapsed="false">
      <c r="A90" s="2" t="s">
        <v>346</v>
      </c>
      <c r="B90" s="3" t="s">
        <v>141</v>
      </c>
      <c r="C90" s="2" t="s">
        <v>82</v>
      </c>
      <c r="D90" s="2" t="s">
        <v>347</v>
      </c>
      <c r="E90" s="2" t="s">
        <v>79</v>
      </c>
      <c r="F90" s="2" t="s">
        <v>42</v>
      </c>
      <c r="G90" s="2" t="n">
        <v>140</v>
      </c>
      <c r="H90" s="2" t="n">
        <v>25000</v>
      </c>
      <c r="I90" s="2" t="s">
        <v>31</v>
      </c>
      <c r="J90" s="2" t="n">
        <v>7</v>
      </c>
      <c r="K90" s="3" t="s">
        <v>301</v>
      </c>
      <c r="L90" s="5"/>
      <c r="M90" s="5"/>
      <c r="N90" s="5"/>
    </row>
    <row r="91" customFormat="false" ht="15" hidden="false" customHeight="false" outlineLevel="0" collapsed="false">
      <c r="A91" s="2" t="s">
        <v>348</v>
      </c>
      <c r="B91" s="3" t="s">
        <v>349</v>
      </c>
      <c r="C91" s="2" t="s">
        <v>13</v>
      </c>
      <c r="D91" s="2" t="s">
        <v>50</v>
      </c>
      <c r="E91" s="2" t="s">
        <v>36</v>
      </c>
      <c r="F91" s="2" t="s">
        <v>23</v>
      </c>
      <c r="G91" s="2" t="n">
        <v>132</v>
      </c>
      <c r="H91" s="2" t="n">
        <v>250000</v>
      </c>
      <c r="I91" s="2" t="s">
        <v>31</v>
      </c>
      <c r="J91" s="2" t="n">
        <v>3</v>
      </c>
      <c r="K91" s="3" t="s">
        <v>350</v>
      </c>
      <c r="L91" s="5"/>
      <c r="M91" s="5"/>
      <c r="N91" s="5"/>
    </row>
    <row r="92" customFormat="false" ht="15" hidden="false" customHeight="false" outlineLevel="0" collapsed="false">
      <c r="A92" s="2" t="s">
        <v>351</v>
      </c>
      <c r="B92" s="3" t="s">
        <v>352</v>
      </c>
      <c r="C92" s="2" t="s">
        <v>77</v>
      </c>
      <c r="D92" s="2" t="s">
        <v>353</v>
      </c>
      <c r="E92" s="2" t="s">
        <v>243</v>
      </c>
      <c r="F92" s="2" t="s">
        <v>16</v>
      </c>
      <c r="G92" s="2" t="n">
        <v>236</v>
      </c>
      <c r="H92" s="2" t="n">
        <v>1200000</v>
      </c>
      <c r="I92" s="2" t="s">
        <v>24</v>
      </c>
      <c r="J92" s="2" t="n">
        <v>5</v>
      </c>
      <c r="K92" s="3"/>
      <c r="L92" s="5"/>
      <c r="M92" s="5"/>
      <c r="N92" s="5"/>
    </row>
    <row r="93" customFormat="false" ht="15" hidden="false" customHeight="false" outlineLevel="0" collapsed="false">
      <c r="A93" s="2" t="s">
        <v>354</v>
      </c>
      <c r="B93" s="3" t="s">
        <v>355</v>
      </c>
      <c r="C93" s="2" t="s">
        <v>96</v>
      </c>
      <c r="D93" s="2" t="s">
        <v>356</v>
      </c>
      <c r="E93" s="2" t="s">
        <v>15</v>
      </c>
      <c r="F93" s="2" t="s">
        <v>16</v>
      </c>
      <c r="G93" s="2" t="n">
        <v>11</v>
      </c>
      <c r="H93" s="2" t="n">
        <v>15000</v>
      </c>
      <c r="I93" s="2" t="s">
        <v>47</v>
      </c>
      <c r="J93" s="2" t="n">
        <v>5</v>
      </c>
      <c r="K93" s="3"/>
      <c r="L93" s="5"/>
      <c r="M93" s="5"/>
      <c r="N93" s="5"/>
    </row>
    <row r="94" customFormat="false" ht="15" hidden="false" customHeight="false" outlineLevel="0" collapsed="false">
      <c r="A94" s="2" t="s">
        <v>357</v>
      </c>
      <c r="B94" s="3" t="s">
        <v>358</v>
      </c>
      <c r="C94" s="2" t="s">
        <v>82</v>
      </c>
      <c r="D94" s="2" t="s">
        <v>359</v>
      </c>
      <c r="E94" s="2" t="s">
        <v>79</v>
      </c>
      <c r="F94" s="2" t="s">
        <v>42</v>
      </c>
      <c r="G94" s="2" t="n">
        <v>327</v>
      </c>
      <c r="H94" s="2" t="n">
        <v>25000</v>
      </c>
      <c r="I94" s="2" t="s">
        <v>24</v>
      </c>
      <c r="J94" s="2" t="n">
        <v>7</v>
      </c>
      <c r="K94" s="3"/>
      <c r="L94" s="5"/>
      <c r="M94" s="5"/>
      <c r="N94" s="5"/>
    </row>
    <row r="95" customFormat="false" ht="15" hidden="false" customHeight="false" outlineLevel="0" collapsed="false">
      <c r="A95" s="2" t="s">
        <v>360</v>
      </c>
      <c r="B95" s="3" t="s">
        <v>361</v>
      </c>
      <c r="C95" s="2" t="s">
        <v>182</v>
      </c>
      <c r="D95" s="2" t="s">
        <v>362</v>
      </c>
      <c r="E95" s="2" t="s">
        <v>15</v>
      </c>
      <c r="F95" s="2" t="s">
        <v>16</v>
      </c>
      <c r="G95" s="2" t="n">
        <v>232</v>
      </c>
      <c r="H95" s="2" t="n">
        <v>45000</v>
      </c>
      <c r="I95" s="2" t="s">
        <v>31</v>
      </c>
      <c r="J95" s="2" t="n">
        <v>7</v>
      </c>
      <c r="K95" s="3" t="s">
        <v>274</v>
      </c>
      <c r="L95" s="5"/>
      <c r="M95" s="5"/>
      <c r="N95" s="5"/>
    </row>
    <row r="96" customFormat="false" ht="15" hidden="false" customHeight="false" outlineLevel="0" collapsed="false">
      <c r="A96" s="2" t="s">
        <v>363</v>
      </c>
      <c r="B96" s="3" t="s">
        <v>364</v>
      </c>
      <c r="C96" s="2" t="s">
        <v>96</v>
      </c>
      <c r="D96" s="2" t="s">
        <v>365</v>
      </c>
      <c r="E96" s="2" t="s">
        <v>15</v>
      </c>
      <c r="F96" s="2" t="s">
        <v>16</v>
      </c>
      <c r="G96" s="2" t="n">
        <v>226</v>
      </c>
      <c r="H96" s="2" t="n">
        <v>500000</v>
      </c>
      <c r="I96" s="2" t="s">
        <v>31</v>
      </c>
      <c r="J96" s="2" t="n">
        <v>10</v>
      </c>
      <c r="K96" s="3" t="s">
        <v>366</v>
      </c>
      <c r="L96" s="5"/>
      <c r="M96" s="5"/>
      <c r="N96" s="5"/>
    </row>
    <row r="97" customFormat="false" ht="15" hidden="false" customHeight="false" outlineLevel="0" collapsed="false">
      <c r="A97" s="2" t="s">
        <v>367</v>
      </c>
      <c r="B97" s="3" t="s">
        <v>368</v>
      </c>
      <c r="C97" s="2" t="s">
        <v>13</v>
      </c>
      <c r="D97" s="2" t="s">
        <v>369</v>
      </c>
      <c r="E97" s="2" t="s">
        <v>370</v>
      </c>
      <c r="F97" s="2" t="s">
        <v>23</v>
      </c>
      <c r="G97" s="2" t="n">
        <v>148</v>
      </c>
      <c r="H97" s="2" t="n">
        <v>850000</v>
      </c>
      <c r="I97" s="2" t="s">
        <v>47</v>
      </c>
      <c r="J97" s="2" t="n">
        <v>3</v>
      </c>
      <c r="K97" s="3"/>
      <c r="L97" s="5"/>
      <c r="M97" s="5"/>
      <c r="N97" s="5"/>
    </row>
    <row r="98" customFormat="false" ht="15" hidden="false" customHeight="false" outlineLevel="0" collapsed="false">
      <c r="A98" s="2" t="s">
        <v>371</v>
      </c>
      <c r="B98" s="3" t="s">
        <v>164</v>
      </c>
      <c r="C98" s="2" t="s">
        <v>20</v>
      </c>
      <c r="D98" s="2" t="s">
        <v>372</v>
      </c>
      <c r="E98" s="2" t="s">
        <v>94</v>
      </c>
      <c r="F98" s="2" t="s">
        <v>65</v>
      </c>
      <c r="G98" s="2" t="n">
        <v>156</v>
      </c>
      <c r="H98" s="2" t="n">
        <v>850000</v>
      </c>
      <c r="I98" s="2" t="s">
        <v>31</v>
      </c>
      <c r="J98" s="2" t="n">
        <v>14</v>
      </c>
      <c r="K98" s="3" t="s">
        <v>250</v>
      </c>
      <c r="L98" s="5"/>
      <c r="M98" s="5"/>
      <c r="N98" s="5"/>
    </row>
    <row r="99" customFormat="false" ht="15" hidden="false" customHeight="false" outlineLevel="0" collapsed="false">
      <c r="A99" s="2" t="s">
        <v>373</v>
      </c>
      <c r="B99" s="3" t="s">
        <v>374</v>
      </c>
      <c r="C99" s="2" t="s">
        <v>54</v>
      </c>
      <c r="D99" s="2" t="s">
        <v>375</v>
      </c>
      <c r="E99" s="2" t="s">
        <v>158</v>
      </c>
      <c r="F99" s="2" t="s">
        <v>89</v>
      </c>
      <c r="G99" s="2" t="n">
        <v>219</v>
      </c>
      <c r="H99" s="2" t="n">
        <v>75000</v>
      </c>
      <c r="I99" s="2" t="s">
        <v>24</v>
      </c>
      <c r="J99" s="2" t="n">
        <v>14</v>
      </c>
      <c r="K99" s="3"/>
      <c r="L99" s="5"/>
      <c r="M99" s="5"/>
      <c r="N99" s="5"/>
    </row>
    <row r="100" customFormat="false" ht="15" hidden="false" customHeight="false" outlineLevel="0" collapsed="false">
      <c r="A100" s="2" t="s">
        <v>376</v>
      </c>
      <c r="B100" s="3" t="s">
        <v>377</v>
      </c>
      <c r="C100" s="2" t="s">
        <v>72</v>
      </c>
      <c r="D100" s="2" t="s">
        <v>378</v>
      </c>
      <c r="E100" s="2" t="s">
        <v>243</v>
      </c>
      <c r="F100" s="2" t="s">
        <v>16</v>
      </c>
      <c r="G100" s="2" t="n">
        <v>370</v>
      </c>
      <c r="H100" s="2" t="n">
        <v>250000</v>
      </c>
      <c r="I100" s="2" t="s">
        <v>31</v>
      </c>
      <c r="J100" s="2" t="n">
        <v>10</v>
      </c>
      <c r="K100" s="3" t="s">
        <v>379</v>
      </c>
      <c r="L100" s="5"/>
      <c r="M100" s="5"/>
      <c r="N100" s="5"/>
    </row>
    <row r="101" customFormat="false" ht="15" hidden="false" customHeight="false" outlineLevel="0" collapsed="false">
      <c r="A101" s="2" t="s">
        <v>380</v>
      </c>
      <c r="B101" s="3" t="s">
        <v>381</v>
      </c>
      <c r="C101" s="2" t="s">
        <v>72</v>
      </c>
      <c r="D101" s="2" t="s">
        <v>382</v>
      </c>
      <c r="E101" s="2" t="s">
        <v>158</v>
      </c>
      <c r="F101" s="2" t="s">
        <v>89</v>
      </c>
      <c r="G101" s="2" t="n">
        <v>97</v>
      </c>
      <c r="H101" s="2" t="n">
        <v>15000</v>
      </c>
      <c r="I101" s="2" t="s">
        <v>31</v>
      </c>
      <c r="J101" s="2" t="n">
        <v>5</v>
      </c>
      <c r="K101" s="3" t="s">
        <v>71</v>
      </c>
      <c r="L101" s="5"/>
      <c r="M101" s="5"/>
      <c r="N101" s="5"/>
    </row>
    <row r="102" customFormat="false" ht="15" hidden="false" customHeight="false" outlineLevel="0" collapsed="false">
      <c r="A102" s="2" t="s">
        <v>383</v>
      </c>
      <c r="B102" s="3" t="s">
        <v>384</v>
      </c>
      <c r="C102" s="2" t="s">
        <v>182</v>
      </c>
      <c r="D102" s="2" t="s">
        <v>385</v>
      </c>
      <c r="E102" s="2" t="s">
        <v>386</v>
      </c>
      <c r="F102" s="2" t="s">
        <v>42</v>
      </c>
      <c r="G102" s="2" t="n">
        <v>397</v>
      </c>
      <c r="H102" s="2" t="n">
        <v>75000</v>
      </c>
      <c r="I102" s="2" t="s">
        <v>17</v>
      </c>
      <c r="J102" s="2" t="n">
        <v>3</v>
      </c>
      <c r="K102" s="3"/>
      <c r="L102" s="5"/>
      <c r="M102" s="5"/>
      <c r="N102" s="5"/>
    </row>
    <row r="103" customFormat="false" ht="15" hidden="false" customHeight="false" outlineLevel="0" collapsed="false">
      <c r="A103" s="2" t="s">
        <v>387</v>
      </c>
      <c r="B103" s="3" t="s">
        <v>388</v>
      </c>
      <c r="C103" s="2" t="s">
        <v>82</v>
      </c>
      <c r="D103" s="2" t="s">
        <v>389</v>
      </c>
      <c r="E103" s="2" t="s">
        <v>88</v>
      </c>
      <c r="F103" s="2" t="s">
        <v>89</v>
      </c>
      <c r="G103" s="2" t="n">
        <v>410</v>
      </c>
      <c r="H103" s="2" t="n">
        <v>15000</v>
      </c>
      <c r="I103" s="2" t="s">
        <v>47</v>
      </c>
      <c r="J103" s="2" t="n">
        <v>5</v>
      </c>
      <c r="K103" s="3"/>
      <c r="L103" s="5"/>
      <c r="M103" s="5"/>
      <c r="N103" s="5"/>
    </row>
    <row r="104" customFormat="false" ht="15" hidden="false" customHeight="false" outlineLevel="0" collapsed="false">
      <c r="A104" s="2" t="s">
        <v>390</v>
      </c>
      <c r="B104" s="3" t="s">
        <v>391</v>
      </c>
      <c r="C104" s="2" t="s">
        <v>27</v>
      </c>
      <c r="D104" s="2" t="s">
        <v>392</v>
      </c>
      <c r="E104" s="2" t="s">
        <v>184</v>
      </c>
      <c r="F104" s="2" t="s">
        <v>89</v>
      </c>
      <c r="G104" s="2" t="n">
        <v>126</v>
      </c>
      <c r="H104" s="2" t="n">
        <v>250000</v>
      </c>
      <c r="I104" s="2" t="s">
        <v>47</v>
      </c>
      <c r="J104" s="2" t="n">
        <v>7</v>
      </c>
      <c r="K104" s="3"/>
      <c r="L104" s="5"/>
      <c r="M104" s="5"/>
      <c r="N104" s="5"/>
    </row>
    <row r="105" customFormat="false" ht="15" hidden="false" customHeight="false" outlineLevel="0" collapsed="false">
      <c r="A105" s="2" t="s">
        <v>393</v>
      </c>
      <c r="B105" s="3" t="s">
        <v>74</v>
      </c>
      <c r="C105" s="2" t="s">
        <v>182</v>
      </c>
      <c r="D105" s="2" t="s">
        <v>394</v>
      </c>
      <c r="E105" s="2" t="s">
        <v>198</v>
      </c>
      <c r="F105" s="2" t="s">
        <v>30</v>
      </c>
      <c r="G105" s="2" t="n">
        <v>293</v>
      </c>
      <c r="H105" s="2" t="n">
        <v>45000</v>
      </c>
      <c r="I105" s="2" t="s">
        <v>24</v>
      </c>
      <c r="J105" s="2" t="n">
        <v>5</v>
      </c>
      <c r="K105" s="3"/>
      <c r="L105" s="5"/>
      <c r="M105" s="5"/>
      <c r="N105" s="5"/>
    </row>
    <row r="106" customFormat="false" ht="15" hidden="false" customHeight="false" outlineLevel="0" collapsed="false">
      <c r="A106" s="2" t="s">
        <v>395</v>
      </c>
      <c r="B106" s="3" t="s">
        <v>396</v>
      </c>
      <c r="C106" s="2" t="s">
        <v>72</v>
      </c>
      <c r="D106" s="2" t="s">
        <v>397</v>
      </c>
      <c r="E106" s="2" t="s">
        <v>184</v>
      </c>
      <c r="F106" s="2" t="s">
        <v>89</v>
      </c>
      <c r="G106" s="2" t="n">
        <v>24</v>
      </c>
      <c r="H106" s="2" t="n">
        <v>25000</v>
      </c>
      <c r="I106" s="2" t="s">
        <v>31</v>
      </c>
      <c r="J106" s="2" t="n">
        <v>14</v>
      </c>
      <c r="K106" s="3" t="s">
        <v>398</v>
      </c>
      <c r="L106" s="5"/>
      <c r="M106" s="5"/>
      <c r="N106" s="5"/>
    </row>
    <row r="107" customFormat="false" ht="15" hidden="false" customHeight="false" outlineLevel="0" collapsed="false">
      <c r="A107" s="2" t="s">
        <v>399</v>
      </c>
      <c r="B107" s="3" t="s">
        <v>400</v>
      </c>
      <c r="C107" s="2" t="s">
        <v>72</v>
      </c>
      <c r="D107" s="2" t="s">
        <v>401</v>
      </c>
      <c r="E107" s="2" t="s">
        <v>69</v>
      </c>
      <c r="F107" s="2" t="s">
        <v>42</v>
      </c>
      <c r="G107" s="2" t="n">
        <v>474</v>
      </c>
      <c r="H107" s="2" t="n">
        <v>75000</v>
      </c>
      <c r="I107" s="2" t="s">
        <v>47</v>
      </c>
      <c r="J107" s="2" t="n">
        <v>7</v>
      </c>
      <c r="K107" s="3"/>
      <c r="L107" s="5"/>
      <c r="M107" s="5"/>
      <c r="N107" s="5"/>
    </row>
    <row r="108" customFormat="false" ht="15" hidden="false" customHeight="false" outlineLevel="0" collapsed="false">
      <c r="A108" s="2" t="s">
        <v>402</v>
      </c>
      <c r="B108" s="3" t="s">
        <v>286</v>
      </c>
      <c r="C108" s="2" t="s">
        <v>13</v>
      </c>
      <c r="D108" s="2" t="s">
        <v>403</v>
      </c>
      <c r="E108" s="2" t="s">
        <v>56</v>
      </c>
      <c r="F108" s="2" t="s">
        <v>16</v>
      </c>
      <c r="G108" s="2" t="n">
        <v>305</v>
      </c>
      <c r="H108" s="2" t="n">
        <v>45000</v>
      </c>
      <c r="I108" s="2" t="s">
        <v>47</v>
      </c>
      <c r="J108" s="2" t="n">
        <v>14</v>
      </c>
      <c r="K108" s="3"/>
      <c r="L108" s="5"/>
      <c r="M108" s="5"/>
      <c r="N108" s="5"/>
    </row>
    <row r="109" customFormat="false" ht="15" hidden="false" customHeight="false" outlineLevel="0" collapsed="false">
      <c r="A109" s="2" t="s">
        <v>404</v>
      </c>
      <c r="B109" s="3" t="s">
        <v>99</v>
      </c>
      <c r="C109" s="2" t="s">
        <v>54</v>
      </c>
      <c r="D109" s="2" t="s">
        <v>285</v>
      </c>
      <c r="E109" s="2" t="s">
        <v>158</v>
      </c>
      <c r="F109" s="2" t="s">
        <v>89</v>
      </c>
      <c r="G109" s="2" t="n">
        <v>56</v>
      </c>
      <c r="H109" s="2" t="n">
        <v>250000</v>
      </c>
      <c r="I109" s="2" t="s">
        <v>31</v>
      </c>
      <c r="J109" s="2" t="n">
        <v>5</v>
      </c>
      <c r="K109" s="3" t="s">
        <v>405</v>
      </c>
      <c r="L109" s="5"/>
      <c r="M109" s="5"/>
      <c r="N109" s="5"/>
    </row>
    <row r="110" customFormat="false" ht="15" hidden="false" customHeight="false" outlineLevel="0" collapsed="false">
      <c r="A110" s="2" t="s">
        <v>406</v>
      </c>
      <c r="B110" s="3" t="s">
        <v>407</v>
      </c>
      <c r="C110" s="2" t="s">
        <v>96</v>
      </c>
      <c r="D110" s="2" t="s">
        <v>408</v>
      </c>
      <c r="E110" s="2" t="s">
        <v>198</v>
      </c>
      <c r="F110" s="2" t="s">
        <v>30</v>
      </c>
      <c r="G110" s="2" t="n">
        <v>367</v>
      </c>
      <c r="H110" s="2" t="n">
        <v>1200000</v>
      </c>
      <c r="I110" s="2" t="s">
        <v>24</v>
      </c>
      <c r="J110" s="2" t="n">
        <v>14</v>
      </c>
      <c r="K110" s="3"/>
      <c r="L110" s="5"/>
      <c r="M110" s="5"/>
      <c r="N110" s="5"/>
    </row>
    <row r="111" customFormat="false" ht="15" hidden="false" customHeight="false" outlineLevel="0" collapsed="false">
      <c r="A111" s="2" t="s">
        <v>409</v>
      </c>
      <c r="B111" s="3" t="s">
        <v>410</v>
      </c>
      <c r="C111" s="2" t="s">
        <v>82</v>
      </c>
      <c r="D111" s="2" t="s">
        <v>411</v>
      </c>
      <c r="E111" s="2" t="s">
        <v>114</v>
      </c>
      <c r="F111" s="2" t="s">
        <v>30</v>
      </c>
      <c r="G111" s="2" t="n">
        <v>94</v>
      </c>
      <c r="H111" s="2" t="n">
        <v>500000</v>
      </c>
      <c r="I111" s="2" t="s">
        <v>31</v>
      </c>
      <c r="J111" s="2" t="n">
        <v>7</v>
      </c>
      <c r="K111" s="3" t="s">
        <v>412</v>
      </c>
      <c r="L111" s="5"/>
      <c r="M111" s="5"/>
      <c r="N111" s="5"/>
    </row>
    <row r="112" customFormat="false" ht="15" hidden="false" customHeight="false" outlineLevel="0" collapsed="false">
      <c r="A112" s="2" t="s">
        <v>413</v>
      </c>
      <c r="B112" s="3" t="s">
        <v>286</v>
      </c>
      <c r="C112" s="2" t="s">
        <v>182</v>
      </c>
      <c r="D112" s="2" t="s">
        <v>414</v>
      </c>
      <c r="E112" s="2" t="s">
        <v>114</v>
      </c>
      <c r="F112" s="2" t="s">
        <v>30</v>
      </c>
      <c r="G112" s="2" t="n">
        <v>440</v>
      </c>
      <c r="H112" s="2" t="n">
        <v>15000</v>
      </c>
      <c r="I112" s="2" t="s">
        <v>31</v>
      </c>
      <c r="J112" s="2" t="n">
        <v>7</v>
      </c>
      <c r="K112" s="3" t="s">
        <v>415</v>
      </c>
      <c r="L112" s="5"/>
      <c r="M112" s="5"/>
      <c r="N112" s="5"/>
    </row>
    <row r="113" customFormat="false" ht="15" hidden="false" customHeight="false" outlineLevel="0" collapsed="false">
      <c r="A113" s="2" t="s">
        <v>416</v>
      </c>
      <c r="B113" s="3" t="s">
        <v>279</v>
      </c>
      <c r="C113" s="2" t="s">
        <v>20</v>
      </c>
      <c r="D113" s="2" t="s">
        <v>417</v>
      </c>
      <c r="E113" s="2" t="s">
        <v>243</v>
      </c>
      <c r="F113" s="2" t="s">
        <v>16</v>
      </c>
      <c r="G113" s="2" t="n">
        <v>174</v>
      </c>
      <c r="H113" s="2" t="n">
        <v>25000</v>
      </c>
      <c r="I113" s="2" t="s">
        <v>31</v>
      </c>
      <c r="J113" s="2" t="n">
        <v>7</v>
      </c>
      <c r="K113" s="3" t="s">
        <v>418</v>
      </c>
      <c r="L113" s="5"/>
      <c r="M113" s="5"/>
      <c r="N113" s="5"/>
    </row>
    <row r="114" customFormat="false" ht="15" hidden="false" customHeight="false" outlineLevel="0" collapsed="false">
      <c r="A114" s="2" t="s">
        <v>419</v>
      </c>
      <c r="B114" s="3" t="s">
        <v>420</v>
      </c>
      <c r="C114" s="2" t="s">
        <v>54</v>
      </c>
      <c r="D114" s="2" t="s">
        <v>421</v>
      </c>
      <c r="E114" s="2" t="s">
        <v>198</v>
      </c>
      <c r="F114" s="2" t="s">
        <v>30</v>
      </c>
      <c r="G114" s="2" t="n">
        <v>10</v>
      </c>
      <c r="H114" s="2" t="n">
        <v>120000</v>
      </c>
      <c r="I114" s="2" t="s">
        <v>31</v>
      </c>
      <c r="J114" s="2" t="n">
        <v>3</v>
      </c>
      <c r="K114" s="3" t="s">
        <v>422</v>
      </c>
      <c r="L114" s="5"/>
      <c r="M114" s="5"/>
      <c r="N114" s="5"/>
    </row>
    <row r="115" customFormat="false" ht="15" hidden="false" customHeight="false" outlineLevel="0" collapsed="false">
      <c r="A115" s="2" t="s">
        <v>423</v>
      </c>
      <c r="B115" s="3" t="s">
        <v>326</v>
      </c>
      <c r="C115" s="2" t="s">
        <v>54</v>
      </c>
      <c r="D115" s="2" t="s">
        <v>424</v>
      </c>
      <c r="E115" s="2" t="s">
        <v>294</v>
      </c>
      <c r="F115" s="2" t="s">
        <v>30</v>
      </c>
      <c r="G115" s="2" t="n">
        <v>202</v>
      </c>
      <c r="H115" s="2" t="n">
        <v>850000</v>
      </c>
      <c r="I115" s="2" t="s">
        <v>24</v>
      </c>
      <c r="J115" s="2" t="n">
        <v>5</v>
      </c>
      <c r="K115" s="3"/>
      <c r="L115" s="5"/>
      <c r="M115" s="5"/>
      <c r="N115" s="5"/>
    </row>
    <row r="116" customFormat="false" ht="15" hidden="false" customHeight="false" outlineLevel="0" collapsed="false">
      <c r="A116" s="2" t="s">
        <v>425</v>
      </c>
      <c r="B116" s="3" t="s">
        <v>333</v>
      </c>
      <c r="C116" s="2" t="s">
        <v>96</v>
      </c>
      <c r="D116" s="2" t="s">
        <v>426</v>
      </c>
      <c r="E116" s="2" t="s">
        <v>79</v>
      </c>
      <c r="F116" s="2" t="s">
        <v>42</v>
      </c>
      <c r="G116" s="2" t="n">
        <v>197</v>
      </c>
      <c r="H116" s="2" t="n">
        <v>25000</v>
      </c>
      <c r="I116" s="2" t="s">
        <v>47</v>
      </c>
      <c r="J116" s="2" t="n">
        <v>14</v>
      </c>
      <c r="K116" s="3"/>
      <c r="L116" s="5"/>
      <c r="M116" s="5"/>
      <c r="N116" s="5"/>
    </row>
    <row r="117" customFormat="false" ht="15" hidden="false" customHeight="false" outlineLevel="0" collapsed="false">
      <c r="A117" s="2" t="s">
        <v>427</v>
      </c>
      <c r="B117" s="3" t="s">
        <v>250</v>
      </c>
      <c r="C117" s="2" t="s">
        <v>82</v>
      </c>
      <c r="D117" s="2" t="s">
        <v>428</v>
      </c>
      <c r="E117" s="2" t="s">
        <v>51</v>
      </c>
      <c r="F117" s="2" t="s">
        <v>23</v>
      </c>
      <c r="G117" s="2" t="n">
        <v>414</v>
      </c>
      <c r="H117" s="2" t="n">
        <v>15000</v>
      </c>
      <c r="I117" s="2" t="s">
        <v>31</v>
      </c>
      <c r="J117" s="2" t="n">
        <v>7</v>
      </c>
      <c r="K117" s="3" t="s">
        <v>282</v>
      </c>
      <c r="L117" s="5"/>
      <c r="M117" s="5"/>
      <c r="N117" s="5"/>
    </row>
    <row r="118" customFormat="false" ht="15" hidden="false" customHeight="false" outlineLevel="0" collapsed="false">
      <c r="A118" s="2" t="s">
        <v>429</v>
      </c>
      <c r="B118" s="3" t="s">
        <v>111</v>
      </c>
      <c r="C118" s="2" t="s">
        <v>54</v>
      </c>
      <c r="D118" s="2" t="s">
        <v>430</v>
      </c>
      <c r="E118" s="2" t="s">
        <v>184</v>
      </c>
      <c r="F118" s="2" t="s">
        <v>89</v>
      </c>
      <c r="G118" s="2" t="n">
        <v>87</v>
      </c>
      <c r="H118" s="2" t="n">
        <v>25000</v>
      </c>
      <c r="I118" s="2" t="s">
        <v>31</v>
      </c>
      <c r="J118" s="2" t="n">
        <v>3</v>
      </c>
      <c r="K118" s="3" t="s">
        <v>431</v>
      </c>
      <c r="L118" s="5"/>
      <c r="M118" s="5"/>
      <c r="N118" s="5"/>
    </row>
    <row r="119" customFormat="false" ht="15" hidden="false" customHeight="false" outlineLevel="0" collapsed="false">
      <c r="A119" s="2" t="s">
        <v>432</v>
      </c>
      <c r="B119" s="3" t="s">
        <v>433</v>
      </c>
      <c r="C119" s="2" t="s">
        <v>20</v>
      </c>
      <c r="D119" s="2" t="s">
        <v>434</v>
      </c>
      <c r="E119" s="2" t="s">
        <v>69</v>
      </c>
      <c r="F119" s="2" t="s">
        <v>42</v>
      </c>
      <c r="G119" s="2" t="n">
        <v>487</v>
      </c>
      <c r="H119" s="2" t="n">
        <v>45000</v>
      </c>
      <c r="I119" s="2" t="s">
        <v>24</v>
      </c>
      <c r="J119" s="2" t="n">
        <v>10</v>
      </c>
      <c r="K119" s="3"/>
      <c r="L119" s="5"/>
      <c r="M119" s="5"/>
      <c r="N119" s="5"/>
    </row>
    <row r="120" customFormat="false" ht="15" hidden="false" customHeight="false" outlineLevel="0" collapsed="false">
      <c r="A120" s="2" t="s">
        <v>435</v>
      </c>
      <c r="B120" s="3" t="s">
        <v>436</v>
      </c>
      <c r="C120" s="2" t="s">
        <v>182</v>
      </c>
      <c r="D120" s="2" t="s">
        <v>437</v>
      </c>
      <c r="E120" s="2" t="s">
        <v>162</v>
      </c>
      <c r="F120" s="2" t="s">
        <v>16</v>
      </c>
      <c r="G120" s="2" t="n">
        <v>102</v>
      </c>
      <c r="H120" s="2" t="n">
        <v>500000</v>
      </c>
      <c r="I120" s="2" t="s">
        <v>24</v>
      </c>
      <c r="J120" s="2" t="n">
        <v>14</v>
      </c>
      <c r="K120" s="3"/>
      <c r="L120" s="5"/>
      <c r="M120" s="5"/>
      <c r="N120" s="5"/>
    </row>
    <row r="121" customFormat="false" ht="15" hidden="false" customHeight="false" outlineLevel="0" collapsed="false">
      <c r="A121" s="2" t="s">
        <v>438</v>
      </c>
      <c r="B121" s="3" t="s">
        <v>84</v>
      </c>
      <c r="C121" s="2" t="s">
        <v>39</v>
      </c>
      <c r="D121" s="2" t="s">
        <v>439</v>
      </c>
      <c r="E121" s="2" t="s">
        <v>184</v>
      </c>
      <c r="F121" s="2" t="s">
        <v>89</v>
      </c>
      <c r="G121" s="2" t="n">
        <v>30</v>
      </c>
      <c r="H121" s="2" t="n">
        <v>500000</v>
      </c>
      <c r="I121" s="2" t="s">
        <v>24</v>
      </c>
      <c r="J121" s="2" t="n">
        <v>10</v>
      </c>
      <c r="K121" s="3"/>
      <c r="L121" s="5"/>
      <c r="M121" s="5"/>
      <c r="N121" s="5"/>
    </row>
    <row r="122" customFormat="false" ht="15" hidden="false" customHeight="false" outlineLevel="0" collapsed="false">
      <c r="A122" s="2" t="s">
        <v>440</v>
      </c>
      <c r="B122" s="3" t="s">
        <v>441</v>
      </c>
      <c r="C122" s="2" t="s">
        <v>182</v>
      </c>
      <c r="D122" s="2" t="s">
        <v>442</v>
      </c>
      <c r="E122" s="2" t="s">
        <v>443</v>
      </c>
      <c r="F122" s="2" t="s">
        <v>89</v>
      </c>
      <c r="G122" s="2" t="n">
        <v>49</v>
      </c>
      <c r="H122" s="2" t="n">
        <v>120000</v>
      </c>
      <c r="I122" s="2" t="s">
        <v>47</v>
      </c>
      <c r="J122" s="2" t="n">
        <v>14</v>
      </c>
      <c r="K122" s="3"/>
      <c r="L122" s="5"/>
      <c r="M122" s="5"/>
      <c r="N122" s="5"/>
    </row>
    <row r="123" customFormat="false" ht="15" hidden="false" customHeight="false" outlineLevel="0" collapsed="false">
      <c r="A123" s="2" t="s">
        <v>444</v>
      </c>
      <c r="B123" s="3" t="s">
        <v>445</v>
      </c>
      <c r="C123" s="2" t="s">
        <v>82</v>
      </c>
      <c r="D123" s="2" t="s">
        <v>446</v>
      </c>
      <c r="E123" s="2" t="s">
        <v>56</v>
      </c>
      <c r="F123" s="2" t="s">
        <v>16</v>
      </c>
      <c r="G123" s="2" t="n">
        <v>92</v>
      </c>
      <c r="H123" s="2" t="n">
        <v>120000</v>
      </c>
      <c r="I123" s="2" t="s">
        <v>17</v>
      </c>
      <c r="J123" s="2" t="n">
        <v>10</v>
      </c>
      <c r="K123" s="3"/>
      <c r="L123" s="5"/>
      <c r="M123" s="5"/>
      <c r="N123" s="5"/>
    </row>
    <row r="124" customFormat="false" ht="15" hidden="false" customHeight="false" outlineLevel="0" collapsed="false">
      <c r="A124" s="2" t="s">
        <v>447</v>
      </c>
      <c r="B124" s="3" t="s">
        <v>431</v>
      </c>
      <c r="C124" s="2" t="s">
        <v>39</v>
      </c>
      <c r="D124" s="2" t="s">
        <v>448</v>
      </c>
      <c r="E124" s="2" t="s">
        <v>41</v>
      </c>
      <c r="F124" s="2" t="s">
        <v>42</v>
      </c>
      <c r="G124" s="2" t="n">
        <v>463</v>
      </c>
      <c r="H124" s="2" t="n">
        <v>120000</v>
      </c>
      <c r="I124" s="2" t="s">
        <v>31</v>
      </c>
      <c r="J124" s="2" t="n">
        <v>14</v>
      </c>
      <c r="K124" s="3" t="s">
        <v>449</v>
      </c>
      <c r="L124" s="5"/>
      <c r="M124" s="5"/>
      <c r="N124" s="5"/>
    </row>
    <row r="125" customFormat="false" ht="15" hidden="false" customHeight="false" outlineLevel="0" collapsed="false">
      <c r="A125" s="2" t="s">
        <v>450</v>
      </c>
      <c r="B125" s="3" t="s">
        <v>451</v>
      </c>
      <c r="C125" s="2" t="s">
        <v>13</v>
      </c>
      <c r="D125" s="2" t="s">
        <v>452</v>
      </c>
      <c r="E125" s="2" t="s">
        <v>79</v>
      </c>
      <c r="F125" s="2" t="s">
        <v>42</v>
      </c>
      <c r="G125" s="2" t="n">
        <v>233</v>
      </c>
      <c r="H125" s="2" t="n">
        <v>15000</v>
      </c>
      <c r="I125" s="2" t="s">
        <v>31</v>
      </c>
      <c r="J125" s="2" t="n">
        <v>10</v>
      </c>
      <c r="K125" s="3" t="s">
        <v>453</v>
      </c>
      <c r="L125" s="5"/>
      <c r="M125" s="5"/>
      <c r="N125" s="5"/>
    </row>
    <row r="126" customFormat="false" ht="15" hidden="false" customHeight="false" outlineLevel="0" collapsed="false">
      <c r="A126" s="2" t="s">
        <v>454</v>
      </c>
      <c r="B126" s="3" t="s">
        <v>350</v>
      </c>
      <c r="C126" s="2" t="s">
        <v>39</v>
      </c>
      <c r="D126" s="2" t="s">
        <v>455</v>
      </c>
      <c r="E126" s="2" t="s">
        <v>64</v>
      </c>
      <c r="F126" s="2" t="s">
        <v>65</v>
      </c>
      <c r="G126" s="2" t="n">
        <v>390</v>
      </c>
      <c r="H126" s="2" t="n">
        <v>25000</v>
      </c>
      <c r="I126" s="2" t="s">
        <v>31</v>
      </c>
      <c r="J126" s="2" t="n">
        <v>7</v>
      </c>
      <c r="K126" s="3" t="s">
        <v>81</v>
      </c>
      <c r="L126" s="5"/>
      <c r="M126" s="5"/>
      <c r="N126" s="5"/>
    </row>
    <row r="127" customFormat="false" ht="15" hidden="false" customHeight="false" outlineLevel="0" collapsed="false">
      <c r="A127" s="2" t="s">
        <v>456</v>
      </c>
      <c r="B127" s="3" t="s">
        <v>333</v>
      </c>
      <c r="C127" s="2" t="s">
        <v>20</v>
      </c>
      <c r="D127" s="2" t="s">
        <v>457</v>
      </c>
      <c r="E127" s="2" t="s">
        <v>22</v>
      </c>
      <c r="F127" s="2" t="s">
        <v>23</v>
      </c>
      <c r="G127" s="2" t="n">
        <v>435</v>
      </c>
      <c r="H127" s="2" t="n">
        <v>500000</v>
      </c>
      <c r="I127" s="2" t="s">
        <v>47</v>
      </c>
      <c r="J127" s="2" t="n">
        <v>10</v>
      </c>
      <c r="K127" s="3"/>
      <c r="L127" s="5"/>
      <c r="M127" s="5"/>
      <c r="N127" s="5"/>
    </row>
    <row r="128" customFormat="false" ht="15" hidden="false" customHeight="false" outlineLevel="0" collapsed="false">
      <c r="A128" s="2" t="s">
        <v>458</v>
      </c>
      <c r="B128" s="3" t="s">
        <v>459</v>
      </c>
      <c r="C128" s="2" t="s">
        <v>96</v>
      </c>
      <c r="D128" s="2" t="s">
        <v>460</v>
      </c>
      <c r="E128" s="2" t="s">
        <v>94</v>
      </c>
      <c r="F128" s="2" t="s">
        <v>65</v>
      </c>
      <c r="G128" s="2" t="n">
        <v>158</v>
      </c>
      <c r="H128" s="2" t="n">
        <v>25000</v>
      </c>
      <c r="I128" s="2" t="s">
        <v>31</v>
      </c>
      <c r="J128" s="2" t="n">
        <v>3</v>
      </c>
      <c r="K128" s="3" t="s">
        <v>461</v>
      </c>
      <c r="L128" s="5"/>
      <c r="M128" s="5"/>
      <c r="N128" s="5"/>
    </row>
    <row r="129" customFormat="false" ht="15" hidden="false" customHeight="false" outlineLevel="0" collapsed="false">
      <c r="A129" s="2" t="s">
        <v>462</v>
      </c>
      <c r="B129" s="3" t="s">
        <v>71</v>
      </c>
      <c r="C129" s="2" t="s">
        <v>72</v>
      </c>
      <c r="D129" s="2" t="s">
        <v>463</v>
      </c>
      <c r="E129" s="2" t="s">
        <v>281</v>
      </c>
      <c r="F129" s="2" t="s">
        <v>65</v>
      </c>
      <c r="G129" s="2" t="n">
        <v>66</v>
      </c>
      <c r="H129" s="2" t="n">
        <v>850000</v>
      </c>
      <c r="I129" s="2" t="s">
        <v>31</v>
      </c>
      <c r="J129" s="2" t="n">
        <v>5</v>
      </c>
      <c r="K129" s="3" t="s">
        <v>464</v>
      </c>
      <c r="L129" s="5"/>
      <c r="M129" s="5"/>
      <c r="N129" s="5"/>
    </row>
    <row r="130" customFormat="false" ht="15" hidden="false" customHeight="false" outlineLevel="0" collapsed="false">
      <c r="A130" s="2" t="s">
        <v>465</v>
      </c>
      <c r="B130" s="3" t="s">
        <v>415</v>
      </c>
      <c r="C130" s="2" t="s">
        <v>77</v>
      </c>
      <c r="D130" s="2" t="s">
        <v>466</v>
      </c>
      <c r="E130" s="2" t="s">
        <v>243</v>
      </c>
      <c r="F130" s="2" t="s">
        <v>16</v>
      </c>
      <c r="G130" s="2" t="n">
        <v>354</v>
      </c>
      <c r="H130" s="2" t="n">
        <v>500000</v>
      </c>
      <c r="I130" s="2" t="s">
        <v>31</v>
      </c>
      <c r="J130" s="2" t="n">
        <v>5</v>
      </c>
      <c r="K130" s="3" t="s">
        <v>201</v>
      </c>
      <c r="L130" s="5"/>
      <c r="M130" s="5"/>
      <c r="N130" s="5"/>
    </row>
    <row r="131" customFormat="false" ht="15" hidden="false" customHeight="false" outlineLevel="0" collapsed="false">
      <c r="A131" s="2" t="s">
        <v>467</v>
      </c>
      <c r="B131" s="3" t="s">
        <v>313</v>
      </c>
      <c r="C131" s="2" t="s">
        <v>54</v>
      </c>
      <c r="D131" s="2" t="s">
        <v>468</v>
      </c>
      <c r="E131" s="2" t="s">
        <v>243</v>
      </c>
      <c r="F131" s="2" t="s">
        <v>16</v>
      </c>
      <c r="G131" s="2" t="n">
        <v>208</v>
      </c>
      <c r="H131" s="2" t="n">
        <v>1200000</v>
      </c>
      <c r="I131" s="2" t="s">
        <v>31</v>
      </c>
      <c r="J131" s="2" t="n">
        <v>7</v>
      </c>
      <c r="K131" s="3" t="s">
        <v>469</v>
      </c>
      <c r="L131" s="5"/>
      <c r="M131" s="5"/>
      <c r="N131" s="5"/>
    </row>
    <row r="132" customFormat="false" ht="15" hidden="false" customHeight="false" outlineLevel="0" collapsed="false">
      <c r="A132" s="2" t="s">
        <v>470</v>
      </c>
      <c r="B132" s="3" t="s">
        <v>156</v>
      </c>
      <c r="C132" s="2" t="s">
        <v>182</v>
      </c>
      <c r="D132" s="2" t="s">
        <v>471</v>
      </c>
      <c r="E132" s="2" t="s">
        <v>114</v>
      </c>
      <c r="F132" s="2" t="s">
        <v>30</v>
      </c>
      <c r="G132" s="2" t="n">
        <v>272</v>
      </c>
      <c r="H132" s="2" t="n">
        <v>500000</v>
      </c>
      <c r="I132" s="2" t="s">
        <v>31</v>
      </c>
      <c r="J132" s="2" t="n">
        <v>5</v>
      </c>
      <c r="K132" s="3" t="s">
        <v>472</v>
      </c>
      <c r="L132" s="5"/>
      <c r="M132" s="5"/>
      <c r="N132" s="5"/>
    </row>
    <row r="133" customFormat="false" ht="15" hidden="false" customHeight="false" outlineLevel="0" collapsed="false">
      <c r="A133" s="2" t="s">
        <v>473</v>
      </c>
      <c r="B133" s="3" t="s">
        <v>474</v>
      </c>
      <c r="C133" s="2" t="s">
        <v>20</v>
      </c>
      <c r="D133" s="2" t="s">
        <v>475</v>
      </c>
      <c r="E133" s="2" t="s">
        <v>64</v>
      </c>
      <c r="F133" s="2" t="s">
        <v>65</v>
      </c>
      <c r="G133" s="2" t="n">
        <v>293</v>
      </c>
      <c r="H133" s="2" t="n">
        <v>25000</v>
      </c>
      <c r="I133" s="2" t="s">
        <v>47</v>
      </c>
      <c r="J133" s="2" t="n">
        <v>14</v>
      </c>
      <c r="K133" s="3"/>
      <c r="L133" s="5"/>
      <c r="M133" s="5"/>
      <c r="N133" s="5"/>
    </row>
    <row r="134" customFormat="false" ht="15" hidden="false" customHeight="false" outlineLevel="0" collapsed="false">
      <c r="A134" s="2" t="s">
        <v>476</v>
      </c>
      <c r="B134" s="3" t="s">
        <v>469</v>
      </c>
      <c r="C134" s="2" t="s">
        <v>27</v>
      </c>
      <c r="D134" s="2" t="s">
        <v>477</v>
      </c>
      <c r="E134" s="2" t="s">
        <v>158</v>
      </c>
      <c r="F134" s="2" t="s">
        <v>89</v>
      </c>
      <c r="G134" s="2" t="n">
        <v>253</v>
      </c>
      <c r="H134" s="2" t="n">
        <v>850000</v>
      </c>
      <c r="I134" s="2" t="s">
        <v>31</v>
      </c>
      <c r="J134" s="2" t="n">
        <v>7</v>
      </c>
      <c r="K134" s="3" t="s">
        <v>478</v>
      </c>
      <c r="L134" s="5"/>
      <c r="M134" s="5"/>
      <c r="N134" s="5"/>
    </row>
    <row r="135" customFormat="false" ht="15" hidden="false" customHeight="false" outlineLevel="0" collapsed="false">
      <c r="A135" s="2" t="s">
        <v>479</v>
      </c>
      <c r="B135" s="3" t="s">
        <v>480</v>
      </c>
      <c r="C135" s="2" t="s">
        <v>20</v>
      </c>
      <c r="D135" s="2" t="s">
        <v>481</v>
      </c>
      <c r="E135" s="2" t="s">
        <v>110</v>
      </c>
      <c r="F135" s="2" t="s">
        <v>65</v>
      </c>
      <c r="G135" s="2" t="n">
        <v>207</v>
      </c>
      <c r="H135" s="2" t="n">
        <v>250000</v>
      </c>
      <c r="I135" s="2" t="s">
        <v>24</v>
      </c>
      <c r="J135" s="2" t="n">
        <v>3</v>
      </c>
      <c r="K135" s="3"/>
      <c r="L135" s="5"/>
      <c r="M135" s="5"/>
      <c r="N135" s="5"/>
    </row>
    <row r="136" customFormat="false" ht="15" hidden="false" customHeight="false" outlineLevel="0" collapsed="false">
      <c r="A136" s="2" t="s">
        <v>482</v>
      </c>
      <c r="B136" s="3" t="s">
        <v>483</v>
      </c>
      <c r="C136" s="2" t="s">
        <v>39</v>
      </c>
      <c r="D136" s="2" t="s">
        <v>484</v>
      </c>
      <c r="E136" s="2" t="s">
        <v>443</v>
      </c>
      <c r="F136" s="2" t="s">
        <v>89</v>
      </c>
      <c r="G136" s="2" t="n">
        <v>423</v>
      </c>
      <c r="H136" s="2" t="n">
        <v>120000</v>
      </c>
      <c r="I136" s="2" t="s">
        <v>31</v>
      </c>
      <c r="J136" s="2" t="n">
        <v>10</v>
      </c>
      <c r="K136" s="3" t="s">
        <v>396</v>
      </c>
      <c r="L136" s="5"/>
      <c r="M136" s="5"/>
      <c r="N136" s="5"/>
    </row>
    <row r="137" customFormat="false" ht="15" hidden="false" customHeight="false" outlineLevel="0" collapsed="false">
      <c r="A137" s="2" t="s">
        <v>485</v>
      </c>
      <c r="B137" s="3" t="s">
        <v>486</v>
      </c>
      <c r="C137" s="2" t="s">
        <v>77</v>
      </c>
      <c r="D137" s="2" t="s">
        <v>487</v>
      </c>
      <c r="E137" s="2" t="s">
        <v>158</v>
      </c>
      <c r="F137" s="2" t="s">
        <v>89</v>
      </c>
      <c r="G137" s="2" t="n">
        <v>427</v>
      </c>
      <c r="H137" s="2" t="n">
        <v>250000</v>
      </c>
      <c r="I137" s="2" t="s">
        <v>31</v>
      </c>
      <c r="J137" s="2" t="n">
        <v>10</v>
      </c>
      <c r="K137" s="3" t="s">
        <v>324</v>
      </c>
      <c r="L137" s="5"/>
      <c r="M137" s="5"/>
      <c r="N137" s="5"/>
    </row>
    <row r="138" customFormat="false" ht="15" hidden="false" customHeight="false" outlineLevel="0" collapsed="false">
      <c r="A138" s="2" t="s">
        <v>488</v>
      </c>
      <c r="B138" s="3" t="s">
        <v>489</v>
      </c>
      <c r="C138" s="2" t="s">
        <v>96</v>
      </c>
      <c r="D138" s="2" t="s">
        <v>490</v>
      </c>
      <c r="E138" s="2" t="s">
        <v>51</v>
      </c>
      <c r="F138" s="2" t="s">
        <v>23</v>
      </c>
      <c r="G138" s="2" t="n">
        <v>253</v>
      </c>
      <c r="H138" s="2" t="n">
        <v>1200000</v>
      </c>
      <c r="I138" s="2" t="s">
        <v>47</v>
      </c>
      <c r="J138" s="2" t="n">
        <v>3</v>
      </c>
      <c r="K138" s="3"/>
      <c r="L138" s="5"/>
      <c r="M138" s="5"/>
      <c r="N138" s="5"/>
    </row>
    <row r="139" customFormat="false" ht="15" hidden="false" customHeight="false" outlineLevel="0" collapsed="false">
      <c r="A139" s="2" t="s">
        <v>491</v>
      </c>
      <c r="B139" s="3" t="s">
        <v>216</v>
      </c>
      <c r="C139" s="2" t="s">
        <v>77</v>
      </c>
      <c r="D139" s="2" t="s">
        <v>492</v>
      </c>
      <c r="E139" s="2" t="s">
        <v>162</v>
      </c>
      <c r="F139" s="2" t="s">
        <v>16</v>
      </c>
      <c r="G139" s="2" t="n">
        <v>264</v>
      </c>
      <c r="H139" s="2" t="n">
        <v>500000</v>
      </c>
      <c r="I139" s="2" t="s">
        <v>31</v>
      </c>
      <c r="J139" s="2" t="n">
        <v>14</v>
      </c>
      <c r="K139" s="3" t="s">
        <v>493</v>
      </c>
      <c r="L139" s="5"/>
      <c r="M139" s="5"/>
      <c r="N139" s="5"/>
    </row>
    <row r="140" customFormat="false" ht="15" hidden="false" customHeight="false" outlineLevel="0" collapsed="false">
      <c r="A140" s="2" t="s">
        <v>494</v>
      </c>
      <c r="B140" s="3" t="s">
        <v>368</v>
      </c>
      <c r="C140" s="2" t="s">
        <v>82</v>
      </c>
      <c r="D140" s="2" t="s">
        <v>495</v>
      </c>
      <c r="E140" s="2" t="s">
        <v>36</v>
      </c>
      <c r="F140" s="2" t="s">
        <v>23</v>
      </c>
      <c r="G140" s="2" t="n">
        <v>21</v>
      </c>
      <c r="H140" s="2" t="n">
        <v>850000</v>
      </c>
      <c r="I140" s="2" t="s">
        <v>31</v>
      </c>
      <c r="J140" s="2" t="n">
        <v>7</v>
      </c>
      <c r="K140" s="3" t="s">
        <v>489</v>
      </c>
      <c r="L140" s="5"/>
      <c r="M140" s="5"/>
      <c r="N140" s="5"/>
    </row>
    <row r="141" customFormat="false" ht="15" hidden="false" customHeight="false" outlineLevel="0" collapsed="false">
      <c r="A141" s="2" t="s">
        <v>496</v>
      </c>
      <c r="B141" s="3" t="s">
        <v>379</v>
      </c>
      <c r="C141" s="2" t="s">
        <v>13</v>
      </c>
      <c r="D141" s="2" t="s">
        <v>497</v>
      </c>
      <c r="E141" s="2" t="s">
        <v>386</v>
      </c>
      <c r="F141" s="2" t="s">
        <v>42</v>
      </c>
      <c r="G141" s="2" t="n">
        <v>330</v>
      </c>
      <c r="H141" s="2" t="n">
        <v>25000</v>
      </c>
      <c r="I141" s="2" t="s">
        <v>24</v>
      </c>
      <c r="J141" s="2" t="n">
        <v>5</v>
      </c>
      <c r="K141" s="3"/>
      <c r="L141" s="5"/>
      <c r="M141" s="5"/>
      <c r="N141" s="5"/>
    </row>
    <row r="142" customFormat="false" ht="15" hidden="false" customHeight="false" outlineLevel="0" collapsed="false">
      <c r="A142" s="2" t="s">
        <v>498</v>
      </c>
      <c r="B142" s="3" t="s">
        <v>296</v>
      </c>
      <c r="C142" s="2" t="s">
        <v>96</v>
      </c>
      <c r="D142" s="2" t="s">
        <v>499</v>
      </c>
      <c r="E142" s="2" t="s">
        <v>110</v>
      </c>
      <c r="F142" s="2" t="s">
        <v>65</v>
      </c>
      <c r="G142" s="2" t="n">
        <v>496</v>
      </c>
      <c r="H142" s="2" t="n">
        <v>850000</v>
      </c>
      <c r="I142" s="2" t="s">
        <v>24</v>
      </c>
      <c r="J142" s="2" t="n">
        <v>7</v>
      </c>
      <c r="K142" s="3"/>
      <c r="L142" s="5"/>
      <c r="M142" s="5"/>
      <c r="N142" s="5"/>
    </row>
    <row r="143" customFormat="false" ht="15" hidden="false" customHeight="false" outlineLevel="0" collapsed="false">
      <c r="A143" s="2" t="s">
        <v>500</v>
      </c>
      <c r="B143" s="3" t="s">
        <v>469</v>
      </c>
      <c r="C143" s="2" t="s">
        <v>77</v>
      </c>
      <c r="D143" s="2" t="s">
        <v>501</v>
      </c>
      <c r="E143" s="2" t="s">
        <v>443</v>
      </c>
      <c r="F143" s="2" t="s">
        <v>89</v>
      </c>
      <c r="G143" s="2" t="n">
        <v>19</v>
      </c>
      <c r="H143" s="2" t="n">
        <v>500000</v>
      </c>
      <c r="I143" s="2" t="s">
        <v>31</v>
      </c>
      <c r="J143" s="2" t="n">
        <v>14</v>
      </c>
      <c r="K143" s="3" t="s">
        <v>405</v>
      </c>
      <c r="L143" s="5"/>
      <c r="M143" s="5"/>
      <c r="N143" s="5"/>
    </row>
    <row r="144" customFormat="false" ht="15" hidden="false" customHeight="false" outlineLevel="0" collapsed="false">
      <c r="A144" s="2" t="s">
        <v>502</v>
      </c>
      <c r="B144" s="3" t="s">
        <v>199</v>
      </c>
      <c r="C144" s="2" t="s">
        <v>82</v>
      </c>
      <c r="D144" s="2" t="s">
        <v>503</v>
      </c>
      <c r="E144" s="2" t="s">
        <v>29</v>
      </c>
      <c r="F144" s="2" t="s">
        <v>30</v>
      </c>
      <c r="G144" s="2" t="n">
        <v>338</v>
      </c>
      <c r="H144" s="2" t="n">
        <v>500000</v>
      </c>
      <c r="I144" s="2" t="s">
        <v>31</v>
      </c>
      <c r="J144" s="2" t="n">
        <v>3</v>
      </c>
      <c r="K144" s="3" t="s">
        <v>504</v>
      </c>
      <c r="L144" s="5"/>
      <c r="M144" s="5"/>
      <c r="N144" s="5"/>
    </row>
    <row r="145" customFormat="false" ht="15" hidden="false" customHeight="false" outlineLevel="0" collapsed="false">
      <c r="A145" s="2" t="s">
        <v>505</v>
      </c>
      <c r="B145" s="3" t="s">
        <v>58</v>
      </c>
      <c r="C145" s="2" t="s">
        <v>77</v>
      </c>
      <c r="D145" s="2" t="s">
        <v>506</v>
      </c>
      <c r="E145" s="2" t="s">
        <v>64</v>
      </c>
      <c r="F145" s="2" t="s">
        <v>65</v>
      </c>
      <c r="G145" s="2" t="n">
        <v>134</v>
      </c>
      <c r="H145" s="2" t="n">
        <v>120000</v>
      </c>
      <c r="I145" s="2" t="s">
        <v>24</v>
      </c>
      <c r="J145" s="2" t="n">
        <v>7</v>
      </c>
      <c r="K145" s="3"/>
      <c r="L145" s="5"/>
      <c r="M145" s="5"/>
      <c r="N145" s="5"/>
    </row>
    <row r="146" customFormat="false" ht="15" hidden="false" customHeight="false" outlineLevel="0" collapsed="false">
      <c r="A146" s="2" t="s">
        <v>507</v>
      </c>
      <c r="B146" s="3" t="s">
        <v>508</v>
      </c>
      <c r="C146" s="2" t="s">
        <v>27</v>
      </c>
      <c r="D146" s="2" t="s">
        <v>509</v>
      </c>
      <c r="E146" s="2" t="s">
        <v>158</v>
      </c>
      <c r="F146" s="2" t="s">
        <v>89</v>
      </c>
      <c r="G146" s="2" t="n">
        <v>116</v>
      </c>
      <c r="H146" s="2" t="n">
        <v>850000</v>
      </c>
      <c r="I146" s="2" t="s">
        <v>31</v>
      </c>
      <c r="J146" s="2" t="n">
        <v>14</v>
      </c>
      <c r="K146" s="3" t="s">
        <v>156</v>
      </c>
      <c r="L146" s="5"/>
      <c r="M146" s="5"/>
      <c r="N146" s="5"/>
    </row>
    <row r="147" customFormat="false" ht="15" hidden="false" customHeight="false" outlineLevel="0" collapsed="false">
      <c r="A147" s="2" t="s">
        <v>510</v>
      </c>
      <c r="B147" s="3" t="s">
        <v>343</v>
      </c>
      <c r="C147" s="2" t="s">
        <v>54</v>
      </c>
      <c r="D147" s="2" t="s">
        <v>337</v>
      </c>
      <c r="E147" s="2" t="s">
        <v>119</v>
      </c>
      <c r="F147" s="2" t="s">
        <v>16</v>
      </c>
      <c r="G147" s="2" t="n">
        <v>499</v>
      </c>
      <c r="H147" s="2" t="n">
        <v>250000</v>
      </c>
      <c r="I147" s="2" t="s">
        <v>24</v>
      </c>
      <c r="J147" s="2" t="n">
        <v>14</v>
      </c>
      <c r="K147" s="3"/>
      <c r="L147" s="5"/>
      <c r="M147" s="5"/>
      <c r="N147" s="5"/>
    </row>
    <row r="148" customFormat="false" ht="15" hidden="false" customHeight="false" outlineLevel="0" collapsed="false">
      <c r="A148" s="2" t="s">
        <v>511</v>
      </c>
      <c r="B148" s="3" t="s">
        <v>512</v>
      </c>
      <c r="C148" s="2" t="s">
        <v>39</v>
      </c>
      <c r="D148" s="2" t="s">
        <v>513</v>
      </c>
      <c r="E148" s="2" t="s">
        <v>443</v>
      </c>
      <c r="F148" s="2" t="s">
        <v>89</v>
      </c>
      <c r="G148" s="2" t="n">
        <v>37</v>
      </c>
      <c r="H148" s="2" t="n">
        <v>250000</v>
      </c>
      <c r="I148" s="2" t="s">
        <v>17</v>
      </c>
      <c r="J148" s="2" t="n">
        <v>7</v>
      </c>
      <c r="K148" s="3"/>
      <c r="L148" s="5"/>
      <c r="M148" s="5"/>
      <c r="N148" s="5"/>
    </row>
    <row r="149" customFormat="false" ht="15" hidden="false" customHeight="false" outlineLevel="0" collapsed="false">
      <c r="A149" s="2" t="s">
        <v>514</v>
      </c>
      <c r="B149" s="3" t="s">
        <v>259</v>
      </c>
      <c r="C149" s="2" t="s">
        <v>39</v>
      </c>
      <c r="D149" s="2" t="s">
        <v>515</v>
      </c>
      <c r="E149" s="2" t="s">
        <v>198</v>
      </c>
      <c r="F149" s="2" t="s">
        <v>30</v>
      </c>
      <c r="G149" s="2" t="n">
        <v>81</v>
      </c>
      <c r="H149" s="2" t="n">
        <v>1200000</v>
      </c>
      <c r="I149" s="2" t="s">
        <v>47</v>
      </c>
      <c r="J149" s="2" t="n">
        <v>3</v>
      </c>
      <c r="K149" s="3"/>
      <c r="L149" s="5"/>
      <c r="M149" s="5"/>
      <c r="N149" s="5"/>
    </row>
    <row r="150" customFormat="false" ht="15" hidden="false" customHeight="false" outlineLevel="0" collapsed="false">
      <c r="A150" s="2" t="s">
        <v>516</v>
      </c>
      <c r="B150" s="3" t="s">
        <v>517</v>
      </c>
      <c r="C150" s="2" t="s">
        <v>27</v>
      </c>
      <c r="D150" s="2" t="s">
        <v>518</v>
      </c>
      <c r="E150" s="2" t="s">
        <v>198</v>
      </c>
      <c r="F150" s="2" t="s">
        <v>30</v>
      </c>
      <c r="G150" s="2" t="n">
        <v>76</v>
      </c>
      <c r="H150" s="2" t="n">
        <v>15000</v>
      </c>
      <c r="I150" s="2" t="s">
        <v>24</v>
      </c>
      <c r="J150" s="2" t="n">
        <v>7</v>
      </c>
      <c r="K150" s="3"/>
      <c r="L150" s="5"/>
      <c r="M150" s="5"/>
      <c r="N150" s="5"/>
    </row>
    <row r="151" customFormat="false" ht="15" hidden="false" customHeight="false" outlineLevel="0" collapsed="false">
      <c r="A151" s="2" t="s">
        <v>519</v>
      </c>
      <c r="B151" s="3" t="s">
        <v>520</v>
      </c>
      <c r="C151" s="2" t="s">
        <v>27</v>
      </c>
      <c r="D151" s="2" t="s">
        <v>521</v>
      </c>
      <c r="E151" s="2" t="s">
        <v>41</v>
      </c>
      <c r="F151" s="2" t="s">
        <v>42</v>
      </c>
      <c r="G151" s="2" t="n">
        <v>23</v>
      </c>
      <c r="H151" s="2" t="n">
        <v>75000</v>
      </c>
      <c r="I151" s="2" t="s">
        <v>31</v>
      </c>
      <c r="J151" s="2" t="n">
        <v>5</v>
      </c>
      <c r="K151" s="3" t="s">
        <v>384</v>
      </c>
      <c r="L151" s="5"/>
      <c r="M151" s="5"/>
      <c r="N151" s="5"/>
    </row>
    <row r="152" customFormat="false" ht="15" hidden="false" customHeight="false" outlineLevel="0" collapsed="false">
      <c r="A152" s="2" t="s">
        <v>522</v>
      </c>
      <c r="B152" s="3" t="s">
        <v>523</v>
      </c>
      <c r="C152" s="2" t="s">
        <v>96</v>
      </c>
      <c r="D152" s="2" t="s">
        <v>524</v>
      </c>
      <c r="E152" s="2" t="s">
        <v>198</v>
      </c>
      <c r="F152" s="2" t="s">
        <v>30</v>
      </c>
      <c r="G152" s="2" t="n">
        <v>158</v>
      </c>
      <c r="H152" s="2" t="n">
        <v>45000</v>
      </c>
      <c r="I152" s="2" t="s">
        <v>47</v>
      </c>
      <c r="J152" s="2" t="n">
        <v>14</v>
      </c>
      <c r="K152" s="3"/>
      <c r="L152" s="5"/>
      <c r="M152" s="5"/>
      <c r="N152" s="5"/>
    </row>
    <row r="153" customFormat="false" ht="15" hidden="false" customHeight="false" outlineLevel="0" collapsed="false">
      <c r="A153" s="2" t="s">
        <v>525</v>
      </c>
      <c r="B153" s="3" t="s">
        <v>526</v>
      </c>
      <c r="C153" s="2" t="s">
        <v>39</v>
      </c>
      <c r="D153" s="2" t="s">
        <v>527</v>
      </c>
      <c r="E153" s="2" t="s">
        <v>243</v>
      </c>
      <c r="F153" s="2" t="s">
        <v>16</v>
      </c>
      <c r="G153" s="2" t="n">
        <v>384</v>
      </c>
      <c r="H153" s="2" t="n">
        <v>120000</v>
      </c>
      <c r="I153" s="2" t="s">
        <v>24</v>
      </c>
      <c r="J153" s="2" t="n">
        <v>14</v>
      </c>
      <c r="K153" s="3"/>
      <c r="L153" s="5"/>
      <c r="M153" s="5"/>
      <c r="N153" s="5"/>
    </row>
    <row r="154" customFormat="false" ht="15" hidden="false" customHeight="false" outlineLevel="0" collapsed="false">
      <c r="A154" s="2" t="s">
        <v>528</v>
      </c>
      <c r="B154" s="3" t="s">
        <v>529</v>
      </c>
      <c r="C154" s="2" t="s">
        <v>13</v>
      </c>
      <c r="D154" s="2" t="s">
        <v>530</v>
      </c>
      <c r="E154" s="2" t="s">
        <v>294</v>
      </c>
      <c r="F154" s="2" t="s">
        <v>30</v>
      </c>
      <c r="G154" s="2" t="n">
        <v>186</v>
      </c>
      <c r="H154" s="2" t="n">
        <v>75000</v>
      </c>
      <c r="I154" s="2" t="s">
        <v>24</v>
      </c>
      <c r="J154" s="2" t="n">
        <v>7</v>
      </c>
      <c r="K154" s="3"/>
      <c r="L154" s="5"/>
      <c r="M154" s="5"/>
      <c r="N154" s="5"/>
    </row>
    <row r="155" customFormat="false" ht="15" hidden="false" customHeight="false" outlineLevel="0" collapsed="false">
      <c r="A155" s="2" t="s">
        <v>531</v>
      </c>
      <c r="B155" s="3" t="s">
        <v>532</v>
      </c>
      <c r="C155" s="2" t="s">
        <v>13</v>
      </c>
      <c r="D155" s="2" t="s">
        <v>533</v>
      </c>
      <c r="E155" s="2" t="s">
        <v>133</v>
      </c>
      <c r="F155" s="2" t="s">
        <v>89</v>
      </c>
      <c r="G155" s="2" t="n">
        <v>155</v>
      </c>
      <c r="H155" s="2" t="n">
        <v>850000</v>
      </c>
      <c r="I155" s="2" t="s">
        <v>47</v>
      </c>
      <c r="J155" s="2" t="n">
        <v>10</v>
      </c>
      <c r="K155" s="3"/>
      <c r="L155" s="5"/>
      <c r="M155" s="5"/>
      <c r="N155" s="5"/>
    </row>
    <row r="156" customFormat="false" ht="15" hidden="false" customHeight="false" outlineLevel="0" collapsed="false">
      <c r="A156" s="2" t="s">
        <v>534</v>
      </c>
      <c r="B156" s="3" t="s">
        <v>535</v>
      </c>
      <c r="C156" s="2" t="s">
        <v>20</v>
      </c>
      <c r="D156" s="2" t="s">
        <v>536</v>
      </c>
      <c r="E156" s="2" t="s">
        <v>281</v>
      </c>
      <c r="F156" s="2" t="s">
        <v>65</v>
      </c>
      <c r="G156" s="2" t="n">
        <v>246</v>
      </c>
      <c r="H156" s="2" t="n">
        <v>75000</v>
      </c>
      <c r="I156" s="2" t="s">
        <v>31</v>
      </c>
      <c r="J156" s="2" t="n">
        <v>10</v>
      </c>
      <c r="K156" s="3" t="s">
        <v>537</v>
      </c>
      <c r="L156" s="5"/>
      <c r="M156" s="5"/>
      <c r="N156" s="5"/>
    </row>
    <row r="157" customFormat="false" ht="15" hidden="false" customHeight="false" outlineLevel="0" collapsed="false">
      <c r="A157" s="2" t="s">
        <v>538</v>
      </c>
      <c r="B157" s="3" t="s">
        <v>539</v>
      </c>
      <c r="C157" s="2" t="s">
        <v>27</v>
      </c>
      <c r="D157" s="2" t="s">
        <v>375</v>
      </c>
      <c r="E157" s="2" t="s">
        <v>15</v>
      </c>
      <c r="F157" s="2" t="s">
        <v>16</v>
      </c>
      <c r="G157" s="2" t="n">
        <v>107</v>
      </c>
      <c r="H157" s="2" t="n">
        <v>250000</v>
      </c>
      <c r="I157" s="2" t="s">
        <v>31</v>
      </c>
      <c r="J157" s="2" t="n">
        <v>14</v>
      </c>
      <c r="K157" s="3" t="s">
        <v>299</v>
      </c>
      <c r="L157" s="5"/>
      <c r="M157" s="5"/>
      <c r="N157" s="5"/>
    </row>
    <row r="158" customFormat="false" ht="15" hidden="false" customHeight="false" outlineLevel="0" collapsed="false">
      <c r="A158" s="2" t="s">
        <v>540</v>
      </c>
      <c r="B158" s="3" t="s">
        <v>480</v>
      </c>
      <c r="C158" s="2" t="s">
        <v>13</v>
      </c>
      <c r="D158" s="2" t="s">
        <v>541</v>
      </c>
      <c r="E158" s="2" t="s">
        <v>29</v>
      </c>
      <c r="F158" s="2" t="s">
        <v>30</v>
      </c>
      <c r="G158" s="2" t="n">
        <v>46</v>
      </c>
      <c r="H158" s="2" t="n">
        <v>850000</v>
      </c>
      <c r="I158" s="2" t="s">
        <v>31</v>
      </c>
      <c r="J158" s="2" t="n">
        <v>5</v>
      </c>
      <c r="K158" s="3" t="s">
        <v>231</v>
      </c>
      <c r="L158" s="5"/>
      <c r="M158" s="5"/>
      <c r="N158" s="5"/>
    </row>
    <row r="159" customFormat="false" ht="15" hidden="false" customHeight="false" outlineLevel="0" collapsed="false">
      <c r="A159" s="2" t="s">
        <v>542</v>
      </c>
      <c r="B159" s="3" t="s">
        <v>543</v>
      </c>
      <c r="C159" s="2" t="s">
        <v>182</v>
      </c>
      <c r="D159" s="2" t="s">
        <v>544</v>
      </c>
      <c r="E159" s="2" t="s">
        <v>243</v>
      </c>
      <c r="F159" s="2" t="s">
        <v>16</v>
      </c>
      <c r="G159" s="2" t="n">
        <v>112</v>
      </c>
      <c r="H159" s="2" t="n">
        <v>45000</v>
      </c>
      <c r="I159" s="2" t="s">
        <v>24</v>
      </c>
      <c r="J159" s="2" t="n">
        <v>5</v>
      </c>
      <c r="K159" s="3"/>
      <c r="L159" s="5"/>
      <c r="M159" s="5"/>
      <c r="N159" s="5"/>
    </row>
    <row r="160" customFormat="false" ht="15" hidden="false" customHeight="false" outlineLevel="0" collapsed="false">
      <c r="A160" s="2" t="s">
        <v>545</v>
      </c>
      <c r="B160" s="3" t="s">
        <v>212</v>
      </c>
      <c r="C160" s="2" t="s">
        <v>54</v>
      </c>
      <c r="D160" s="2" t="s">
        <v>546</v>
      </c>
      <c r="E160" s="2" t="s">
        <v>22</v>
      </c>
      <c r="F160" s="2" t="s">
        <v>23</v>
      </c>
      <c r="G160" s="2" t="n">
        <v>329</v>
      </c>
      <c r="H160" s="2" t="n">
        <v>500000</v>
      </c>
      <c r="I160" s="2" t="s">
        <v>31</v>
      </c>
      <c r="J160" s="2" t="n">
        <v>10</v>
      </c>
      <c r="K160" s="3" t="s">
        <v>547</v>
      </c>
      <c r="L160" s="5"/>
      <c r="M160" s="5"/>
      <c r="N160" s="5"/>
    </row>
    <row r="161" customFormat="false" ht="15" hidden="false" customHeight="false" outlineLevel="0" collapsed="false">
      <c r="A161" s="2" t="s">
        <v>548</v>
      </c>
      <c r="B161" s="3" t="s">
        <v>549</v>
      </c>
      <c r="C161" s="2" t="s">
        <v>182</v>
      </c>
      <c r="D161" s="2" t="s">
        <v>550</v>
      </c>
      <c r="E161" s="2" t="s">
        <v>94</v>
      </c>
      <c r="F161" s="2" t="s">
        <v>65</v>
      </c>
      <c r="G161" s="2" t="n">
        <v>196</v>
      </c>
      <c r="H161" s="2" t="n">
        <v>15000</v>
      </c>
      <c r="I161" s="2" t="s">
        <v>47</v>
      </c>
      <c r="J161" s="2" t="n">
        <v>14</v>
      </c>
      <c r="K161" s="3"/>
      <c r="L161" s="5"/>
      <c r="M161" s="5"/>
      <c r="N161" s="5"/>
    </row>
    <row r="162" customFormat="false" ht="15" hidden="false" customHeight="false" outlineLevel="0" collapsed="false">
      <c r="A162" s="2" t="s">
        <v>551</v>
      </c>
      <c r="B162" s="3" t="s">
        <v>552</v>
      </c>
      <c r="C162" s="2" t="s">
        <v>182</v>
      </c>
      <c r="D162" s="2" t="s">
        <v>553</v>
      </c>
      <c r="E162" s="2" t="s">
        <v>294</v>
      </c>
      <c r="F162" s="2" t="s">
        <v>30</v>
      </c>
      <c r="G162" s="2" t="n">
        <v>380</v>
      </c>
      <c r="H162" s="2" t="n">
        <v>75000</v>
      </c>
      <c r="I162" s="2" t="s">
        <v>31</v>
      </c>
      <c r="J162" s="2" t="n">
        <v>7</v>
      </c>
      <c r="K162" s="3" t="s">
        <v>453</v>
      </c>
      <c r="L162" s="5"/>
      <c r="M162" s="5"/>
      <c r="N162" s="5"/>
    </row>
    <row r="163" customFormat="false" ht="15" hidden="false" customHeight="false" outlineLevel="0" collapsed="false">
      <c r="A163" s="2" t="s">
        <v>554</v>
      </c>
      <c r="B163" s="3" t="s">
        <v>358</v>
      </c>
      <c r="C163" s="2" t="s">
        <v>54</v>
      </c>
      <c r="D163" s="2" t="s">
        <v>555</v>
      </c>
      <c r="E163" s="2" t="s">
        <v>386</v>
      </c>
      <c r="F163" s="2" t="s">
        <v>42</v>
      </c>
      <c r="G163" s="2" t="n">
        <v>161</v>
      </c>
      <c r="H163" s="2" t="n">
        <v>45000</v>
      </c>
      <c r="I163" s="2" t="s">
        <v>31</v>
      </c>
      <c r="J163" s="2" t="n">
        <v>3</v>
      </c>
      <c r="K163" s="3" t="s">
        <v>556</v>
      </c>
      <c r="L163" s="5"/>
      <c r="M163" s="5"/>
      <c r="N163" s="5"/>
    </row>
    <row r="164" customFormat="false" ht="15" hidden="false" customHeight="false" outlineLevel="0" collapsed="false">
      <c r="A164" s="2" t="s">
        <v>557</v>
      </c>
      <c r="B164" s="3" t="s">
        <v>558</v>
      </c>
      <c r="C164" s="2" t="s">
        <v>96</v>
      </c>
      <c r="D164" s="2" t="s">
        <v>559</v>
      </c>
      <c r="E164" s="2" t="s">
        <v>114</v>
      </c>
      <c r="F164" s="2" t="s">
        <v>30</v>
      </c>
      <c r="G164" s="2" t="n">
        <v>273</v>
      </c>
      <c r="H164" s="2" t="n">
        <v>250000</v>
      </c>
      <c r="I164" s="2" t="s">
        <v>31</v>
      </c>
      <c r="J164" s="2" t="n">
        <v>5</v>
      </c>
      <c r="K164" s="3" t="s">
        <v>560</v>
      </c>
      <c r="L164" s="5"/>
      <c r="M164" s="5"/>
      <c r="N164" s="5"/>
    </row>
    <row r="165" customFormat="false" ht="15" hidden="false" customHeight="false" outlineLevel="0" collapsed="false">
      <c r="A165" s="2" t="s">
        <v>561</v>
      </c>
      <c r="B165" s="3" t="s">
        <v>212</v>
      </c>
      <c r="C165" s="2" t="s">
        <v>13</v>
      </c>
      <c r="D165" s="2" t="s">
        <v>562</v>
      </c>
      <c r="E165" s="2" t="s">
        <v>370</v>
      </c>
      <c r="F165" s="2" t="s">
        <v>23</v>
      </c>
      <c r="G165" s="2" t="n">
        <v>211</v>
      </c>
      <c r="H165" s="2" t="n">
        <v>15000</v>
      </c>
      <c r="I165" s="2" t="s">
        <v>31</v>
      </c>
      <c r="J165" s="2" t="n">
        <v>5</v>
      </c>
      <c r="K165" s="3" t="s">
        <v>563</v>
      </c>
      <c r="L165" s="5"/>
      <c r="M165" s="5"/>
      <c r="N165" s="5"/>
    </row>
    <row r="166" customFormat="false" ht="15" hidden="false" customHeight="false" outlineLevel="0" collapsed="false">
      <c r="A166" s="2" t="s">
        <v>564</v>
      </c>
      <c r="B166" s="3" t="s">
        <v>565</v>
      </c>
      <c r="C166" s="2" t="s">
        <v>20</v>
      </c>
      <c r="D166" s="2" t="s">
        <v>566</v>
      </c>
      <c r="E166" s="2" t="s">
        <v>94</v>
      </c>
      <c r="F166" s="2" t="s">
        <v>65</v>
      </c>
      <c r="G166" s="2" t="n">
        <v>192</v>
      </c>
      <c r="H166" s="2" t="n">
        <v>15000</v>
      </c>
      <c r="I166" s="2" t="s">
        <v>31</v>
      </c>
      <c r="J166" s="2" t="n">
        <v>7</v>
      </c>
      <c r="K166" s="3" t="s">
        <v>567</v>
      </c>
      <c r="L166" s="5"/>
      <c r="M166" s="5"/>
      <c r="N166" s="5"/>
    </row>
    <row r="167" customFormat="false" ht="15" hidden="false" customHeight="false" outlineLevel="0" collapsed="false">
      <c r="A167" s="2" t="s">
        <v>568</v>
      </c>
      <c r="B167" s="3" t="s">
        <v>569</v>
      </c>
      <c r="C167" s="2" t="s">
        <v>182</v>
      </c>
      <c r="D167" s="2" t="s">
        <v>570</v>
      </c>
      <c r="E167" s="2" t="s">
        <v>64</v>
      </c>
      <c r="F167" s="2" t="s">
        <v>65</v>
      </c>
      <c r="G167" s="2" t="n">
        <v>60</v>
      </c>
      <c r="H167" s="2" t="n">
        <v>15000</v>
      </c>
      <c r="I167" s="2" t="s">
        <v>31</v>
      </c>
      <c r="J167" s="2" t="n">
        <v>3</v>
      </c>
      <c r="K167" s="3" t="s">
        <v>523</v>
      </c>
      <c r="L167" s="5"/>
      <c r="M167" s="5"/>
      <c r="N167" s="5"/>
    </row>
    <row r="168" customFormat="false" ht="15" hidden="false" customHeight="false" outlineLevel="0" collapsed="false">
      <c r="A168" s="2" t="s">
        <v>571</v>
      </c>
      <c r="B168" s="3" t="s">
        <v>572</v>
      </c>
      <c r="C168" s="2" t="s">
        <v>27</v>
      </c>
      <c r="D168" s="2" t="s">
        <v>509</v>
      </c>
      <c r="E168" s="2" t="s">
        <v>119</v>
      </c>
      <c r="F168" s="2" t="s">
        <v>16</v>
      </c>
      <c r="G168" s="2" t="n">
        <v>247</v>
      </c>
      <c r="H168" s="2" t="n">
        <v>45000</v>
      </c>
      <c r="I168" s="2" t="s">
        <v>31</v>
      </c>
      <c r="J168" s="2" t="n">
        <v>3</v>
      </c>
      <c r="K168" s="3" t="s">
        <v>573</v>
      </c>
      <c r="L168" s="5"/>
      <c r="M168" s="5"/>
      <c r="N168" s="5"/>
    </row>
    <row r="169" customFormat="false" ht="15" hidden="false" customHeight="false" outlineLevel="0" collapsed="false">
      <c r="A169" s="2" t="s">
        <v>574</v>
      </c>
      <c r="B169" s="3" t="s">
        <v>532</v>
      </c>
      <c r="C169" s="2" t="s">
        <v>54</v>
      </c>
      <c r="D169" s="2" t="s">
        <v>575</v>
      </c>
      <c r="E169" s="2" t="s">
        <v>114</v>
      </c>
      <c r="F169" s="2" t="s">
        <v>30</v>
      </c>
      <c r="G169" s="2" t="n">
        <v>323</v>
      </c>
      <c r="H169" s="2" t="n">
        <v>45000</v>
      </c>
      <c r="I169" s="2" t="s">
        <v>31</v>
      </c>
      <c r="J169" s="2" t="n">
        <v>3</v>
      </c>
      <c r="K169" s="3" t="s">
        <v>576</v>
      </c>
      <c r="L169" s="5"/>
      <c r="M169" s="5"/>
      <c r="N169" s="5"/>
    </row>
    <row r="170" customFormat="false" ht="15" hidden="false" customHeight="false" outlineLevel="0" collapsed="false">
      <c r="A170" s="2" t="s">
        <v>577</v>
      </c>
      <c r="B170" s="3" t="s">
        <v>578</v>
      </c>
      <c r="C170" s="2" t="s">
        <v>54</v>
      </c>
      <c r="D170" s="2" t="s">
        <v>579</v>
      </c>
      <c r="E170" s="2" t="s">
        <v>443</v>
      </c>
      <c r="F170" s="2" t="s">
        <v>89</v>
      </c>
      <c r="G170" s="2" t="n">
        <v>59</v>
      </c>
      <c r="H170" s="2" t="n">
        <v>850000</v>
      </c>
      <c r="I170" s="2" t="s">
        <v>31</v>
      </c>
      <c r="J170" s="2" t="n">
        <v>5</v>
      </c>
      <c r="K170" s="3" t="s">
        <v>580</v>
      </c>
      <c r="L170" s="5"/>
      <c r="M170" s="5"/>
      <c r="N170" s="5"/>
    </row>
    <row r="171" customFormat="false" ht="15" hidden="false" customHeight="false" outlineLevel="0" collapsed="false">
      <c r="A171" s="2" t="s">
        <v>581</v>
      </c>
      <c r="B171" s="3" t="s">
        <v>398</v>
      </c>
      <c r="C171" s="2" t="s">
        <v>82</v>
      </c>
      <c r="D171" s="2" t="s">
        <v>582</v>
      </c>
      <c r="E171" s="2" t="s">
        <v>158</v>
      </c>
      <c r="F171" s="2" t="s">
        <v>89</v>
      </c>
      <c r="G171" s="2" t="n">
        <v>87</v>
      </c>
      <c r="H171" s="2" t="n">
        <v>15000</v>
      </c>
      <c r="I171" s="2" t="s">
        <v>31</v>
      </c>
      <c r="J171" s="2" t="n">
        <v>5</v>
      </c>
      <c r="K171" s="3" t="s">
        <v>189</v>
      </c>
      <c r="L171" s="5"/>
      <c r="M171" s="5"/>
      <c r="N171" s="5"/>
    </row>
    <row r="172" customFormat="false" ht="15" hidden="false" customHeight="false" outlineLevel="0" collapsed="false">
      <c r="A172" s="2" t="s">
        <v>583</v>
      </c>
      <c r="B172" s="3" t="s">
        <v>26</v>
      </c>
      <c r="C172" s="2" t="s">
        <v>82</v>
      </c>
      <c r="D172" s="2" t="s">
        <v>584</v>
      </c>
      <c r="E172" s="2" t="s">
        <v>56</v>
      </c>
      <c r="F172" s="2" t="s">
        <v>16</v>
      </c>
      <c r="G172" s="2" t="n">
        <v>50</v>
      </c>
      <c r="H172" s="2" t="n">
        <v>25000</v>
      </c>
      <c r="I172" s="2" t="s">
        <v>47</v>
      </c>
      <c r="J172" s="2" t="n">
        <v>10</v>
      </c>
      <c r="K172" s="3"/>
      <c r="L172" s="5"/>
      <c r="M172" s="5"/>
      <c r="N172" s="5"/>
    </row>
    <row r="173" customFormat="false" ht="15" hidden="false" customHeight="false" outlineLevel="0" collapsed="false">
      <c r="A173" s="2" t="s">
        <v>585</v>
      </c>
      <c r="B173" s="3" t="s">
        <v>586</v>
      </c>
      <c r="C173" s="2" t="s">
        <v>54</v>
      </c>
      <c r="D173" s="2" t="s">
        <v>587</v>
      </c>
      <c r="E173" s="2" t="s">
        <v>64</v>
      </c>
      <c r="F173" s="2" t="s">
        <v>65</v>
      </c>
      <c r="G173" s="2" t="n">
        <v>375</v>
      </c>
      <c r="H173" s="2" t="n">
        <v>25000</v>
      </c>
      <c r="I173" s="2" t="s">
        <v>17</v>
      </c>
      <c r="J173" s="2" t="n">
        <v>5</v>
      </c>
      <c r="K173" s="3"/>
      <c r="L173" s="5"/>
      <c r="M173" s="5"/>
      <c r="N173" s="5"/>
    </row>
    <row r="174" customFormat="false" ht="15" hidden="false" customHeight="false" outlineLevel="0" collapsed="false">
      <c r="A174" s="2" t="s">
        <v>588</v>
      </c>
      <c r="B174" s="3" t="s">
        <v>228</v>
      </c>
      <c r="C174" s="2" t="s">
        <v>39</v>
      </c>
      <c r="D174" s="2" t="s">
        <v>589</v>
      </c>
      <c r="E174" s="2" t="s">
        <v>158</v>
      </c>
      <c r="F174" s="2" t="s">
        <v>89</v>
      </c>
      <c r="G174" s="2" t="n">
        <v>56</v>
      </c>
      <c r="H174" s="2" t="n">
        <v>45000</v>
      </c>
      <c r="I174" s="2" t="s">
        <v>47</v>
      </c>
      <c r="J174" s="2" t="n">
        <v>7</v>
      </c>
      <c r="K174" s="3"/>
      <c r="L174" s="5"/>
      <c r="M174" s="5"/>
      <c r="N174" s="5"/>
    </row>
    <row r="175" customFormat="false" ht="15" hidden="false" customHeight="false" outlineLevel="0" collapsed="false">
      <c r="A175" s="2" t="s">
        <v>590</v>
      </c>
      <c r="B175" s="3" t="s">
        <v>53</v>
      </c>
      <c r="C175" s="2" t="s">
        <v>13</v>
      </c>
      <c r="D175" s="2" t="s">
        <v>591</v>
      </c>
      <c r="E175" s="2" t="s">
        <v>69</v>
      </c>
      <c r="F175" s="2" t="s">
        <v>42</v>
      </c>
      <c r="G175" s="2" t="n">
        <v>440</v>
      </c>
      <c r="H175" s="2" t="n">
        <v>15000</v>
      </c>
      <c r="I175" s="2" t="s">
        <v>31</v>
      </c>
      <c r="J175" s="2" t="n">
        <v>5</v>
      </c>
      <c r="K175" s="3" t="s">
        <v>412</v>
      </c>
      <c r="L175" s="5"/>
      <c r="M175" s="5"/>
      <c r="N175" s="5"/>
    </row>
    <row r="176" customFormat="false" ht="15" hidden="false" customHeight="false" outlineLevel="0" collapsed="false">
      <c r="A176" s="2" t="s">
        <v>592</v>
      </c>
      <c r="B176" s="3" t="s">
        <v>593</v>
      </c>
      <c r="C176" s="2" t="s">
        <v>13</v>
      </c>
      <c r="D176" s="2" t="s">
        <v>594</v>
      </c>
      <c r="E176" s="2" t="s">
        <v>386</v>
      </c>
      <c r="F176" s="2" t="s">
        <v>42</v>
      </c>
      <c r="G176" s="2" t="n">
        <v>454</v>
      </c>
      <c r="H176" s="2" t="n">
        <v>25000</v>
      </c>
      <c r="I176" s="2" t="s">
        <v>31</v>
      </c>
      <c r="J176" s="2" t="n">
        <v>7</v>
      </c>
      <c r="K176" s="3" t="s">
        <v>139</v>
      </c>
      <c r="L176" s="5"/>
      <c r="M176" s="5"/>
      <c r="N176" s="5"/>
    </row>
    <row r="177" customFormat="false" ht="15" hidden="false" customHeight="false" outlineLevel="0" collapsed="false">
      <c r="A177" s="2" t="s">
        <v>595</v>
      </c>
      <c r="B177" s="3" t="s">
        <v>596</v>
      </c>
      <c r="C177" s="2" t="s">
        <v>27</v>
      </c>
      <c r="D177" s="2" t="s">
        <v>597</v>
      </c>
      <c r="E177" s="2" t="s">
        <v>41</v>
      </c>
      <c r="F177" s="2" t="s">
        <v>42</v>
      </c>
      <c r="G177" s="2" t="n">
        <v>432</v>
      </c>
      <c r="H177" s="2" t="n">
        <v>500000</v>
      </c>
      <c r="I177" s="2" t="s">
        <v>24</v>
      </c>
      <c r="J177" s="2" t="n">
        <v>10</v>
      </c>
      <c r="K177" s="3"/>
      <c r="L177" s="5"/>
      <c r="M177" s="5"/>
      <c r="N177" s="5"/>
    </row>
    <row r="178" customFormat="false" ht="15" hidden="false" customHeight="false" outlineLevel="0" collapsed="false">
      <c r="A178" s="2" t="s">
        <v>598</v>
      </c>
      <c r="B178" s="3" t="s">
        <v>532</v>
      </c>
      <c r="C178" s="2" t="s">
        <v>77</v>
      </c>
      <c r="D178" s="2" t="s">
        <v>599</v>
      </c>
      <c r="E178" s="2" t="s">
        <v>15</v>
      </c>
      <c r="F178" s="2" t="s">
        <v>16</v>
      </c>
      <c r="G178" s="2" t="n">
        <v>376</v>
      </c>
      <c r="H178" s="2" t="n">
        <v>15000</v>
      </c>
      <c r="I178" s="2" t="s">
        <v>17</v>
      </c>
      <c r="J178" s="2" t="n">
        <v>5</v>
      </c>
      <c r="K178" s="3"/>
      <c r="L178" s="5"/>
      <c r="M178" s="5"/>
      <c r="N178" s="5"/>
    </row>
    <row r="179" customFormat="false" ht="15" hidden="false" customHeight="false" outlineLevel="0" collapsed="false">
      <c r="A179" s="2" t="s">
        <v>600</v>
      </c>
      <c r="B179" s="3" t="s">
        <v>111</v>
      </c>
      <c r="C179" s="2" t="s">
        <v>27</v>
      </c>
      <c r="D179" s="2" t="s">
        <v>601</v>
      </c>
      <c r="E179" s="2" t="s">
        <v>110</v>
      </c>
      <c r="F179" s="2" t="s">
        <v>65</v>
      </c>
      <c r="G179" s="2" t="n">
        <v>296</v>
      </c>
      <c r="H179" s="2" t="n">
        <v>850000</v>
      </c>
      <c r="I179" s="2" t="s">
        <v>31</v>
      </c>
      <c r="J179" s="2" t="n">
        <v>10</v>
      </c>
      <c r="K179" s="3" t="s">
        <v>358</v>
      </c>
      <c r="L179" s="5"/>
      <c r="M179" s="5"/>
      <c r="N179" s="5"/>
    </row>
    <row r="180" customFormat="false" ht="15" hidden="false" customHeight="false" outlineLevel="0" collapsed="false">
      <c r="A180" s="2" t="s">
        <v>602</v>
      </c>
      <c r="B180" s="3" t="s">
        <v>338</v>
      </c>
      <c r="C180" s="2" t="s">
        <v>182</v>
      </c>
      <c r="D180" s="2" t="s">
        <v>603</v>
      </c>
      <c r="E180" s="2" t="s">
        <v>29</v>
      </c>
      <c r="F180" s="2" t="s">
        <v>30</v>
      </c>
      <c r="G180" s="2" t="n">
        <v>476</v>
      </c>
      <c r="H180" s="2" t="n">
        <v>850000</v>
      </c>
      <c r="I180" s="2" t="s">
        <v>31</v>
      </c>
      <c r="J180" s="2" t="n">
        <v>10</v>
      </c>
      <c r="K180" s="3" t="s">
        <v>248</v>
      </c>
      <c r="L180" s="5"/>
      <c r="M180" s="5"/>
      <c r="N180" s="5"/>
    </row>
    <row r="181" customFormat="false" ht="15" hidden="false" customHeight="false" outlineLevel="0" collapsed="false">
      <c r="A181" s="2" t="s">
        <v>604</v>
      </c>
      <c r="B181" s="3" t="s">
        <v>605</v>
      </c>
      <c r="C181" s="2" t="s">
        <v>54</v>
      </c>
      <c r="D181" s="2" t="s">
        <v>606</v>
      </c>
      <c r="E181" s="2" t="s">
        <v>133</v>
      </c>
      <c r="F181" s="2" t="s">
        <v>89</v>
      </c>
      <c r="G181" s="2" t="n">
        <v>365</v>
      </c>
      <c r="H181" s="2" t="n">
        <v>1200000</v>
      </c>
      <c r="I181" s="2" t="s">
        <v>47</v>
      </c>
      <c r="J181" s="2" t="n">
        <v>14</v>
      </c>
      <c r="K181" s="3"/>
      <c r="L181" s="5"/>
      <c r="M181" s="5"/>
      <c r="N181" s="5"/>
    </row>
    <row r="182" customFormat="false" ht="15" hidden="false" customHeight="false" outlineLevel="0" collapsed="false">
      <c r="A182" s="2" t="s">
        <v>607</v>
      </c>
      <c r="B182" s="3" t="s">
        <v>381</v>
      </c>
      <c r="C182" s="2" t="s">
        <v>82</v>
      </c>
      <c r="D182" s="2" t="s">
        <v>608</v>
      </c>
      <c r="E182" s="2" t="s">
        <v>198</v>
      </c>
      <c r="F182" s="2" t="s">
        <v>30</v>
      </c>
      <c r="G182" s="2" t="n">
        <v>272</v>
      </c>
      <c r="H182" s="2" t="n">
        <v>25000</v>
      </c>
      <c r="I182" s="2" t="s">
        <v>31</v>
      </c>
      <c r="J182" s="2" t="n">
        <v>5</v>
      </c>
      <c r="K182" s="3" t="s">
        <v>343</v>
      </c>
      <c r="L182" s="5"/>
      <c r="M182" s="5"/>
      <c r="N182" s="5"/>
    </row>
    <row r="183" customFormat="false" ht="15" hidden="false" customHeight="false" outlineLevel="0" collapsed="false">
      <c r="A183" s="2" t="s">
        <v>609</v>
      </c>
      <c r="B183" s="3" t="s">
        <v>610</v>
      </c>
      <c r="C183" s="2" t="s">
        <v>27</v>
      </c>
      <c r="D183" s="2" t="s">
        <v>611</v>
      </c>
      <c r="E183" s="2" t="s">
        <v>22</v>
      </c>
      <c r="F183" s="2" t="s">
        <v>23</v>
      </c>
      <c r="G183" s="2" t="n">
        <v>32</v>
      </c>
      <c r="H183" s="2" t="n">
        <v>15000</v>
      </c>
      <c r="I183" s="2" t="s">
        <v>24</v>
      </c>
      <c r="J183" s="2" t="n">
        <v>5</v>
      </c>
      <c r="K183" s="3"/>
      <c r="L183" s="5"/>
      <c r="M183" s="5"/>
      <c r="N183" s="5"/>
    </row>
    <row r="184" customFormat="false" ht="15" hidden="false" customHeight="false" outlineLevel="0" collapsed="false">
      <c r="A184" s="2" t="s">
        <v>612</v>
      </c>
      <c r="B184" s="3" t="s">
        <v>613</v>
      </c>
      <c r="C184" s="2" t="s">
        <v>96</v>
      </c>
      <c r="D184" s="2" t="s">
        <v>614</v>
      </c>
      <c r="E184" s="2" t="s">
        <v>145</v>
      </c>
      <c r="F184" s="2" t="s">
        <v>42</v>
      </c>
      <c r="G184" s="2" t="n">
        <v>389</v>
      </c>
      <c r="H184" s="2" t="n">
        <v>850000</v>
      </c>
      <c r="I184" s="2" t="s">
        <v>31</v>
      </c>
      <c r="J184" s="2" t="n">
        <v>7</v>
      </c>
      <c r="K184" s="3" t="s">
        <v>398</v>
      </c>
      <c r="L184" s="5"/>
      <c r="M184" s="5"/>
      <c r="N184" s="5"/>
    </row>
    <row r="185" customFormat="false" ht="15" hidden="false" customHeight="false" outlineLevel="0" collapsed="false">
      <c r="A185" s="2" t="s">
        <v>615</v>
      </c>
      <c r="B185" s="3" t="s">
        <v>616</v>
      </c>
      <c r="C185" s="2" t="s">
        <v>72</v>
      </c>
      <c r="D185" s="2" t="s">
        <v>617</v>
      </c>
      <c r="E185" s="2" t="s">
        <v>22</v>
      </c>
      <c r="F185" s="2" t="s">
        <v>23</v>
      </c>
      <c r="G185" s="2" t="n">
        <v>198</v>
      </c>
      <c r="H185" s="2" t="n">
        <v>500000</v>
      </c>
      <c r="I185" s="2" t="s">
        <v>47</v>
      </c>
      <c r="J185" s="2" t="n">
        <v>3</v>
      </c>
      <c r="K185" s="3"/>
      <c r="L185" s="5"/>
      <c r="M185" s="5"/>
      <c r="N185" s="5"/>
    </row>
    <row r="186" customFormat="false" ht="15" hidden="false" customHeight="false" outlineLevel="0" collapsed="false">
      <c r="A186" s="2" t="s">
        <v>618</v>
      </c>
      <c r="B186" s="3" t="s">
        <v>619</v>
      </c>
      <c r="C186" s="2" t="s">
        <v>96</v>
      </c>
      <c r="D186" s="2" t="s">
        <v>620</v>
      </c>
      <c r="E186" s="2" t="s">
        <v>110</v>
      </c>
      <c r="F186" s="2" t="s">
        <v>65</v>
      </c>
      <c r="G186" s="2" t="n">
        <v>443</v>
      </c>
      <c r="H186" s="2" t="n">
        <v>850000</v>
      </c>
      <c r="I186" s="2" t="s">
        <v>31</v>
      </c>
      <c r="J186" s="2" t="n">
        <v>3</v>
      </c>
      <c r="K186" s="3" t="s">
        <v>483</v>
      </c>
      <c r="L186" s="5"/>
      <c r="M186" s="5"/>
      <c r="N186" s="5"/>
    </row>
    <row r="187" customFormat="false" ht="15" hidden="false" customHeight="false" outlineLevel="0" collapsed="false">
      <c r="A187" s="2" t="s">
        <v>621</v>
      </c>
      <c r="B187" s="3" t="s">
        <v>418</v>
      </c>
      <c r="C187" s="2" t="s">
        <v>182</v>
      </c>
      <c r="D187" s="2" t="s">
        <v>622</v>
      </c>
      <c r="E187" s="2" t="s">
        <v>243</v>
      </c>
      <c r="F187" s="2" t="s">
        <v>16</v>
      </c>
      <c r="G187" s="2" t="n">
        <v>23</v>
      </c>
      <c r="H187" s="2" t="n">
        <v>1200000</v>
      </c>
      <c r="I187" s="2" t="s">
        <v>31</v>
      </c>
      <c r="J187" s="2" t="n">
        <v>3</v>
      </c>
      <c r="K187" s="3" t="s">
        <v>623</v>
      </c>
      <c r="L187" s="5"/>
      <c r="M187" s="5"/>
      <c r="N187" s="5"/>
    </row>
    <row r="188" customFormat="false" ht="15" hidden="false" customHeight="false" outlineLevel="0" collapsed="false">
      <c r="A188" s="2" t="s">
        <v>624</v>
      </c>
      <c r="B188" s="3" t="s">
        <v>625</v>
      </c>
      <c r="C188" s="2" t="s">
        <v>72</v>
      </c>
      <c r="D188" s="2" t="s">
        <v>626</v>
      </c>
      <c r="E188" s="2" t="s">
        <v>51</v>
      </c>
      <c r="F188" s="2" t="s">
        <v>23</v>
      </c>
      <c r="G188" s="2" t="n">
        <v>191</v>
      </c>
      <c r="H188" s="2" t="n">
        <v>15000</v>
      </c>
      <c r="I188" s="2" t="s">
        <v>47</v>
      </c>
      <c r="J188" s="2" t="n">
        <v>10</v>
      </c>
      <c r="K188" s="3"/>
      <c r="L188" s="5"/>
      <c r="M188" s="5"/>
      <c r="N188" s="5"/>
    </row>
    <row r="189" customFormat="false" ht="15" hidden="false" customHeight="false" outlineLevel="0" collapsed="false">
      <c r="A189" s="2" t="s">
        <v>627</v>
      </c>
      <c r="B189" s="3" t="s">
        <v>26</v>
      </c>
      <c r="C189" s="2" t="s">
        <v>72</v>
      </c>
      <c r="D189" s="2" t="s">
        <v>628</v>
      </c>
      <c r="E189" s="2" t="s">
        <v>281</v>
      </c>
      <c r="F189" s="2" t="s">
        <v>65</v>
      </c>
      <c r="G189" s="2" t="n">
        <v>371</v>
      </c>
      <c r="H189" s="2" t="n">
        <v>250000</v>
      </c>
      <c r="I189" s="2" t="s">
        <v>24</v>
      </c>
      <c r="J189" s="2" t="n">
        <v>3</v>
      </c>
      <c r="K189" s="3"/>
      <c r="L189" s="5"/>
      <c r="M189" s="5"/>
      <c r="N189" s="5"/>
    </row>
    <row r="190" customFormat="false" ht="15" hidden="false" customHeight="false" outlineLevel="0" collapsed="false">
      <c r="A190" s="2" t="s">
        <v>629</v>
      </c>
      <c r="B190" s="3" t="s">
        <v>136</v>
      </c>
      <c r="C190" s="2" t="s">
        <v>82</v>
      </c>
      <c r="D190" s="2" t="s">
        <v>630</v>
      </c>
      <c r="E190" s="2" t="s">
        <v>162</v>
      </c>
      <c r="F190" s="2" t="s">
        <v>16</v>
      </c>
      <c r="G190" s="2" t="n">
        <v>429</v>
      </c>
      <c r="H190" s="2" t="n">
        <v>120000</v>
      </c>
      <c r="I190" s="2" t="s">
        <v>31</v>
      </c>
      <c r="J190" s="2" t="n">
        <v>7</v>
      </c>
      <c r="K190" s="3" t="s">
        <v>631</v>
      </c>
      <c r="L190" s="5"/>
      <c r="M190" s="5"/>
      <c r="N190" s="5"/>
    </row>
    <row r="191" customFormat="false" ht="15" hidden="false" customHeight="false" outlineLevel="0" collapsed="false">
      <c r="A191" s="2" t="s">
        <v>632</v>
      </c>
      <c r="B191" s="3" t="s">
        <v>605</v>
      </c>
      <c r="C191" s="2" t="s">
        <v>77</v>
      </c>
      <c r="D191" s="2" t="s">
        <v>633</v>
      </c>
      <c r="E191" s="2" t="s">
        <v>145</v>
      </c>
      <c r="F191" s="2" t="s">
        <v>42</v>
      </c>
      <c r="G191" s="2" t="n">
        <v>372</v>
      </c>
      <c r="H191" s="2" t="n">
        <v>500000</v>
      </c>
      <c r="I191" s="2" t="s">
        <v>31</v>
      </c>
      <c r="J191" s="2" t="n">
        <v>14</v>
      </c>
      <c r="K191" s="3" t="s">
        <v>361</v>
      </c>
      <c r="L191" s="5"/>
      <c r="M191" s="5"/>
      <c r="N191" s="5"/>
    </row>
    <row r="192" customFormat="false" ht="15" hidden="false" customHeight="false" outlineLevel="0" collapsed="false">
      <c r="A192" s="2" t="s">
        <v>634</v>
      </c>
      <c r="B192" s="3" t="s">
        <v>489</v>
      </c>
      <c r="C192" s="2" t="s">
        <v>54</v>
      </c>
      <c r="D192" s="2" t="s">
        <v>635</v>
      </c>
      <c r="E192" s="2" t="s">
        <v>145</v>
      </c>
      <c r="F192" s="2" t="s">
        <v>42</v>
      </c>
      <c r="G192" s="2" t="n">
        <v>427</v>
      </c>
      <c r="H192" s="2" t="n">
        <v>75000</v>
      </c>
      <c r="I192" s="2" t="s">
        <v>24</v>
      </c>
      <c r="J192" s="2" t="n">
        <v>3</v>
      </c>
      <c r="K192" s="3"/>
      <c r="L192" s="5"/>
      <c r="M192" s="5"/>
      <c r="N192" s="5"/>
    </row>
    <row r="193" customFormat="false" ht="15" hidden="false" customHeight="false" outlineLevel="0" collapsed="false">
      <c r="A193" s="2" t="s">
        <v>636</v>
      </c>
      <c r="B193" s="3" t="s">
        <v>637</v>
      </c>
      <c r="C193" s="2" t="s">
        <v>182</v>
      </c>
      <c r="D193" s="2" t="s">
        <v>638</v>
      </c>
      <c r="E193" s="2" t="s">
        <v>114</v>
      </c>
      <c r="F193" s="2" t="s">
        <v>30</v>
      </c>
      <c r="G193" s="2" t="n">
        <v>400</v>
      </c>
      <c r="H193" s="2" t="n">
        <v>850000</v>
      </c>
      <c r="I193" s="2" t="s">
        <v>31</v>
      </c>
      <c r="J193" s="2" t="n">
        <v>14</v>
      </c>
      <c r="K193" s="3" t="s">
        <v>573</v>
      </c>
      <c r="L193" s="5"/>
      <c r="M193" s="5"/>
      <c r="N193" s="5"/>
    </row>
    <row r="194" customFormat="false" ht="15" hidden="false" customHeight="false" outlineLevel="0" collapsed="false">
      <c r="A194" s="2" t="s">
        <v>639</v>
      </c>
      <c r="B194" s="3" t="s">
        <v>60</v>
      </c>
      <c r="C194" s="2" t="s">
        <v>96</v>
      </c>
      <c r="D194" s="2" t="s">
        <v>640</v>
      </c>
      <c r="E194" s="2" t="s">
        <v>119</v>
      </c>
      <c r="F194" s="2" t="s">
        <v>16</v>
      </c>
      <c r="G194" s="2" t="n">
        <v>29</v>
      </c>
      <c r="H194" s="2" t="n">
        <v>1200000</v>
      </c>
      <c r="I194" s="2" t="s">
        <v>17</v>
      </c>
      <c r="J194" s="2" t="n">
        <v>14</v>
      </c>
      <c r="K194" s="3"/>
      <c r="L194" s="5"/>
      <c r="M194" s="5"/>
      <c r="N194" s="5"/>
    </row>
    <row r="195" customFormat="false" ht="15" hidden="false" customHeight="false" outlineLevel="0" collapsed="false">
      <c r="A195" s="2" t="s">
        <v>641</v>
      </c>
      <c r="B195" s="3" t="s">
        <v>642</v>
      </c>
      <c r="C195" s="2" t="s">
        <v>72</v>
      </c>
      <c r="D195" s="2" t="s">
        <v>643</v>
      </c>
      <c r="E195" s="2" t="s">
        <v>22</v>
      </c>
      <c r="F195" s="2" t="s">
        <v>23</v>
      </c>
      <c r="G195" s="2" t="n">
        <v>379</v>
      </c>
      <c r="H195" s="2" t="n">
        <v>45000</v>
      </c>
      <c r="I195" s="2" t="s">
        <v>31</v>
      </c>
      <c r="J195" s="2" t="n">
        <v>14</v>
      </c>
      <c r="K195" s="3" t="s">
        <v>547</v>
      </c>
      <c r="L195" s="5"/>
      <c r="M195" s="5"/>
      <c r="N195" s="5"/>
    </row>
    <row r="196" customFormat="false" ht="15" hidden="false" customHeight="false" outlineLevel="0" collapsed="false">
      <c r="A196" s="2" t="s">
        <v>644</v>
      </c>
      <c r="B196" s="3" t="s">
        <v>613</v>
      </c>
      <c r="C196" s="2" t="s">
        <v>27</v>
      </c>
      <c r="D196" s="2" t="s">
        <v>645</v>
      </c>
      <c r="E196" s="2" t="s">
        <v>386</v>
      </c>
      <c r="F196" s="2" t="s">
        <v>42</v>
      </c>
      <c r="G196" s="2" t="n">
        <v>395</v>
      </c>
      <c r="H196" s="2" t="n">
        <v>75000</v>
      </c>
      <c r="I196" s="2" t="s">
        <v>31</v>
      </c>
      <c r="J196" s="2" t="n">
        <v>7</v>
      </c>
      <c r="K196" s="3" t="s">
        <v>398</v>
      </c>
      <c r="L196" s="5"/>
      <c r="M196" s="5"/>
      <c r="N196" s="5"/>
    </row>
    <row r="197" customFormat="false" ht="15" hidden="false" customHeight="false" outlineLevel="0" collapsed="false">
      <c r="A197" s="2" t="s">
        <v>646</v>
      </c>
      <c r="B197" s="3" t="s">
        <v>647</v>
      </c>
      <c r="C197" s="2" t="s">
        <v>77</v>
      </c>
      <c r="D197" s="2" t="s">
        <v>648</v>
      </c>
      <c r="E197" s="2" t="s">
        <v>51</v>
      </c>
      <c r="F197" s="2" t="s">
        <v>23</v>
      </c>
      <c r="G197" s="2" t="n">
        <v>363</v>
      </c>
      <c r="H197" s="2" t="n">
        <v>1200000</v>
      </c>
      <c r="I197" s="2" t="s">
        <v>31</v>
      </c>
      <c r="J197" s="2" t="n">
        <v>14</v>
      </c>
      <c r="K197" s="3" t="s">
        <v>175</v>
      </c>
      <c r="L197" s="5"/>
      <c r="M197" s="5"/>
      <c r="N197" s="5"/>
    </row>
    <row r="198" customFormat="false" ht="15" hidden="false" customHeight="false" outlineLevel="0" collapsed="false">
      <c r="A198" s="2" t="s">
        <v>649</v>
      </c>
      <c r="B198" s="3" t="s">
        <v>650</v>
      </c>
      <c r="C198" s="2" t="s">
        <v>72</v>
      </c>
      <c r="D198" s="2" t="s">
        <v>651</v>
      </c>
      <c r="E198" s="2" t="s">
        <v>29</v>
      </c>
      <c r="F198" s="2" t="s">
        <v>30</v>
      </c>
      <c r="G198" s="2" t="n">
        <v>112</v>
      </c>
      <c r="H198" s="2" t="n">
        <v>120000</v>
      </c>
      <c r="I198" s="2" t="s">
        <v>24</v>
      </c>
      <c r="J198" s="2" t="n">
        <v>5</v>
      </c>
      <c r="K198" s="3"/>
      <c r="L198" s="5"/>
      <c r="M198" s="5"/>
      <c r="N198" s="5"/>
    </row>
    <row r="199" customFormat="false" ht="15" hidden="false" customHeight="false" outlineLevel="0" collapsed="false">
      <c r="A199" s="2" t="s">
        <v>652</v>
      </c>
      <c r="B199" s="3" t="s">
        <v>179</v>
      </c>
      <c r="C199" s="2" t="s">
        <v>77</v>
      </c>
      <c r="D199" s="2" t="s">
        <v>242</v>
      </c>
      <c r="E199" s="2" t="s">
        <v>281</v>
      </c>
      <c r="F199" s="2" t="s">
        <v>65</v>
      </c>
      <c r="G199" s="2" t="n">
        <v>331</v>
      </c>
      <c r="H199" s="2" t="n">
        <v>250000</v>
      </c>
      <c r="I199" s="2" t="s">
        <v>24</v>
      </c>
      <c r="J199" s="2" t="n">
        <v>7</v>
      </c>
      <c r="K199" s="3"/>
      <c r="L199" s="5"/>
      <c r="M199" s="5"/>
      <c r="N199" s="5"/>
    </row>
    <row r="200" customFormat="false" ht="15" hidden="false" customHeight="false" outlineLevel="0" collapsed="false">
      <c r="A200" s="2" t="s">
        <v>653</v>
      </c>
      <c r="B200" s="3" t="s">
        <v>654</v>
      </c>
      <c r="C200" s="2" t="s">
        <v>96</v>
      </c>
      <c r="D200" s="2" t="s">
        <v>655</v>
      </c>
      <c r="E200" s="2" t="s">
        <v>281</v>
      </c>
      <c r="F200" s="2" t="s">
        <v>65</v>
      </c>
      <c r="G200" s="2" t="n">
        <v>368</v>
      </c>
      <c r="H200" s="2" t="n">
        <v>500000</v>
      </c>
      <c r="I200" s="2" t="s">
        <v>24</v>
      </c>
      <c r="J200" s="2" t="n">
        <v>14</v>
      </c>
      <c r="K200" s="3"/>
      <c r="L200" s="5"/>
      <c r="M200" s="5"/>
      <c r="N200" s="5"/>
    </row>
    <row r="201" customFormat="false" ht="15" hidden="false" customHeight="false" outlineLevel="0" collapsed="false">
      <c r="A201" s="2" t="s">
        <v>656</v>
      </c>
      <c r="B201" s="3" t="s">
        <v>657</v>
      </c>
      <c r="C201" s="2" t="s">
        <v>27</v>
      </c>
      <c r="D201" s="2" t="s">
        <v>658</v>
      </c>
      <c r="E201" s="2" t="s">
        <v>119</v>
      </c>
      <c r="F201" s="2" t="s">
        <v>16</v>
      </c>
      <c r="G201" s="2" t="n">
        <v>17</v>
      </c>
      <c r="H201" s="2" t="n">
        <v>500000</v>
      </c>
      <c r="I201" s="2" t="s">
        <v>31</v>
      </c>
      <c r="J201" s="2" t="n">
        <v>3</v>
      </c>
      <c r="K201" s="3" t="s">
        <v>154</v>
      </c>
      <c r="L201" s="5"/>
      <c r="M201" s="5"/>
      <c r="N201" s="5"/>
    </row>
    <row r="202" customFormat="false" ht="15" hidden="false" customHeight="false" outlineLevel="0" collapsed="false">
      <c r="A202" s="2" t="s">
        <v>659</v>
      </c>
      <c r="B202" s="3" t="s">
        <v>660</v>
      </c>
      <c r="C202" s="2" t="s">
        <v>77</v>
      </c>
      <c r="D202" s="2" t="s">
        <v>661</v>
      </c>
      <c r="E202" s="2" t="s">
        <v>133</v>
      </c>
      <c r="F202" s="2" t="s">
        <v>89</v>
      </c>
      <c r="G202" s="2" t="n">
        <v>434</v>
      </c>
      <c r="H202" s="2" t="n">
        <v>15000</v>
      </c>
      <c r="I202" s="2" t="s">
        <v>24</v>
      </c>
      <c r="J202" s="2" t="n">
        <v>7</v>
      </c>
      <c r="K202" s="3"/>
      <c r="L202" s="5"/>
      <c r="M202" s="5"/>
      <c r="N202" s="5"/>
    </row>
    <row r="203" customFormat="false" ht="15" hidden="false" customHeight="false" outlineLevel="0" collapsed="false">
      <c r="A203" s="2" t="s">
        <v>662</v>
      </c>
      <c r="B203" s="3" t="s">
        <v>663</v>
      </c>
      <c r="C203" s="2" t="s">
        <v>72</v>
      </c>
      <c r="D203" s="2" t="s">
        <v>664</v>
      </c>
      <c r="E203" s="2" t="s">
        <v>162</v>
      </c>
      <c r="F203" s="2" t="s">
        <v>16</v>
      </c>
      <c r="G203" s="2" t="n">
        <v>236</v>
      </c>
      <c r="H203" s="2" t="n">
        <v>25000</v>
      </c>
      <c r="I203" s="2" t="s">
        <v>24</v>
      </c>
      <c r="J203" s="2" t="n">
        <v>14</v>
      </c>
      <c r="K203" s="3"/>
      <c r="L203" s="5"/>
      <c r="M203" s="5"/>
      <c r="N203" s="5"/>
    </row>
    <row r="204" customFormat="false" ht="15" hidden="false" customHeight="false" outlineLevel="0" collapsed="false">
      <c r="A204" s="2" t="s">
        <v>665</v>
      </c>
      <c r="B204" s="3" t="s">
        <v>204</v>
      </c>
      <c r="C204" s="2" t="s">
        <v>72</v>
      </c>
      <c r="D204" s="2" t="s">
        <v>666</v>
      </c>
      <c r="E204" s="2" t="s">
        <v>145</v>
      </c>
      <c r="F204" s="2" t="s">
        <v>42</v>
      </c>
      <c r="G204" s="2" t="n">
        <v>406</v>
      </c>
      <c r="H204" s="2" t="n">
        <v>120000</v>
      </c>
      <c r="I204" s="2" t="s">
        <v>24</v>
      </c>
      <c r="J204" s="2" t="n">
        <v>3</v>
      </c>
      <c r="K204" s="3"/>
      <c r="L204" s="5"/>
      <c r="M204" s="5"/>
      <c r="N204" s="5"/>
    </row>
    <row r="205" customFormat="false" ht="15" hidden="false" customHeight="false" outlineLevel="0" collapsed="false">
      <c r="A205" s="2" t="s">
        <v>667</v>
      </c>
      <c r="B205" s="3" t="s">
        <v>668</v>
      </c>
      <c r="C205" s="2" t="s">
        <v>27</v>
      </c>
      <c r="D205" s="2" t="s">
        <v>669</v>
      </c>
      <c r="E205" s="2" t="s">
        <v>79</v>
      </c>
      <c r="F205" s="2" t="s">
        <v>42</v>
      </c>
      <c r="G205" s="2" t="n">
        <v>32</v>
      </c>
      <c r="H205" s="2" t="n">
        <v>15000</v>
      </c>
      <c r="I205" s="2" t="s">
        <v>24</v>
      </c>
      <c r="J205" s="2" t="n">
        <v>5</v>
      </c>
      <c r="K205" s="3"/>
      <c r="L205" s="5"/>
      <c r="M205" s="5"/>
      <c r="N205" s="5"/>
    </row>
    <row r="206" customFormat="false" ht="15" hidden="false" customHeight="false" outlineLevel="0" collapsed="false">
      <c r="A206" s="2" t="s">
        <v>670</v>
      </c>
      <c r="B206" s="3" t="s">
        <v>671</v>
      </c>
      <c r="C206" s="2" t="s">
        <v>96</v>
      </c>
      <c r="D206" s="2" t="s">
        <v>672</v>
      </c>
      <c r="E206" s="2" t="s">
        <v>106</v>
      </c>
      <c r="F206" s="2" t="s">
        <v>23</v>
      </c>
      <c r="G206" s="2" t="n">
        <v>306</v>
      </c>
      <c r="H206" s="2" t="n">
        <v>1200000</v>
      </c>
      <c r="I206" s="2" t="s">
        <v>24</v>
      </c>
      <c r="J206" s="2" t="n">
        <v>5</v>
      </c>
      <c r="K206" s="3"/>
      <c r="L206" s="5"/>
      <c r="M206" s="5"/>
      <c r="N206" s="5"/>
    </row>
    <row r="207" customFormat="false" ht="15" hidden="false" customHeight="false" outlineLevel="0" collapsed="false">
      <c r="A207" s="2" t="s">
        <v>673</v>
      </c>
      <c r="B207" s="3" t="s">
        <v>674</v>
      </c>
      <c r="C207" s="2" t="s">
        <v>39</v>
      </c>
      <c r="D207" s="2" t="s">
        <v>675</v>
      </c>
      <c r="E207" s="2" t="s">
        <v>145</v>
      </c>
      <c r="F207" s="2" t="s">
        <v>42</v>
      </c>
      <c r="G207" s="2" t="n">
        <v>43</v>
      </c>
      <c r="H207" s="2" t="n">
        <v>45000</v>
      </c>
      <c r="I207" s="2" t="s">
        <v>17</v>
      </c>
      <c r="J207" s="2" t="n">
        <v>14</v>
      </c>
      <c r="K207" s="3"/>
      <c r="L207" s="5"/>
      <c r="M207" s="5"/>
      <c r="N207" s="5"/>
    </row>
    <row r="208" customFormat="false" ht="15" hidden="false" customHeight="false" outlineLevel="0" collapsed="false">
      <c r="A208" s="2" t="s">
        <v>676</v>
      </c>
      <c r="B208" s="3" t="s">
        <v>677</v>
      </c>
      <c r="C208" s="2" t="s">
        <v>27</v>
      </c>
      <c r="D208" s="2" t="s">
        <v>678</v>
      </c>
      <c r="E208" s="2" t="s">
        <v>243</v>
      </c>
      <c r="F208" s="2" t="s">
        <v>16</v>
      </c>
      <c r="G208" s="2" t="n">
        <v>289</v>
      </c>
      <c r="H208" s="2" t="n">
        <v>120000</v>
      </c>
      <c r="I208" s="2" t="s">
        <v>31</v>
      </c>
      <c r="J208" s="2" t="n">
        <v>14</v>
      </c>
      <c r="K208" s="3" t="s">
        <v>449</v>
      </c>
      <c r="L208" s="5"/>
      <c r="M208" s="5"/>
      <c r="N208" s="5"/>
    </row>
    <row r="209" customFormat="false" ht="15" hidden="false" customHeight="false" outlineLevel="0" collapsed="false">
      <c r="A209" s="2" t="s">
        <v>679</v>
      </c>
      <c r="B209" s="3" t="s">
        <v>549</v>
      </c>
      <c r="C209" s="2" t="s">
        <v>13</v>
      </c>
      <c r="D209" s="2" t="s">
        <v>680</v>
      </c>
      <c r="E209" s="2" t="s">
        <v>145</v>
      </c>
      <c r="F209" s="2" t="s">
        <v>42</v>
      </c>
      <c r="G209" s="2" t="n">
        <v>83</v>
      </c>
      <c r="H209" s="2" t="n">
        <v>250000</v>
      </c>
      <c r="I209" s="2" t="s">
        <v>24</v>
      </c>
      <c r="J209" s="2" t="n">
        <v>14</v>
      </c>
      <c r="K209" s="3"/>
      <c r="L209" s="5"/>
      <c r="M209" s="5"/>
      <c r="N209" s="5"/>
    </row>
    <row r="210" customFormat="false" ht="15" hidden="false" customHeight="false" outlineLevel="0" collapsed="false">
      <c r="A210" s="2" t="s">
        <v>681</v>
      </c>
      <c r="B210" s="3" t="s">
        <v>682</v>
      </c>
      <c r="C210" s="2" t="s">
        <v>39</v>
      </c>
      <c r="D210" s="2" t="s">
        <v>683</v>
      </c>
      <c r="E210" s="2" t="s">
        <v>386</v>
      </c>
      <c r="F210" s="2" t="s">
        <v>42</v>
      </c>
      <c r="G210" s="2" t="n">
        <v>188</v>
      </c>
      <c r="H210" s="2" t="n">
        <v>25000</v>
      </c>
      <c r="I210" s="2" t="s">
        <v>47</v>
      </c>
      <c r="J210" s="2" t="n">
        <v>7</v>
      </c>
      <c r="K210" s="3"/>
      <c r="L210" s="5"/>
      <c r="M210" s="5"/>
      <c r="N210" s="5"/>
    </row>
    <row r="211" customFormat="false" ht="15" hidden="false" customHeight="false" outlineLevel="0" collapsed="false">
      <c r="A211" s="2" t="s">
        <v>684</v>
      </c>
      <c r="B211" s="3" t="s">
        <v>685</v>
      </c>
      <c r="C211" s="2" t="s">
        <v>82</v>
      </c>
      <c r="D211" s="2" t="s">
        <v>686</v>
      </c>
      <c r="E211" s="2" t="s">
        <v>22</v>
      </c>
      <c r="F211" s="2" t="s">
        <v>23</v>
      </c>
      <c r="G211" s="2" t="n">
        <v>407</v>
      </c>
      <c r="H211" s="2" t="n">
        <v>1200000</v>
      </c>
      <c r="I211" s="2" t="s">
        <v>31</v>
      </c>
      <c r="J211" s="2" t="n">
        <v>14</v>
      </c>
      <c r="K211" s="3" t="s">
        <v>381</v>
      </c>
      <c r="L211" s="5"/>
      <c r="M211" s="5"/>
      <c r="N211" s="5"/>
    </row>
    <row r="212" customFormat="false" ht="15" hidden="false" customHeight="false" outlineLevel="0" collapsed="false">
      <c r="A212" s="2" t="s">
        <v>687</v>
      </c>
      <c r="B212" s="3" t="s">
        <v>688</v>
      </c>
      <c r="C212" s="2" t="s">
        <v>54</v>
      </c>
      <c r="D212" s="2" t="s">
        <v>689</v>
      </c>
      <c r="E212" s="2" t="s">
        <v>184</v>
      </c>
      <c r="F212" s="2" t="s">
        <v>89</v>
      </c>
      <c r="G212" s="2" t="n">
        <v>344</v>
      </c>
      <c r="H212" s="2" t="n">
        <v>250000</v>
      </c>
      <c r="I212" s="2" t="s">
        <v>31</v>
      </c>
      <c r="J212" s="2" t="n">
        <v>7</v>
      </c>
      <c r="K212" s="3" t="s">
        <v>690</v>
      </c>
      <c r="L212" s="5"/>
      <c r="M212" s="5"/>
      <c r="N212" s="5"/>
    </row>
    <row r="213" customFormat="false" ht="15" hidden="false" customHeight="false" outlineLevel="0" collapsed="false">
      <c r="A213" s="2" t="s">
        <v>691</v>
      </c>
      <c r="B213" s="3" t="s">
        <v>578</v>
      </c>
      <c r="C213" s="2" t="s">
        <v>72</v>
      </c>
      <c r="D213" s="2" t="s">
        <v>692</v>
      </c>
      <c r="E213" s="2" t="s">
        <v>386</v>
      </c>
      <c r="F213" s="2" t="s">
        <v>42</v>
      </c>
      <c r="G213" s="2" t="n">
        <v>390</v>
      </c>
      <c r="H213" s="2" t="n">
        <v>15000</v>
      </c>
      <c r="I213" s="2" t="s">
        <v>31</v>
      </c>
      <c r="J213" s="2" t="n">
        <v>7</v>
      </c>
      <c r="K213" s="3" t="s">
        <v>248</v>
      </c>
      <c r="L213" s="5"/>
      <c r="M213" s="5"/>
      <c r="N213" s="5"/>
    </row>
    <row r="214" customFormat="false" ht="15" hidden="false" customHeight="false" outlineLevel="0" collapsed="false">
      <c r="A214" s="2" t="s">
        <v>693</v>
      </c>
      <c r="B214" s="3" t="s">
        <v>694</v>
      </c>
      <c r="C214" s="2" t="s">
        <v>20</v>
      </c>
      <c r="D214" s="2" t="s">
        <v>695</v>
      </c>
      <c r="E214" s="2" t="s">
        <v>94</v>
      </c>
      <c r="F214" s="2" t="s">
        <v>65</v>
      </c>
      <c r="G214" s="2" t="n">
        <v>354</v>
      </c>
      <c r="H214" s="2" t="n">
        <v>250000</v>
      </c>
      <c r="I214" s="2" t="s">
        <v>31</v>
      </c>
      <c r="J214" s="2" t="n">
        <v>3</v>
      </c>
      <c r="K214" s="3" t="s">
        <v>696</v>
      </c>
      <c r="L214" s="5"/>
      <c r="M214" s="5"/>
      <c r="N214" s="5"/>
    </row>
    <row r="215" customFormat="false" ht="15" hidden="false" customHeight="false" outlineLevel="0" collapsed="false">
      <c r="A215" s="2" t="s">
        <v>697</v>
      </c>
      <c r="B215" s="3" t="s">
        <v>326</v>
      </c>
      <c r="C215" s="2" t="s">
        <v>72</v>
      </c>
      <c r="D215" s="2" t="s">
        <v>698</v>
      </c>
      <c r="E215" s="2" t="s">
        <v>198</v>
      </c>
      <c r="F215" s="2" t="s">
        <v>30</v>
      </c>
      <c r="G215" s="2" t="n">
        <v>471</v>
      </c>
      <c r="H215" s="2" t="n">
        <v>1200000</v>
      </c>
      <c r="I215" s="2" t="s">
        <v>47</v>
      </c>
      <c r="J215" s="2" t="n">
        <v>7</v>
      </c>
      <c r="K215" s="3"/>
      <c r="L215" s="5"/>
      <c r="M215" s="5"/>
      <c r="N215" s="5"/>
    </row>
    <row r="216" customFormat="false" ht="15" hidden="false" customHeight="false" outlineLevel="0" collapsed="false">
      <c r="A216" s="2" t="s">
        <v>699</v>
      </c>
      <c r="B216" s="3" t="s">
        <v>216</v>
      </c>
      <c r="C216" s="2" t="s">
        <v>72</v>
      </c>
      <c r="D216" s="2" t="s">
        <v>700</v>
      </c>
      <c r="E216" s="2" t="s">
        <v>41</v>
      </c>
      <c r="F216" s="2" t="s">
        <v>42</v>
      </c>
      <c r="G216" s="2" t="n">
        <v>156</v>
      </c>
      <c r="H216" s="2" t="n">
        <v>75000</v>
      </c>
      <c r="I216" s="2" t="s">
        <v>31</v>
      </c>
      <c r="J216" s="2" t="n">
        <v>3</v>
      </c>
      <c r="K216" s="3" t="s">
        <v>218</v>
      </c>
      <c r="L216" s="5"/>
      <c r="M216" s="5"/>
      <c r="N216" s="5"/>
    </row>
    <row r="217" customFormat="false" ht="15" hidden="false" customHeight="false" outlineLevel="0" collapsed="false">
      <c r="A217" s="2" t="s">
        <v>701</v>
      </c>
      <c r="B217" s="3" t="s">
        <v>117</v>
      </c>
      <c r="C217" s="2" t="s">
        <v>72</v>
      </c>
      <c r="D217" s="2" t="s">
        <v>225</v>
      </c>
      <c r="E217" s="2" t="s">
        <v>64</v>
      </c>
      <c r="F217" s="2" t="s">
        <v>65</v>
      </c>
      <c r="G217" s="2" t="n">
        <v>38</v>
      </c>
      <c r="H217" s="2" t="n">
        <v>75000</v>
      </c>
      <c r="I217" s="2" t="s">
        <v>24</v>
      </c>
      <c r="J217" s="2" t="n">
        <v>5</v>
      </c>
      <c r="K217" s="3"/>
      <c r="L217" s="5"/>
      <c r="M217" s="5"/>
      <c r="N217" s="5"/>
    </row>
    <row r="218" customFormat="false" ht="15" hidden="false" customHeight="false" outlineLevel="0" collapsed="false">
      <c r="A218" s="2" t="s">
        <v>702</v>
      </c>
      <c r="B218" s="3" t="s">
        <v>703</v>
      </c>
      <c r="C218" s="2" t="s">
        <v>27</v>
      </c>
      <c r="D218" s="2" t="s">
        <v>183</v>
      </c>
      <c r="E218" s="2" t="s">
        <v>15</v>
      </c>
      <c r="F218" s="2" t="s">
        <v>16</v>
      </c>
      <c r="G218" s="2" t="n">
        <v>429</v>
      </c>
      <c r="H218" s="2" t="n">
        <v>500000</v>
      </c>
      <c r="I218" s="2" t="s">
        <v>24</v>
      </c>
      <c r="J218" s="2" t="n">
        <v>3</v>
      </c>
      <c r="K218" s="3"/>
      <c r="L218" s="5"/>
      <c r="M218" s="5"/>
      <c r="N218" s="5"/>
    </row>
    <row r="219" customFormat="false" ht="15" hidden="false" customHeight="false" outlineLevel="0" collapsed="false">
      <c r="A219" s="2" t="s">
        <v>704</v>
      </c>
      <c r="B219" s="3" t="s">
        <v>705</v>
      </c>
      <c r="C219" s="2" t="s">
        <v>77</v>
      </c>
      <c r="D219" s="2" t="s">
        <v>706</v>
      </c>
      <c r="E219" s="2" t="s">
        <v>243</v>
      </c>
      <c r="F219" s="2" t="s">
        <v>16</v>
      </c>
      <c r="G219" s="2" t="n">
        <v>174</v>
      </c>
      <c r="H219" s="2" t="n">
        <v>15000</v>
      </c>
      <c r="I219" s="2" t="s">
        <v>31</v>
      </c>
      <c r="J219" s="2" t="n">
        <v>3</v>
      </c>
      <c r="K219" s="3" t="s">
        <v>707</v>
      </c>
      <c r="L219" s="5"/>
      <c r="M219" s="5"/>
      <c r="N219" s="5"/>
    </row>
    <row r="220" customFormat="false" ht="15" hidden="false" customHeight="false" outlineLevel="0" collapsed="false">
      <c r="A220" s="2" t="s">
        <v>708</v>
      </c>
      <c r="B220" s="3" t="s">
        <v>81</v>
      </c>
      <c r="C220" s="2" t="s">
        <v>72</v>
      </c>
      <c r="D220" s="2" t="s">
        <v>709</v>
      </c>
      <c r="E220" s="2" t="s">
        <v>119</v>
      </c>
      <c r="F220" s="2" t="s">
        <v>16</v>
      </c>
      <c r="G220" s="2" t="n">
        <v>121</v>
      </c>
      <c r="H220" s="2" t="n">
        <v>120000</v>
      </c>
      <c r="I220" s="2" t="s">
        <v>31</v>
      </c>
      <c r="J220" s="2" t="n">
        <v>10</v>
      </c>
      <c r="K220" s="3" t="s">
        <v>152</v>
      </c>
      <c r="L220" s="5"/>
      <c r="M220" s="5"/>
      <c r="N220" s="5"/>
    </row>
    <row r="221" customFormat="false" ht="15" hidden="false" customHeight="false" outlineLevel="0" collapsed="false">
      <c r="A221" s="2" t="s">
        <v>710</v>
      </c>
      <c r="B221" s="3" t="s">
        <v>711</v>
      </c>
      <c r="C221" s="2" t="s">
        <v>13</v>
      </c>
      <c r="D221" s="2" t="s">
        <v>712</v>
      </c>
      <c r="E221" s="2" t="s">
        <v>243</v>
      </c>
      <c r="F221" s="2" t="s">
        <v>16</v>
      </c>
      <c r="G221" s="2" t="n">
        <v>65</v>
      </c>
      <c r="H221" s="2" t="n">
        <v>1200000</v>
      </c>
      <c r="I221" s="2" t="s">
        <v>31</v>
      </c>
      <c r="J221" s="2" t="n">
        <v>14</v>
      </c>
      <c r="K221" s="3" t="s">
        <v>156</v>
      </c>
      <c r="L221" s="5"/>
      <c r="M221" s="5"/>
      <c r="N221" s="5"/>
    </row>
    <row r="222" customFormat="false" ht="15" hidden="false" customHeight="false" outlineLevel="0" collapsed="false">
      <c r="A222" s="2" t="s">
        <v>713</v>
      </c>
      <c r="B222" s="3" t="s">
        <v>343</v>
      </c>
      <c r="C222" s="2" t="s">
        <v>182</v>
      </c>
      <c r="D222" s="2" t="s">
        <v>714</v>
      </c>
      <c r="E222" s="2" t="s">
        <v>294</v>
      </c>
      <c r="F222" s="2" t="s">
        <v>30</v>
      </c>
      <c r="G222" s="2" t="n">
        <v>480</v>
      </c>
      <c r="H222" s="2" t="n">
        <v>1200000</v>
      </c>
      <c r="I222" s="2" t="s">
        <v>31</v>
      </c>
      <c r="J222" s="2" t="n">
        <v>7</v>
      </c>
      <c r="K222" s="3" t="s">
        <v>715</v>
      </c>
      <c r="L222" s="5"/>
      <c r="M222" s="5"/>
      <c r="N222" s="5"/>
    </row>
    <row r="223" customFormat="false" ht="15" hidden="false" customHeight="false" outlineLevel="0" collapsed="false">
      <c r="A223" s="2" t="s">
        <v>716</v>
      </c>
      <c r="B223" s="3" t="s">
        <v>717</v>
      </c>
      <c r="C223" s="2" t="s">
        <v>96</v>
      </c>
      <c r="D223" s="2" t="s">
        <v>633</v>
      </c>
      <c r="E223" s="2" t="s">
        <v>41</v>
      </c>
      <c r="F223" s="2" t="s">
        <v>42</v>
      </c>
      <c r="G223" s="2" t="n">
        <v>343</v>
      </c>
      <c r="H223" s="2" t="n">
        <v>15000</v>
      </c>
      <c r="I223" s="2" t="s">
        <v>31</v>
      </c>
      <c r="J223" s="2" t="n">
        <v>14</v>
      </c>
      <c r="K223" s="3" t="s">
        <v>718</v>
      </c>
      <c r="L223" s="5"/>
      <c r="M223" s="5"/>
      <c r="N223" s="5"/>
    </row>
    <row r="224" customFormat="false" ht="15" hidden="false" customHeight="false" outlineLevel="0" collapsed="false">
      <c r="A224" s="2" t="s">
        <v>719</v>
      </c>
      <c r="B224" s="3" t="s">
        <v>257</v>
      </c>
      <c r="C224" s="2" t="s">
        <v>27</v>
      </c>
      <c r="D224" s="2" t="s">
        <v>720</v>
      </c>
      <c r="E224" s="2" t="s">
        <v>203</v>
      </c>
      <c r="F224" s="2" t="s">
        <v>65</v>
      </c>
      <c r="G224" s="2" t="n">
        <v>78</v>
      </c>
      <c r="H224" s="2" t="n">
        <v>120000</v>
      </c>
      <c r="I224" s="2" t="s">
        <v>24</v>
      </c>
      <c r="J224" s="2" t="n">
        <v>7</v>
      </c>
      <c r="K224" s="3"/>
      <c r="L224" s="5"/>
      <c r="M224" s="5"/>
      <c r="N224" s="5"/>
    </row>
    <row r="225" customFormat="false" ht="15" hidden="false" customHeight="false" outlineLevel="0" collapsed="false">
      <c r="A225" s="2" t="s">
        <v>721</v>
      </c>
      <c r="B225" s="3" t="s">
        <v>722</v>
      </c>
      <c r="C225" s="2" t="s">
        <v>72</v>
      </c>
      <c r="D225" s="2" t="s">
        <v>566</v>
      </c>
      <c r="E225" s="2" t="s">
        <v>94</v>
      </c>
      <c r="F225" s="2" t="s">
        <v>65</v>
      </c>
      <c r="G225" s="2" t="n">
        <v>26</v>
      </c>
      <c r="H225" s="2" t="n">
        <v>15000</v>
      </c>
      <c r="I225" s="2" t="s">
        <v>24</v>
      </c>
      <c r="J225" s="2" t="n">
        <v>10</v>
      </c>
      <c r="K225" s="3"/>
      <c r="L225" s="5"/>
      <c r="M225" s="5"/>
      <c r="N225" s="5"/>
    </row>
    <row r="226" customFormat="false" ht="15" hidden="false" customHeight="false" outlineLevel="0" collapsed="false">
      <c r="A226" s="2" t="s">
        <v>723</v>
      </c>
      <c r="B226" s="3" t="s">
        <v>493</v>
      </c>
      <c r="C226" s="2" t="s">
        <v>72</v>
      </c>
      <c r="D226" s="2" t="s">
        <v>724</v>
      </c>
      <c r="E226" s="2" t="s">
        <v>162</v>
      </c>
      <c r="F226" s="2" t="s">
        <v>16</v>
      </c>
      <c r="G226" s="2" t="n">
        <v>388</v>
      </c>
      <c r="H226" s="2" t="n">
        <v>250000</v>
      </c>
      <c r="I226" s="2" t="s">
        <v>31</v>
      </c>
      <c r="J226" s="2" t="n">
        <v>14</v>
      </c>
      <c r="K226" s="3" t="s">
        <v>381</v>
      </c>
      <c r="L226" s="5"/>
      <c r="M226" s="5"/>
      <c r="N226" s="5"/>
    </row>
    <row r="227" customFormat="false" ht="15" hidden="false" customHeight="false" outlineLevel="0" collapsed="false">
      <c r="A227" s="2" t="s">
        <v>725</v>
      </c>
      <c r="B227" s="3" t="s">
        <v>726</v>
      </c>
      <c r="C227" s="2" t="s">
        <v>77</v>
      </c>
      <c r="D227" s="2" t="s">
        <v>21</v>
      </c>
      <c r="E227" s="2" t="s">
        <v>22</v>
      </c>
      <c r="F227" s="2" t="s">
        <v>23</v>
      </c>
      <c r="G227" s="2" t="n">
        <v>134</v>
      </c>
      <c r="H227" s="2" t="n">
        <v>75000</v>
      </c>
      <c r="I227" s="2" t="s">
        <v>31</v>
      </c>
      <c r="J227" s="2" t="n">
        <v>14</v>
      </c>
      <c r="K227" s="3" t="s">
        <v>451</v>
      </c>
      <c r="L227" s="5"/>
      <c r="M227" s="5"/>
      <c r="N227" s="5"/>
    </row>
    <row r="228" customFormat="false" ht="15" hidden="false" customHeight="false" outlineLevel="0" collapsed="false">
      <c r="A228" s="2" t="s">
        <v>727</v>
      </c>
      <c r="B228" s="3" t="s">
        <v>728</v>
      </c>
      <c r="C228" s="2" t="s">
        <v>96</v>
      </c>
      <c r="D228" s="2" t="s">
        <v>729</v>
      </c>
      <c r="E228" s="2" t="s">
        <v>114</v>
      </c>
      <c r="F228" s="2" t="s">
        <v>30</v>
      </c>
      <c r="G228" s="2" t="n">
        <v>153</v>
      </c>
      <c r="H228" s="2" t="n">
        <v>25000</v>
      </c>
      <c r="I228" s="2" t="s">
        <v>31</v>
      </c>
      <c r="J228" s="2" t="n">
        <v>5</v>
      </c>
      <c r="K228" s="3" t="s">
        <v>730</v>
      </c>
      <c r="L228" s="5"/>
      <c r="M228" s="5"/>
      <c r="N228" s="5"/>
    </row>
    <row r="229" customFormat="false" ht="15" hidden="false" customHeight="false" outlineLevel="0" collapsed="false">
      <c r="A229" s="2" t="s">
        <v>731</v>
      </c>
      <c r="B229" s="3" t="s">
        <v>26</v>
      </c>
      <c r="C229" s="2" t="s">
        <v>13</v>
      </c>
      <c r="D229" s="2" t="s">
        <v>732</v>
      </c>
      <c r="E229" s="2" t="s">
        <v>370</v>
      </c>
      <c r="F229" s="2" t="s">
        <v>23</v>
      </c>
      <c r="G229" s="2" t="n">
        <v>150</v>
      </c>
      <c r="H229" s="2" t="n">
        <v>25000</v>
      </c>
      <c r="I229" s="2" t="s">
        <v>17</v>
      </c>
      <c r="J229" s="2" t="n">
        <v>7</v>
      </c>
      <c r="K229" s="3"/>
      <c r="L229" s="5"/>
      <c r="M229" s="5"/>
      <c r="N229" s="5"/>
    </row>
    <row r="230" customFormat="false" ht="15" hidden="false" customHeight="false" outlineLevel="0" collapsed="false">
      <c r="A230" s="2" t="s">
        <v>733</v>
      </c>
      <c r="B230" s="3" t="s">
        <v>175</v>
      </c>
      <c r="C230" s="2" t="s">
        <v>96</v>
      </c>
      <c r="D230" s="2" t="s">
        <v>734</v>
      </c>
      <c r="E230" s="2" t="s">
        <v>88</v>
      </c>
      <c r="F230" s="2" t="s">
        <v>89</v>
      </c>
      <c r="G230" s="2" t="n">
        <v>161</v>
      </c>
      <c r="H230" s="2" t="n">
        <v>45000</v>
      </c>
      <c r="I230" s="2" t="s">
        <v>24</v>
      </c>
      <c r="J230" s="2" t="n">
        <v>7</v>
      </c>
      <c r="K230" s="3"/>
      <c r="L230" s="5"/>
      <c r="M230" s="5"/>
      <c r="N230" s="5"/>
    </row>
    <row r="231" customFormat="false" ht="15" hidden="false" customHeight="false" outlineLevel="0" collapsed="false">
      <c r="A231" s="2" t="s">
        <v>735</v>
      </c>
      <c r="B231" s="3" t="s">
        <v>736</v>
      </c>
      <c r="C231" s="2" t="s">
        <v>27</v>
      </c>
      <c r="D231" s="2" t="s">
        <v>737</v>
      </c>
      <c r="E231" s="2" t="s">
        <v>36</v>
      </c>
      <c r="F231" s="2" t="s">
        <v>23</v>
      </c>
      <c r="G231" s="2" t="n">
        <v>131</v>
      </c>
      <c r="H231" s="2" t="n">
        <v>75000</v>
      </c>
      <c r="I231" s="2" t="s">
        <v>24</v>
      </c>
      <c r="J231" s="2" t="n">
        <v>10</v>
      </c>
      <c r="K231" s="3"/>
      <c r="L231" s="5"/>
      <c r="M231" s="5"/>
      <c r="N231" s="5"/>
    </row>
    <row r="233" customFormat="false" ht="15" hidden="false" customHeight="false" outlineLevel="0" collapsed="false">
      <c r="A233" s="6" t="s">
        <v>741</v>
      </c>
    </row>
  </sheetData>
  <autoFilter ref="A1:N2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1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6" min="6" style="0" width="17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24"/>
    <col collapsed="false" customWidth="true" hidden="false" outlineLevel="0" max="11" min="11" style="0" width="23"/>
    <col collapsed="false" customWidth="true" hidden="false" outlineLevel="0" max="12" min="12" style="0" width="27"/>
    <col collapsed="false" customWidth="true" hidden="false" outlineLevel="0" max="14" min="13" style="0" width="3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738</v>
      </c>
      <c r="M1" s="1" t="s">
        <v>739</v>
      </c>
      <c r="N1" s="1" t="s">
        <v>740</v>
      </c>
    </row>
    <row r="2" customFormat="false" ht="15" hidden="false" customHeight="false" outlineLevel="0" collapsed="false">
      <c r="A2" s="2" t="s">
        <v>11</v>
      </c>
      <c r="B2" s="3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n">
        <v>78</v>
      </c>
      <c r="H2" s="2" t="n">
        <v>500000</v>
      </c>
      <c r="I2" s="2" t="s">
        <v>17</v>
      </c>
      <c r="J2" s="2" t="n">
        <v>7</v>
      </c>
      <c r="K2" s="3"/>
      <c r="L2" s="4" t="n">
        <f aca="false">G2*H2</f>
        <v>39000000</v>
      </c>
      <c r="M2" s="2" t="str">
        <f aca="false">IF(I2="Received",(K2-B2)-J2,"-")</f>
        <v>-</v>
      </c>
      <c r="N2" s="2" t="str">
        <f aca="false">IF(I2="Received",IF(M2&lt;=0,"Tepat Waktu","Terlambat"),"-")</f>
        <v>-</v>
      </c>
    </row>
    <row r="3" customFormat="false" ht="15" hidden="false" customHeight="false" outlineLevel="0" collapsed="false">
      <c r="A3" s="2" t="s">
        <v>18</v>
      </c>
      <c r="B3" s="3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n">
        <v>439</v>
      </c>
      <c r="H3" s="2" t="n">
        <v>500000</v>
      </c>
      <c r="I3" s="2" t="s">
        <v>24</v>
      </c>
      <c r="J3" s="2" t="n">
        <v>14</v>
      </c>
      <c r="K3" s="3"/>
      <c r="L3" s="4" t="n">
        <f aca="false">G3*H3</f>
        <v>219500000</v>
      </c>
      <c r="M3" s="2" t="str">
        <f aca="false">IF(I3="Received",(K3-B3)-J3,"-")</f>
        <v>-</v>
      </c>
      <c r="N3" s="2" t="str">
        <f aca="false">IF(I3="Received",IF(M3&lt;=0,"Tepat Waktu","Terlambat"),"-")</f>
        <v>-</v>
      </c>
    </row>
    <row r="4" customFormat="false" ht="15" hidden="false" customHeight="false" outlineLevel="0" collapsed="false">
      <c r="A4" s="2" t="s">
        <v>25</v>
      </c>
      <c r="B4" s="3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n">
        <v>357</v>
      </c>
      <c r="H4" s="2" t="n">
        <v>25000</v>
      </c>
      <c r="I4" s="2" t="s">
        <v>31</v>
      </c>
      <c r="J4" s="2" t="n">
        <v>7</v>
      </c>
      <c r="K4" s="3" t="s">
        <v>32</v>
      </c>
      <c r="L4" s="4" t="n">
        <f aca="false">G4*H4</f>
        <v>8925000</v>
      </c>
      <c r="M4" s="2" t="n">
        <f aca="false">IF(I4="Received",(K4-B4)-J4,"-")</f>
        <v>-2</v>
      </c>
      <c r="N4" s="2" t="str">
        <f aca="false">IF(I4="Received",IF(M4&lt;=0,"Tepat Waktu","Terlambat"),"-")</f>
        <v>Tepat Waktu</v>
      </c>
    </row>
    <row r="5" customFormat="false" ht="15" hidden="false" customHeight="false" outlineLevel="0" collapsed="false">
      <c r="A5" s="2" t="s">
        <v>33</v>
      </c>
      <c r="B5" s="3" t="s">
        <v>34</v>
      </c>
      <c r="C5" s="2" t="s">
        <v>27</v>
      </c>
      <c r="D5" s="2" t="s">
        <v>35</v>
      </c>
      <c r="E5" s="2" t="s">
        <v>36</v>
      </c>
      <c r="F5" s="2" t="s">
        <v>23</v>
      </c>
      <c r="G5" s="2" t="n">
        <v>314</v>
      </c>
      <c r="H5" s="2" t="n">
        <v>500000</v>
      </c>
      <c r="I5" s="2" t="s">
        <v>17</v>
      </c>
      <c r="J5" s="2" t="n">
        <v>7</v>
      </c>
      <c r="K5" s="3"/>
      <c r="L5" s="4" t="n">
        <f aca="false">G5*H5</f>
        <v>157000000</v>
      </c>
      <c r="M5" s="2" t="str">
        <f aca="false">IF(I5="Received",(K5-B5)-J5,"-")</f>
        <v>-</v>
      </c>
      <c r="N5" s="2" t="str">
        <f aca="false">IF(I5="Received",IF(M5&lt;=0,"Tepat Waktu","Terlambat"),"-")</f>
        <v>-</v>
      </c>
    </row>
    <row r="6" customFormat="false" ht="15" hidden="false" customHeight="false" outlineLevel="0" collapsed="false">
      <c r="A6" s="2" t="s">
        <v>37</v>
      </c>
      <c r="B6" s="3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 t="n">
        <v>187</v>
      </c>
      <c r="H6" s="2" t="n">
        <v>1200000</v>
      </c>
      <c r="I6" s="2" t="s">
        <v>17</v>
      </c>
      <c r="J6" s="2" t="n">
        <v>10</v>
      </c>
      <c r="K6" s="3"/>
      <c r="L6" s="4" t="n">
        <f aca="false">G6*H6</f>
        <v>224400000</v>
      </c>
      <c r="M6" s="2" t="str">
        <f aca="false">IF(I6="Received",(K6-B6)-J6,"-")</f>
        <v>-</v>
      </c>
      <c r="N6" s="2" t="str">
        <f aca="false">IF(I6="Received",IF(M6&lt;=0,"Tepat Waktu","Terlambat"),"-")</f>
        <v>-</v>
      </c>
    </row>
    <row r="7" customFormat="false" ht="15" hidden="false" customHeight="false" outlineLevel="0" collapsed="false">
      <c r="A7" s="2" t="s">
        <v>43</v>
      </c>
      <c r="B7" s="3" t="s">
        <v>44</v>
      </c>
      <c r="C7" s="2" t="s">
        <v>20</v>
      </c>
      <c r="D7" s="2" t="s">
        <v>45</v>
      </c>
      <c r="E7" s="2" t="s">
        <v>46</v>
      </c>
      <c r="F7" s="2" t="s">
        <v>30</v>
      </c>
      <c r="G7" s="2" t="n">
        <v>400</v>
      </c>
      <c r="H7" s="2" t="n">
        <v>120000</v>
      </c>
      <c r="I7" s="2" t="s">
        <v>47</v>
      </c>
      <c r="J7" s="2" t="n">
        <v>3</v>
      </c>
      <c r="K7" s="3"/>
      <c r="L7" s="4" t="n">
        <f aca="false">G7*H7</f>
        <v>48000000</v>
      </c>
      <c r="M7" s="2" t="str">
        <f aca="false">IF(I7="Received",(K7-B7)-J7,"-")</f>
        <v>-</v>
      </c>
      <c r="N7" s="2" t="str">
        <f aca="false">IF(I7="Received",IF(M7&lt;=0,"Tepat Waktu","Terlambat"),"-")</f>
        <v>-</v>
      </c>
    </row>
    <row r="8" customFormat="false" ht="15" hidden="false" customHeight="false" outlineLevel="0" collapsed="false">
      <c r="A8" s="2" t="s">
        <v>48</v>
      </c>
      <c r="B8" s="3" t="s">
        <v>49</v>
      </c>
      <c r="C8" s="2" t="s">
        <v>39</v>
      </c>
      <c r="D8" s="2" t="s">
        <v>50</v>
      </c>
      <c r="E8" s="2" t="s">
        <v>51</v>
      </c>
      <c r="F8" s="2" t="s">
        <v>23</v>
      </c>
      <c r="G8" s="2" t="n">
        <v>406</v>
      </c>
      <c r="H8" s="2" t="n">
        <v>45000</v>
      </c>
      <c r="I8" s="2" t="s">
        <v>24</v>
      </c>
      <c r="J8" s="2" t="n">
        <v>7</v>
      </c>
      <c r="K8" s="3"/>
      <c r="L8" s="4" t="n">
        <f aca="false">G8*H8</f>
        <v>18270000</v>
      </c>
      <c r="M8" s="2" t="str">
        <f aca="false">IF(I8="Received",(K8-B8)-J8,"-")</f>
        <v>-</v>
      </c>
      <c r="N8" s="2" t="str">
        <f aca="false">IF(I8="Received",IF(M8&lt;=0,"Tepat Waktu","Terlambat"),"-")</f>
        <v>-</v>
      </c>
    </row>
    <row r="9" customFormat="false" ht="15" hidden="false" customHeight="false" outlineLevel="0" collapsed="false">
      <c r="A9" s="2" t="s">
        <v>52</v>
      </c>
      <c r="B9" s="3" t="s">
        <v>53</v>
      </c>
      <c r="C9" s="2" t="s">
        <v>54</v>
      </c>
      <c r="D9" s="2" t="s">
        <v>55</v>
      </c>
      <c r="E9" s="2" t="s">
        <v>56</v>
      </c>
      <c r="F9" s="2" t="s">
        <v>16</v>
      </c>
      <c r="G9" s="2" t="n">
        <v>232</v>
      </c>
      <c r="H9" s="2" t="n">
        <v>250000</v>
      </c>
      <c r="I9" s="2" t="s">
        <v>47</v>
      </c>
      <c r="J9" s="2" t="n">
        <v>3</v>
      </c>
      <c r="K9" s="3"/>
      <c r="L9" s="4" t="n">
        <f aca="false">G9*H9</f>
        <v>58000000</v>
      </c>
      <c r="M9" s="2" t="str">
        <f aca="false">IF(I9="Received",(K9-B9)-J9,"-")</f>
        <v>-</v>
      </c>
      <c r="N9" s="2" t="str">
        <f aca="false">IF(I9="Received",IF(M9&lt;=0,"Tepat Waktu","Terlambat"),"-")</f>
        <v>-</v>
      </c>
    </row>
    <row r="10" customFormat="false" ht="15" hidden="false" customHeight="false" outlineLevel="0" collapsed="false">
      <c r="A10" s="2" t="s">
        <v>57</v>
      </c>
      <c r="B10" s="3" t="s">
        <v>58</v>
      </c>
      <c r="C10" s="2" t="s">
        <v>54</v>
      </c>
      <c r="D10" s="2" t="s">
        <v>59</v>
      </c>
      <c r="E10" s="2" t="s">
        <v>51</v>
      </c>
      <c r="F10" s="2" t="s">
        <v>23</v>
      </c>
      <c r="G10" s="2" t="n">
        <v>290</v>
      </c>
      <c r="H10" s="2" t="n">
        <v>1200000</v>
      </c>
      <c r="I10" s="2" t="s">
        <v>31</v>
      </c>
      <c r="J10" s="2" t="n">
        <v>3</v>
      </c>
      <c r="K10" s="3" t="s">
        <v>60</v>
      </c>
      <c r="L10" s="4" t="n">
        <f aca="false">G10*H10</f>
        <v>348000000</v>
      </c>
      <c r="M10" s="2" t="n">
        <f aca="false">IF(I10="Received",(K10-B10)-J10,"-")</f>
        <v>-2</v>
      </c>
      <c r="N10" s="2" t="str">
        <f aca="false">IF(I10="Received",IF(M10&lt;=0,"Tepat Waktu","Terlambat"),"-")</f>
        <v>Tepat Waktu</v>
      </c>
    </row>
    <row r="11" customFormat="false" ht="15" hidden="false" customHeight="false" outlineLevel="0" collapsed="false">
      <c r="A11" s="2" t="s">
        <v>61</v>
      </c>
      <c r="B11" s="3" t="s">
        <v>62</v>
      </c>
      <c r="C11" s="2" t="s">
        <v>13</v>
      </c>
      <c r="D11" s="2" t="s">
        <v>63</v>
      </c>
      <c r="E11" s="2" t="s">
        <v>64</v>
      </c>
      <c r="F11" s="2" t="s">
        <v>65</v>
      </c>
      <c r="G11" s="2" t="n">
        <v>311</v>
      </c>
      <c r="H11" s="2" t="n">
        <v>250000</v>
      </c>
      <c r="I11" s="2" t="s">
        <v>47</v>
      </c>
      <c r="J11" s="2" t="n">
        <v>3</v>
      </c>
      <c r="K11" s="3"/>
      <c r="L11" s="4" t="n">
        <f aca="false">G11*H11</f>
        <v>77750000</v>
      </c>
      <c r="M11" s="2" t="str">
        <f aca="false">IF(I11="Received",(K11-B11)-J11,"-")</f>
        <v>-</v>
      </c>
      <c r="N11" s="2" t="str">
        <f aca="false">IF(I11="Received",IF(M11&lt;=0,"Tepat Waktu","Terlambat"),"-")</f>
        <v>-</v>
      </c>
    </row>
    <row r="12" customFormat="false" ht="15" hidden="false" customHeight="false" outlineLevel="0" collapsed="false">
      <c r="A12" s="2" t="s">
        <v>66</v>
      </c>
      <c r="B12" s="3" t="s">
        <v>67</v>
      </c>
      <c r="C12" s="2" t="s">
        <v>27</v>
      </c>
      <c r="D12" s="2" t="s">
        <v>68</v>
      </c>
      <c r="E12" s="2" t="s">
        <v>69</v>
      </c>
      <c r="F12" s="2" t="s">
        <v>42</v>
      </c>
      <c r="G12" s="2" t="n">
        <v>466</v>
      </c>
      <c r="H12" s="2" t="n">
        <v>1200000</v>
      </c>
      <c r="I12" s="2" t="s">
        <v>17</v>
      </c>
      <c r="J12" s="2" t="n">
        <v>5</v>
      </c>
      <c r="K12" s="3"/>
      <c r="L12" s="4" t="n">
        <f aca="false">G12*H12</f>
        <v>559200000</v>
      </c>
      <c r="M12" s="2" t="str">
        <f aca="false">IF(I12="Received",(K12-B12)-J12,"-")</f>
        <v>-</v>
      </c>
      <c r="N12" s="2" t="str">
        <f aca="false">IF(I12="Received",IF(M12&lt;=0,"Tepat Waktu","Terlambat"),"-")</f>
        <v>-</v>
      </c>
    </row>
    <row r="13" customFormat="false" ht="15" hidden="false" customHeight="false" outlineLevel="0" collapsed="false">
      <c r="A13" s="2" t="s">
        <v>70</v>
      </c>
      <c r="B13" s="3" t="s">
        <v>71</v>
      </c>
      <c r="C13" s="2" t="s">
        <v>72</v>
      </c>
      <c r="D13" s="2" t="s">
        <v>73</v>
      </c>
      <c r="E13" s="2" t="s">
        <v>51</v>
      </c>
      <c r="F13" s="2" t="s">
        <v>23</v>
      </c>
      <c r="G13" s="2" t="n">
        <v>76</v>
      </c>
      <c r="H13" s="2" t="n">
        <v>120000</v>
      </c>
      <c r="I13" s="2" t="s">
        <v>31</v>
      </c>
      <c r="J13" s="2" t="n">
        <v>10</v>
      </c>
      <c r="K13" s="3" t="s">
        <v>74</v>
      </c>
      <c r="L13" s="4" t="n">
        <f aca="false">G13*H13</f>
        <v>9120000</v>
      </c>
      <c r="M13" s="2" t="n">
        <f aca="false">IF(I13="Received",(K13-B13)-J13,"-")</f>
        <v>0</v>
      </c>
      <c r="N13" s="2" t="str">
        <f aca="false">IF(I13="Received",IF(M13&lt;=0,"Tepat Waktu","Terlambat"),"-")</f>
        <v>Tepat Waktu</v>
      </c>
    </row>
    <row r="14" customFormat="false" ht="15" hidden="false" customHeight="false" outlineLevel="0" collapsed="false">
      <c r="A14" s="2" t="s">
        <v>75</v>
      </c>
      <c r="B14" s="3" t="s">
        <v>76</v>
      </c>
      <c r="C14" s="2" t="s">
        <v>77</v>
      </c>
      <c r="D14" s="2" t="s">
        <v>78</v>
      </c>
      <c r="E14" s="2" t="s">
        <v>79</v>
      </c>
      <c r="F14" s="2" t="s">
        <v>42</v>
      </c>
      <c r="G14" s="2" t="n">
        <v>158</v>
      </c>
      <c r="H14" s="2" t="n">
        <v>850000</v>
      </c>
      <c r="I14" s="2" t="s">
        <v>47</v>
      </c>
      <c r="J14" s="2" t="n">
        <v>7</v>
      </c>
      <c r="K14" s="3"/>
      <c r="L14" s="4" t="n">
        <f aca="false">G14*H14</f>
        <v>134300000</v>
      </c>
      <c r="M14" s="2" t="str">
        <f aca="false">IF(I14="Received",(K14-B14)-J14,"-")</f>
        <v>-</v>
      </c>
      <c r="N14" s="2" t="str">
        <f aca="false">IF(I14="Received",IF(M14&lt;=0,"Tepat Waktu","Terlambat"),"-")</f>
        <v>-</v>
      </c>
    </row>
    <row r="15" customFormat="false" ht="15" hidden="false" customHeight="false" outlineLevel="0" collapsed="false">
      <c r="A15" s="2" t="s">
        <v>80</v>
      </c>
      <c r="B15" s="3" t="s">
        <v>81</v>
      </c>
      <c r="C15" s="2" t="s">
        <v>82</v>
      </c>
      <c r="D15" s="2" t="s">
        <v>83</v>
      </c>
      <c r="E15" s="2" t="s">
        <v>46</v>
      </c>
      <c r="F15" s="2" t="s">
        <v>30</v>
      </c>
      <c r="G15" s="2" t="n">
        <v>320</v>
      </c>
      <c r="H15" s="2" t="n">
        <v>75000</v>
      </c>
      <c r="I15" s="2" t="s">
        <v>31</v>
      </c>
      <c r="J15" s="2" t="n">
        <v>5</v>
      </c>
      <c r="K15" s="3" t="s">
        <v>84</v>
      </c>
      <c r="L15" s="4" t="n">
        <f aca="false">G15*H15</f>
        <v>24000000</v>
      </c>
      <c r="M15" s="2" t="n">
        <f aca="false">IF(I15="Received",(K15-B15)-J15,"-")</f>
        <v>2</v>
      </c>
      <c r="N15" s="2" t="str">
        <f aca="false">IF(I15="Received",IF(M15&lt;=0,"Tepat Waktu","Terlambat"),"-")</f>
        <v>Terlambat</v>
      </c>
    </row>
    <row r="16" customFormat="false" ht="15" hidden="false" customHeight="false" outlineLevel="0" collapsed="false">
      <c r="A16" s="2" t="s">
        <v>85</v>
      </c>
      <c r="B16" s="3" t="s">
        <v>86</v>
      </c>
      <c r="C16" s="2" t="s">
        <v>27</v>
      </c>
      <c r="D16" s="2" t="s">
        <v>87</v>
      </c>
      <c r="E16" s="2" t="s">
        <v>88</v>
      </c>
      <c r="F16" s="2" t="s">
        <v>89</v>
      </c>
      <c r="G16" s="2" t="n">
        <v>416</v>
      </c>
      <c r="H16" s="2" t="n">
        <v>250000</v>
      </c>
      <c r="I16" s="2" t="s">
        <v>31</v>
      </c>
      <c r="J16" s="2" t="n">
        <v>10</v>
      </c>
      <c r="K16" s="3" t="s">
        <v>90</v>
      </c>
      <c r="L16" s="4" t="n">
        <f aca="false">G16*H16</f>
        <v>104000000</v>
      </c>
      <c r="M16" s="2" t="n">
        <f aca="false">IF(I16="Received",(K16-B16)-J16,"-")</f>
        <v>0</v>
      </c>
      <c r="N16" s="2" t="str">
        <f aca="false">IF(I16="Received",IF(M16&lt;=0,"Tepat Waktu","Terlambat"),"-")</f>
        <v>Tepat Waktu</v>
      </c>
    </row>
    <row r="17" customFormat="false" ht="15" hidden="false" customHeight="false" outlineLevel="0" collapsed="false">
      <c r="A17" s="2" t="s">
        <v>91</v>
      </c>
      <c r="B17" s="3" t="s">
        <v>92</v>
      </c>
      <c r="C17" s="2" t="s">
        <v>13</v>
      </c>
      <c r="D17" s="2" t="s">
        <v>93</v>
      </c>
      <c r="E17" s="2" t="s">
        <v>94</v>
      </c>
      <c r="F17" s="2" t="s">
        <v>65</v>
      </c>
      <c r="G17" s="2" t="n">
        <v>165</v>
      </c>
      <c r="H17" s="2" t="n">
        <v>45000</v>
      </c>
      <c r="I17" s="2" t="s">
        <v>17</v>
      </c>
      <c r="J17" s="2" t="n">
        <v>7</v>
      </c>
      <c r="K17" s="3"/>
      <c r="L17" s="4" t="n">
        <f aca="false">G17*H17</f>
        <v>7425000</v>
      </c>
      <c r="M17" s="2" t="str">
        <f aca="false">IF(I17="Received",(K17-B17)-J17,"-")</f>
        <v>-</v>
      </c>
      <c r="N17" s="2" t="str">
        <f aca="false">IF(I17="Received",IF(M17&lt;=0,"Tepat Waktu","Terlambat"),"-")</f>
        <v>-</v>
      </c>
    </row>
    <row r="18" customFormat="false" ht="15" hidden="false" customHeight="false" outlineLevel="0" collapsed="false">
      <c r="A18" s="2" t="s">
        <v>95</v>
      </c>
      <c r="B18" s="3" t="s">
        <v>67</v>
      </c>
      <c r="C18" s="2" t="s">
        <v>96</v>
      </c>
      <c r="D18" s="2" t="s">
        <v>97</v>
      </c>
      <c r="E18" s="2" t="s">
        <v>94</v>
      </c>
      <c r="F18" s="2" t="s">
        <v>65</v>
      </c>
      <c r="G18" s="2" t="n">
        <v>197</v>
      </c>
      <c r="H18" s="2" t="n">
        <v>120000</v>
      </c>
      <c r="I18" s="2" t="s">
        <v>47</v>
      </c>
      <c r="J18" s="2" t="n">
        <v>10</v>
      </c>
      <c r="K18" s="3"/>
      <c r="L18" s="4" t="n">
        <f aca="false">G18*H18</f>
        <v>23640000</v>
      </c>
      <c r="M18" s="2" t="str">
        <f aca="false">IF(I18="Received",(K18-B18)-J18,"-")</f>
        <v>-</v>
      </c>
      <c r="N18" s="2" t="str">
        <f aca="false">IF(I18="Received",IF(M18&lt;=0,"Tepat Waktu","Terlambat"),"-")</f>
        <v>-</v>
      </c>
    </row>
    <row r="19" customFormat="false" ht="15" hidden="false" customHeight="false" outlineLevel="0" collapsed="false">
      <c r="A19" s="2" t="s">
        <v>98</v>
      </c>
      <c r="B19" s="3" t="s">
        <v>99</v>
      </c>
      <c r="C19" s="2" t="s">
        <v>54</v>
      </c>
      <c r="D19" s="2" t="s">
        <v>100</v>
      </c>
      <c r="E19" s="2" t="s">
        <v>94</v>
      </c>
      <c r="F19" s="2" t="s">
        <v>65</v>
      </c>
      <c r="G19" s="2" t="n">
        <v>284</v>
      </c>
      <c r="H19" s="2" t="n">
        <v>45000</v>
      </c>
      <c r="I19" s="2" t="s">
        <v>24</v>
      </c>
      <c r="J19" s="2" t="n">
        <v>14</v>
      </c>
      <c r="K19" s="3"/>
      <c r="L19" s="4" t="n">
        <f aca="false">G19*H19</f>
        <v>12780000</v>
      </c>
      <c r="M19" s="2" t="str">
        <f aca="false">IF(I19="Received",(K19-B19)-J19,"-")</f>
        <v>-</v>
      </c>
      <c r="N19" s="2" t="str">
        <f aca="false">IF(I19="Received",IF(M19&lt;=0,"Tepat Waktu","Terlambat"),"-")</f>
        <v>-</v>
      </c>
    </row>
    <row r="20" customFormat="false" ht="15" hidden="false" customHeight="false" outlineLevel="0" collapsed="false">
      <c r="A20" s="2" t="s">
        <v>101</v>
      </c>
      <c r="B20" s="3" t="s">
        <v>90</v>
      </c>
      <c r="C20" s="2" t="s">
        <v>96</v>
      </c>
      <c r="D20" s="2" t="s">
        <v>102</v>
      </c>
      <c r="E20" s="2" t="s">
        <v>29</v>
      </c>
      <c r="F20" s="2" t="s">
        <v>30</v>
      </c>
      <c r="G20" s="2" t="n">
        <v>413</v>
      </c>
      <c r="H20" s="2" t="n">
        <v>120000</v>
      </c>
      <c r="I20" s="2" t="s">
        <v>47</v>
      </c>
      <c r="J20" s="2" t="n">
        <v>3</v>
      </c>
      <c r="K20" s="3"/>
      <c r="L20" s="4" t="n">
        <f aca="false">G20*H20</f>
        <v>49560000</v>
      </c>
      <c r="M20" s="2" t="str">
        <f aca="false">IF(I20="Received",(K20-B20)-J20,"-")</f>
        <v>-</v>
      </c>
      <c r="N20" s="2" t="str">
        <f aca="false">IF(I20="Received",IF(M20&lt;=0,"Tepat Waktu","Terlambat"),"-")</f>
        <v>-</v>
      </c>
    </row>
    <row r="21" customFormat="false" ht="15" hidden="false" customHeight="false" outlineLevel="0" collapsed="false">
      <c r="A21" s="2" t="s">
        <v>103</v>
      </c>
      <c r="B21" s="3" t="s">
        <v>104</v>
      </c>
      <c r="C21" s="2" t="s">
        <v>96</v>
      </c>
      <c r="D21" s="2" t="s">
        <v>105</v>
      </c>
      <c r="E21" s="2" t="s">
        <v>106</v>
      </c>
      <c r="F21" s="2" t="s">
        <v>23</v>
      </c>
      <c r="G21" s="2" t="n">
        <v>134</v>
      </c>
      <c r="H21" s="2" t="n">
        <v>45000</v>
      </c>
      <c r="I21" s="2" t="s">
        <v>24</v>
      </c>
      <c r="J21" s="2" t="n">
        <v>10</v>
      </c>
      <c r="K21" s="3"/>
      <c r="L21" s="4" t="n">
        <f aca="false">G21*H21</f>
        <v>6030000</v>
      </c>
      <c r="M21" s="2" t="str">
        <f aca="false">IF(I21="Received",(K21-B21)-J21,"-")</f>
        <v>-</v>
      </c>
      <c r="N21" s="2" t="str">
        <f aca="false">IF(I21="Received",IF(M21&lt;=0,"Tepat Waktu","Terlambat"),"-")</f>
        <v>-</v>
      </c>
    </row>
    <row r="22" customFormat="false" ht="15" hidden="false" customHeight="false" outlineLevel="0" collapsed="false">
      <c r="A22" s="2" t="s">
        <v>107</v>
      </c>
      <c r="B22" s="3" t="s">
        <v>108</v>
      </c>
      <c r="C22" s="2" t="s">
        <v>96</v>
      </c>
      <c r="D22" s="2" t="s">
        <v>109</v>
      </c>
      <c r="E22" s="2" t="s">
        <v>110</v>
      </c>
      <c r="F22" s="2" t="s">
        <v>65</v>
      </c>
      <c r="G22" s="2" t="n">
        <v>210</v>
      </c>
      <c r="H22" s="2" t="n">
        <v>1200000</v>
      </c>
      <c r="I22" s="2" t="s">
        <v>31</v>
      </c>
      <c r="J22" s="2" t="n">
        <v>10</v>
      </c>
      <c r="K22" s="3" t="s">
        <v>111</v>
      </c>
      <c r="L22" s="4" t="n">
        <f aca="false">G22*H22</f>
        <v>252000000</v>
      </c>
      <c r="M22" s="2" t="n">
        <f aca="false">IF(I22="Received",(K22-B22)-J22,"-")</f>
        <v>6</v>
      </c>
      <c r="N22" s="2" t="str">
        <f aca="false">IF(I22="Received",IF(M22&lt;=0,"Tepat Waktu","Terlambat"),"-")</f>
        <v>Terlambat</v>
      </c>
    </row>
    <row r="23" customFormat="false" ht="15" hidden="false" customHeight="false" outlineLevel="0" collapsed="false">
      <c r="A23" s="2" t="s">
        <v>112</v>
      </c>
      <c r="B23" s="3" t="s">
        <v>113</v>
      </c>
      <c r="C23" s="2" t="s">
        <v>13</v>
      </c>
      <c r="D23" s="2" t="s">
        <v>83</v>
      </c>
      <c r="E23" s="2" t="s">
        <v>114</v>
      </c>
      <c r="F23" s="2" t="s">
        <v>30</v>
      </c>
      <c r="G23" s="2" t="n">
        <v>331</v>
      </c>
      <c r="H23" s="2" t="n">
        <v>25000</v>
      </c>
      <c r="I23" s="2" t="s">
        <v>31</v>
      </c>
      <c r="J23" s="2" t="n">
        <v>5</v>
      </c>
      <c r="K23" s="3" t="s">
        <v>115</v>
      </c>
      <c r="L23" s="4" t="n">
        <f aca="false">G23*H23</f>
        <v>8275000</v>
      </c>
      <c r="M23" s="2" t="n">
        <f aca="false">IF(I23="Received",(K23-B23)-J23,"-")</f>
        <v>3</v>
      </c>
      <c r="N23" s="2" t="str">
        <f aca="false">IF(I23="Received",IF(M23&lt;=0,"Tepat Waktu","Terlambat"),"-")</f>
        <v>Terlambat</v>
      </c>
    </row>
    <row r="24" customFormat="false" ht="15" hidden="false" customHeight="false" outlineLevel="0" collapsed="false">
      <c r="A24" s="2" t="s">
        <v>116</v>
      </c>
      <c r="B24" s="3" t="s">
        <v>117</v>
      </c>
      <c r="C24" s="2" t="s">
        <v>20</v>
      </c>
      <c r="D24" s="2" t="s">
        <v>118</v>
      </c>
      <c r="E24" s="2" t="s">
        <v>119</v>
      </c>
      <c r="F24" s="2" t="s">
        <v>16</v>
      </c>
      <c r="G24" s="2" t="n">
        <v>351</v>
      </c>
      <c r="H24" s="2" t="n">
        <v>500000</v>
      </c>
      <c r="I24" s="2" t="s">
        <v>17</v>
      </c>
      <c r="J24" s="2" t="n">
        <v>7</v>
      </c>
      <c r="K24" s="3"/>
      <c r="L24" s="4" t="n">
        <f aca="false">G24*H24</f>
        <v>175500000</v>
      </c>
      <c r="M24" s="2" t="str">
        <f aca="false">IF(I24="Received",(K24-B24)-J24,"-")</f>
        <v>-</v>
      </c>
      <c r="N24" s="2" t="str">
        <f aca="false">IF(I24="Received",IF(M24&lt;=0,"Tepat Waktu","Terlambat"),"-")</f>
        <v>-</v>
      </c>
    </row>
    <row r="25" customFormat="false" ht="15" hidden="false" customHeight="false" outlineLevel="0" collapsed="false">
      <c r="A25" s="2" t="s">
        <v>120</v>
      </c>
      <c r="B25" s="3" t="s">
        <v>121</v>
      </c>
      <c r="C25" s="2" t="s">
        <v>54</v>
      </c>
      <c r="D25" s="2" t="s">
        <v>122</v>
      </c>
      <c r="E25" s="2" t="s">
        <v>56</v>
      </c>
      <c r="F25" s="2" t="s">
        <v>16</v>
      </c>
      <c r="G25" s="2" t="n">
        <v>118</v>
      </c>
      <c r="H25" s="2" t="n">
        <v>1200000</v>
      </c>
      <c r="I25" s="2" t="s">
        <v>24</v>
      </c>
      <c r="J25" s="2" t="n">
        <v>14</v>
      </c>
      <c r="K25" s="3"/>
      <c r="L25" s="4" t="n">
        <f aca="false">G25*H25</f>
        <v>141600000</v>
      </c>
      <c r="M25" s="2" t="str">
        <f aca="false">IF(I25="Received",(K25-B25)-J25,"-")</f>
        <v>-</v>
      </c>
      <c r="N25" s="2" t="str">
        <f aca="false">IF(I25="Received",IF(M25&lt;=0,"Tepat Waktu","Terlambat"),"-")</f>
        <v>-</v>
      </c>
    </row>
    <row r="26" customFormat="false" ht="15" hidden="false" customHeight="false" outlineLevel="0" collapsed="false">
      <c r="A26" s="2" t="s">
        <v>123</v>
      </c>
      <c r="B26" s="3" t="s">
        <v>124</v>
      </c>
      <c r="C26" s="2" t="s">
        <v>20</v>
      </c>
      <c r="D26" s="2" t="s">
        <v>125</v>
      </c>
      <c r="E26" s="2" t="s">
        <v>51</v>
      </c>
      <c r="F26" s="2" t="s">
        <v>23</v>
      </c>
      <c r="G26" s="2" t="n">
        <v>205</v>
      </c>
      <c r="H26" s="2" t="n">
        <v>850000</v>
      </c>
      <c r="I26" s="2" t="s">
        <v>47</v>
      </c>
      <c r="J26" s="2" t="n">
        <v>14</v>
      </c>
      <c r="K26" s="3"/>
      <c r="L26" s="4" t="n">
        <f aca="false">G26*H26</f>
        <v>174250000</v>
      </c>
      <c r="M26" s="2" t="str">
        <f aca="false">IF(I26="Received",(K26-B26)-J26,"-")</f>
        <v>-</v>
      </c>
      <c r="N26" s="2" t="str">
        <f aca="false">IF(I26="Received",IF(M26&lt;=0,"Tepat Waktu","Terlambat"),"-")</f>
        <v>-</v>
      </c>
    </row>
    <row r="27" customFormat="false" ht="15" hidden="false" customHeight="false" outlineLevel="0" collapsed="false">
      <c r="A27" s="2" t="s">
        <v>126</v>
      </c>
      <c r="B27" s="3" t="s">
        <v>127</v>
      </c>
      <c r="C27" s="2" t="s">
        <v>72</v>
      </c>
      <c r="D27" s="2" t="s">
        <v>128</v>
      </c>
      <c r="E27" s="2" t="s">
        <v>106</v>
      </c>
      <c r="F27" s="2" t="s">
        <v>23</v>
      </c>
      <c r="G27" s="2" t="n">
        <v>252</v>
      </c>
      <c r="H27" s="2" t="n">
        <v>25000</v>
      </c>
      <c r="I27" s="2" t="s">
        <v>31</v>
      </c>
      <c r="J27" s="2" t="n">
        <v>3</v>
      </c>
      <c r="K27" s="3" t="s">
        <v>129</v>
      </c>
      <c r="L27" s="4" t="n">
        <f aca="false">G27*H27</f>
        <v>6300000</v>
      </c>
      <c r="M27" s="2" t="n">
        <f aca="false">IF(I27="Received",(K27-B27)-J27,"-")</f>
        <v>-1</v>
      </c>
      <c r="N27" s="2" t="str">
        <f aca="false">IF(I27="Received",IF(M27&lt;=0,"Tepat Waktu","Terlambat"),"-")</f>
        <v>Tepat Waktu</v>
      </c>
    </row>
    <row r="28" customFormat="false" ht="15" hidden="false" customHeight="false" outlineLevel="0" collapsed="false">
      <c r="A28" s="2" t="s">
        <v>130</v>
      </c>
      <c r="B28" s="3" t="s">
        <v>131</v>
      </c>
      <c r="C28" s="2" t="s">
        <v>13</v>
      </c>
      <c r="D28" s="2" t="s">
        <v>132</v>
      </c>
      <c r="E28" s="2" t="s">
        <v>133</v>
      </c>
      <c r="F28" s="2" t="s">
        <v>89</v>
      </c>
      <c r="G28" s="2" t="n">
        <v>406</v>
      </c>
      <c r="H28" s="2" t="n">
        <v>75000</v>
      </c>
      <c r="I28" s="2" t="s">
        <v>31</v>
      </c>
      <c r="J28" s="2" t="n">
        <v>7</v>
      </c>
      <c r="K28" s="3" t="s">
        <v>134</v>
      </c>
      <c r="L28" s="4" t="n">
        <f aca="false">G28*H28</f>
        <v>30450000</v>
      </c>
      <c r="M28" s="2" t="n">
        <f aca="false">IF(I28="Received",(K28-B28)-J28,"-")</f>
        <v>5</v>
      </c>
      <c r="N28" s="2" t="str">
        <f aca="false">IF(I28="Received",IF(M28&lt;=0,"Tepat Waktu","Terlambat"),"-")</f>
        <v>Terlambat</v>
      </c>
    </row>
    <row r="29" customFormat="false" ht="15" hidden="false" customHeight="false" outlineLevel="0" collapsed="false">
      <c r="A29" s="2" t="s">
        <v>135</v>
      </c>
      <c r="B29" s="3" t="s">
        <v>136</v>
      </c>
      <c r="C29" s="2" t="s">
        <v>96</v>
      </c>
      <c r="D29" s="2" t="s">
        <v>137</v>
      </c>
      <c r="E29" s="2" t="s">
        <v>46</v>
      </c>
      <c r="F29" s="2" t="s">
        <v>30</v>
      </c>
      <c r="G29" s="2" t="n">
        <v>39</v>
      </c>
      <c r="H29" s="2" t="n">
        <v>120000</v>
      </c>
      <c r="I29" s="2" t="s">
        <v>31</v>
      </c>
      <c r="J29" s="2" t="n">
        <v>3</v>
      </c>
      <c r="K29" s="3" t="s">
        <v>34</v>
      </c>
      <c r="L29" s="4" t="n">
        <f aca="false">G29*H29</f>
        <v>4680000</v>
      </c>
      <c r="M29" s="2" t="n">
        <f aca="false">IF(I29="Received",(K29-B29)-J29,"-")</f>
        <v>-2</v>
      </c>
      <c r="N29" s="2" t="str">
        <f aca="false">IF(I29="Received",IF(M29&lt;=0,"Tepat Waktu","Terlambat"),"-")</f>
        <v>Tepat Waktu</v>
      </c>
    </row>
    <row r="30" customFormat="false" ht="15" hidden="false" customHeight="false" outlineLevel="0" collapsed="false">
      <c r="A30" s="2" t="s">
        <v>138</v>
      </c>
      <c r="B30" s="3" t="s">
        <v>139</v>
      </c>
      <c r="C30" s="2" t="s">
        <v>54</v>
      </c>
      <c r="D30" s="2" t="s">
        <v>140</v>
      </c>
      <c r="E30" s="2" t="s">
        <v>29</v>
      </c>
      <c r="F30" s="2" t="s">
        <v>30</v>
      </c>
      <c r="G30" s="2" t="n">
        <v>129</v>
      </c>
      <c r="H30" s="2" t="n">
        <v>1200000</v>
      </c>
      <c r="I30" s="2" t="s">
        <v>31</v>
      </c>
      <c r="J30" s="2" t="n">
        <v>5</v>
      </c>
      <c r="K30" s="3" t="s">
        <v>141</v>
      </c>
      <c r="L30" s="4" t="n">
        <f aca="false">G30*H30</f>
        <v>154800000</v>
      </c>
      <c r="M30" s="2" t="n">
        <f aca="false">IF(I30="Received",(K30-B30)-J30,"-")</f>
        <v>3</v>
      </c>
      <c r="N30" s="2" t="str">
        <f aca="false">IF(I30="Received",IF(M30&lt;=0,"Tepat Waktu","Terlambat"),"-")</f>
        <v>Terlambat</v>
      </c>
    </row>
    <row r="31" customFormat="false" ht="15" hidden="false" customHeight="false" outlineLevel="0" collapsed="false">
      <c r="A31" s="2" t="s">
        <v>142</v>
      </c>
      <c r="B31" s="3" t="s">
        <v>143</v>
      </c>
      <c r="C31" s="2" t="s">
        <v>27</v>
      </c>
      <c r="D31" s="2" t="s">
        <v>144</v>
      </c>
      <c r="E31" s="2" t="s">
        <v>145</v>
      </c>
      <c r="F31" s="2" t="s">
        <v>42</v>
      </c>
      <c r="G31" s="2" t="n">
        <v>212</v>
      </c>
      <c r="H31" s="2" t="n">
        <v>45000</v>
      </c>
      <c r="I31" s="2" t="s">
        <v>31</v>
      </c>
      <c r="J31" s="2" t="n">
        <v>10</v>
      </c>
      <c r="K31" s="3" t="s">
        <v>146</v>
      </c>
      <c r="L31" s="4" t="n">
        <f aca="false">G31*H31</f>
        <v>9540000</v>
      </c>
      <c r="M31" s="2" t="n">
        <f aca="false">IF(I31="Received",(K31-B31)-J31,"-")</f>
        <v>4</v>
      </c>
      <c r="N31" s="2" t="str">
        <f aca="false">IF(I31="Received",IF(M31&lt;=0,"Tepat Waktu","Terlambat"),"-")</f>
        <v>Terlambat</v>
      </c>
    </row>
    <row r="32" customFormat="false" ht="15" hidden="false" customHeight="false" outlineLevel="0" collapsed="false">
      <c r="A32" s="2" t="s">
        <v>147</v>
      </c>
      <c r="B32" s="3" t="s">
        <v>148</v>
      </c>
      <c r="C32" s="2" t="s">
        <v>20</v>
      </c>
      <c r="D32" s="2" t="s">
        <v>149</v>
      </c>
      <c r="E32" s="2" t="s">
        <v>51</v>
      </c>
      <c r="F32" s="2" t="s">
        <v>23</v>
      </c>
      <c r="G32" s="2" t="n">
        <v>224</v>
      </c>
      <c r="H32" s="2" t="n">
        <v>500000</v>
      </c>
      <c r="I32" s="2" t="s">
        <v>31</v>
      </c>
      <c r="J32" s="2" t="n">
        <v>5</v>
      </c>
      <c r="K32" s="3" t="s">
        <v>150</v>
      </c>
      <c r="L32" s="4" t="n">
        <f aca="false">G32*H32</f>
        <v>112000000</v>
      </c>
      <c r="M32" s="2" t="n">
        <f aca="false">IF(I32="Received",(K32-B32)-J32,"-")</f>
        <v>1</v>
      </c>
      <c r="N32" s="2" t="str">
        <f aca="false">IF(I32="Received",IF(M32&lt;=0,"Tepat Waktu","Terlambat"),"-")</f>
        <v>Terlambat</v>
      </c>
    </row>
    <row r="33" customFormat="false" ht="15" hidden="false" customHeight="false" outlineLevel="0" collapsed="false">
      <c r="A33" s="2" t="s">
        <v>151</v>
      </c>
      <c r="B33" s="3" t="s">
        <v>152</v>
      </c>
      <c r="C33" s="2" t="s">
        <v>54</v>
      </c>
      <c r="D33" s="2" t="s">
        <v>153</v>
      </c>
      <c r="E33" s="2" t="s">
        <v>64</v>
      </c>
      <c r="F33" s="2" t="s">
        <v>65</v>
      </c>
      <c r="G33" s="2" t="n">
        <v>451</v>
      </c>
      <c r="H33" s="2" t="n">
        <v>1200000</v>
      </c>
      <c r="I33" s="2" t="s">
        <v>31</v>
      </c>
      <c r="J33" s="2" t="n">
        <v>7</v>
      </c>
      <c r="K33" s="3" t="s">
        <v>154</v>
      </c>
      <c r="L33" s="4" t="n">
        <f aca="false">G33*H33</f>
        <v>541200000</v>
      </c>
      <c r="M33" s="2" t="n">
        <f aca="false">IF(I33="Received",(K33-B33)-J33,"-")</f>
        <v>1</v>
      </c>
      <c r="N33" s="2" t="str">
        <f aca="false">IF(I33="Received",IF(M33&lt;=0,"Tepat Waktu","Terlambat"),"-")</f>
        <v>Terlambat</v>
      </c>
    </row>
    <row r="34" customFormat="false" ht="15" hidden="false" customHeight="false" outlineLevel="0" collapsed="false">
      <c r="A34" s="2" t="s">
        <v>155</v>
      </c>
      <c r="B34" s="3" t="s">
        <v>156</v>
      </c>
      <c r="C34" s="2" t="s">
        <v>54</v>
      </c>
      <c r="D34" s="2" t="s">
        <v>157</v>
      </c>
      <c r="E34" s="2" t="s">
        <v>158</v>
      </c>
      <c r="F34" s="2" t="s">
        <v>89</v>
      </c>
      <c r="G34" s="2" t="n">
        <v>499</v>
      </c>
      <c r="H34" s="2" t="n">
        <v>250000</v>
      </c>
      <c r="I34" s="2" t="s">
        <v>24</v>
      </c>
      <c r="J34" s="2" t="n">
        <v>14</v>
      </c>
      <c r="K34" s="3"/>
      <c r="L34" s="4" t="n">
        <f aca="false">G34*H34</f>
        <v>124750000</v>
      </c>
      <c r="M34" s="2" t="str">
        <f aca="false">IF(I34="Received",(K34-B34)-J34,"-")</f>
        <v>-</v>
      </c>
      <c r="N34" s="2" t="str">
        <f aca="false">IF(I34="Received",IF(M34&lt;=0,"Tepat Waktu","Terlambat"),"-")</f>
        <v>-</v>
      </c>
    </row>
    <row r="35" customFormat="false" ht="15" hidden="false" customHeight="false" outlineLevel="0" collapsed="false">
      <c r="A35" s="2" t="s">
        <v>159</v>
      </c>
      <c r="B35" s="3" t="s">
        <v>160</v>
      </c>
      <c r="C35" s="2" t="s">
        <v>20</v>
      </c>
      <c r="D35" s="2" t="s">
        <v>161</v>
      </c>
      <c r="E35" s="2" t="s">
        <v>162</v>
      </c>
      <c r="F35" s="2" t="s">
        <v>16</v>
      </c>
      <c r="G35" s="2" t="n">
        <v>437</v>
      </c>
      <c r="H35" s="2" t="n">
        <v>850000</v>
      </c>
      <c r="I35" s="2" t="s">
        <v>24</v>
      </c>
      <c r="J35" s="2" t="n">
        <v>7</v>
      </c>
      <c r="K35" s="3"/>
      <c r="L35" s="4" t="n">
        <f aca="false">G35*H35</f>
        <v>371450000</v>
      </c>
      <c r="M35" s="2" t="str">
        <f aca="false">IF(I35="Received",(K35-B35)-J35,"-")</f>
        <v>-</v>
      </c>
      <c r="N35" s="2" t="str">
        <f aca="false">IF(I35="Received",IF(M35&lt;=0,"Tepat Waktu","Terlambat"),"-")</f>
        <v>-</v>
      </c>
    </row>
    <row r="36" customFormat="false" ht="15" hidden="false" customHeight="false" outlineLevel="0" collapsed="false">
      <c r="A36" s="2" t="s">
        <v>163</v>
      </c>
      <c r="B36" s="3" t="s">
        <v>164</v>
      </c>
      <c r="C36" s="2" t="s">
        <v>20</v>
      </c>
      <c r="D36" s="2" t="s">
        <v>165</v>
      </c>
      <c r="E36" s="2" t="s">
        <v>15</v>
      </c>
      <c r="F36" s="2" t="s">
        <v>16</v>
      </c>
      <c r="G36" s="2" t="n">
        <v>65</v>
      </c>
      <c r="H36" s="2" t="n">
        <v>75000</v>
      </c>
      <c r="I36" s="2" t="s">
        <v>31</v>
      </c>
      <c r="J36" s="2" t="n">
        <v>5</v>
      </c>
      <c r="K36" s="3" t="s">
        <v>166</v>
      </c>
      <c r="L36" s="4" t="n">
        <f aca="false">G36*H36</f>
        <v>4875000</v>
      </c>
      <c r="M36" s="2" t="n">
        <f aca="false">IF(I36="Received",(K36-B36)-J36,"-")</f>
        <v>3</v>
      </c>
      <c r="N36" s="2" t="str">
        <f aca="false">IF(I36="Received",IF(M36&lt;=0,"Tepat Waktu","Terlambat"),"-")</f>
        <v>Terlambat</v>
      </c>
    </row>
    <row r="37" customFormat="false" ht="15" hidden="false" customHeight="false" outlineLevel="0" collapsed="false">
      <c r="A37" s="2" t="s">
        <v>167</v>
      </c>
      <c r="B37" s="3" t="s">
        <v>129</v>
      </c>
      <c r="C37" s="2" t="s">
        <v>77</v>
      </c>
      <c r="D37" s="2" t="s">
        <v>168</v>
      </c>
      <c r="E37" s="2" t="s">
        <v>110</v>
      </c>
      <c r="F37" s="2" t="s">
        <v>65</v>
      </c>
      <c r="G37" s="2" t="n">
        <v>310</v>
      </c>
      <c r="H37" s="2" t="n">
        <v>45000</v>
      </c>
      <c r="I37" s="2" t="s">
        <v>24</v>
      </c>
      <c r="J37" s="2" t="n">
        <v>10</v>
      </c>
      <c r="K37" s="3"/>
      <c r="L37" s="4" t="n">
        <f aca="false">G37*H37</f>
        <v>13950000</v>
      </c>
      <c r="M37" s="2" t="str">
        <f aca="false">IF(I37="Received",(K37-B37)-J37,"-")</f>
        <v>-</v>
      </c>
      <c r="N37" s="2" t="str">
        <f aca="false">IF(I37="Received",IF(M37&lt;=0,"Tepat Waktu","Terlambat"),"-")</f>
        <v>-</v>
      </c>
    </row>
    <row r="38" customFormat="false" ht="15" hidden="false" customHeight="false" outlineLevel="0" collapsed="false">
      <c r="A38" s="2" t="s">
        <v>169</v>
      </c>
      <c r="B38" s="3" t="s">
        <v>44</v>
      </c>
      <c r="C38" s="2" t="s">
        <v>96</v>
      </c>
      <c r="D38" s="2" t="s">
        <v>170</v>
      </c>
      <c r="E38" s="2" t="s">
        <v>114</v>
      </c>
      <c r="F38" s="2" t="s">
        <v>30</v>
      </c>
      <c r="G38" s="2" t="n">
        <v>475</v>
      </c>
      <c r="H38" s="2" t="n">
        <v>45000</v>
      </c>
      <c r="I38" s="2" t="s">
        <v>24</v>
      </c>
      <c r="J38" s="2" t="n">
        <v>10</v>
      </c>
      <c r="K38" s="3"/>
      <c r="L38" s="4" t="n">
        <f aca="false">G38*H38</f>
        <v>21375000</v>
      </c>
      <c r="M38" s="2" t="str">
        <f aca="false">IF(I38="Received",(K38-B38)-J38,"-")</f>
        <v>-</v>
      </c>
      <c r="N38" s="2" t="str">
        <f aca="false">IF(I38="Received",IF(M38&lt;=0,"Tepat Waktu","Terlambat"),"-")</f>
        <v>-</v>
      </c>
    </row>
    <row r="39" customFormat="false" ht="15" hidden="false" customHeight="false" outlineLevel="0" collapsed="false">
      <c r="A39" s="2" t="s">
        <v>171</v>
      </c>
      <c r="B39" s="3" t="s">
        <v>172</v>
      </c>
      <c r="C39" s="2" t="s">
        <v>77</v>
      </c>
      <c r="D39" s="2" t="s">
        <v>173</v>
      </c>
      <c r="E39" s="2" t="s">
        <v>106</v>
      </c>
      <c r="F39" s="2" t="s">
        <v>23</v>
      </c>
      <c r="G39" s="2" t="n">
        <v>235</v>
      </c>
      <c r="H39" s="2" t="n">
        <v>15000</v>
      </c>
      <c r="I39" s="2" t="s">
        <v>47</v>
      </c>
      <c r="J39" s="2" t="n">
        <v>3</v>
      </c>
      <c r="K39" s="3"/>
      <c r="L39" s="4" t="n">
        <f aca="false">G39*H39</f>
        <v>3525000</v>
      </c>
      <c r="M39" s="2" t="str">
        <f aca="false">IF(I39="Received",(K39-B39)-J39,"-")</f>
        <v>-</v>
      </c>
      <c r="N39" s="2" t="str">
        <f aca="false">IF(I39="Received",IF(M39&lt;=0,"Tepat Waktu","Terlambat"),"-")</f>
        <v>-</v>
      </c>
    </row>
    <row r="40" customFormat="false" ht="15" hidden="false" customHeight="false" outlineLevel="0" collapsed="false">
      <c r="A40" s="2" t="s">
        <v>174</v>
      </c>
      <c r="B40" s="3" t="s">
        <v>175</v>
      </c>
      <c r="C40" s="2" t="s">
        <v>77</v>
      </c>
      <c r="D40" s="2" t="s">
        <v>176</v>
      </c>
      <c r="E40" s="2" t="s">
        <v>51</v>
      </c>
      <c r="F40" s="2" t="s">
        <v>23</v>
      </c>
      <c r="G40" s="2" t="n">
        <v>263</v>
      </c>
      <c r="H40" s="2" t="n">
        <v>850000</v>
      </c>
      <c r="I40" s="2" t="s">
        <v>31</v>
      </c>
      <c r="J40" s="2" t="n">
        <v>10</v>
      </c>
      <c r="K40" s="3" t="s">
        <v>177</v>
      </c>
      <c r="L40" s="4" t="n">
        <f aca="false">G40*H40</f>
        <v>223550000</v>
      </c>
      <c r="M40" s="2" t="n">
        <f aca="false">IF(I40="Received",(K40-B40)-J40,"-")</f>
        <v>4</v>
      </c>
      <c r="N40" s="2" t="str">
        <f aca="false">IF(I40="Received",IF(M40&lt;=0,"Tepat Waktu","Terlambat"),"-")</f>
        <v>Terlambat</v>
      </c>
    </row>
    <row r="41" customFormat="false" ht="15" hidden="false" customHeight="false" outlineLevel="0" collapsed="false">
      <c r="A41" s="2" t="s">
        <v>178</v>
      </c>
      <c r="B41" s="3" t="s">
        <v>179</v>
      </c>
      <c r="C41" s="2" t="s">
        <v>96</v>
      </c>
      <c r="D41" s="2" t="s">
        <v>180</v>
      </c>
      <c r="E41" s="2" t="s">
        <v>145</v>
      </c>
      <c r="F41" s="2" t="s">
        <v>42</v>
      </c>
      <c r="G41" s="2" t="n">
        <v>294</v>
      </c>
      <c r="H41" s="2" t="n">
        <v>15000</v>
      </c>
      <c r="I41" s="2" t="s">
        <v>47</v>
      </c>
      <c r="J41" s="2" t="n">
        <v>5</v>
      </c>
      <c r="K41" s="3"/>
      <c r="L41" s="4" t="n">
        <f aca="false">G41*H41</f>
        <v>4410000</v>
      </c>
      <c r="M41" s="2" t="str">
        <f aca="false">IF(I41="Received",(K41-B41)-J41,"-")</f>
        <v>-</v>
      </c>
      <c r="N41" s="2" t="str">
        <f aca="false">IF(I41="Received",IF(M41&lt;=0,"Tepat Waktu","Terlambat"),"-")</f>
        <v>-</v>
      </c>
    </row>
    <row r="42" customFormat="false" ht="15" hidden="false" customHeight="false" outlineLevel="0" collapsed="false">
      <c r="A42" s="2" t="s">
        <v>181</v>
      </c>
      <c r="B42" s="3" t="s">
        <v>67</v>
      </c>
      <c r="C42" s="2" t="s">
        <v>182</v>
      </c>
      <c r="D42" s="2" t="s">
        <v>183</v>
      </c>
      <c r="E42" s="2" t="s">
        <v>184</v>
      </c>
      <c r="F42" s="2" t="s">
        <v>89</v>
      </c>
      <c r="G42" s="2" t="n">
        <v>152</v>
      </c>
      <c r="H42" s="2" t="n">
        <v>45000</v>
      </c>
      <c r="I42" s="2" t="s">
        <v>47</v>
      </c>
      <c r="J42" s="2" t="n">
        <v>14</v>
      </c>
      <c r="K42" s="3"/>
      <c r="L42" s="4" t="n">
        <f aca="false">G42*H42</f>
        <v>6840000</v>
      </c>
      <c r="M42" s="2" t="str">
        <f aca="false">IF(I42="Received",(K42-B42)-J42,"-")</f>
        <v>-</v>
      </c>
      <c r="N42" s="2" t="str">
        <f aca="false">IF(I42="Received",IF(M42&lt;=0,"Tepat Waktu","Terlambat"),"-")</f>
        <v>-</v>
      </c>
    </row>
    <row r="43" customFormat="false" ht="15" hidden="false" customHeight="false" outlineLevel="0" collapsed="false">
      <c r="A43" s="2" t="s">
        <v>185</v>
      </c>
      <c r="B43" s="3" t="s">
        <v>186</v>
      </c>
      <c r="C43" s="2" t="s">
        <v>72</v>
      </c>
      <c r="D43" s="2" t="s">
        <v>187</v>
      </c>
      <c r="E43" s="2" t="s">
        <v>64</v>
      </c>
      <c r="F43" s="2" t="s">
        <v>65</v>
      </c>
      <c r="G43" s="2" t="n">
        <v>63</v>
      </c>
      <c r="H43" s="2" t="n">
        <v>120000</v>
      </c>
      <c r="I43" s="2" t="s">
        <v>47</v>
      </c>
      <c r="J43" s="2" t="n">
        <v>7</v>
      </c>
      <c r="K43" s="3"/>
      <c r="L43" s="4" t="n">
        <f aca="false">G43*H43</f>
        <v>7560000</v>
      </c>
      <c r="M43" s="2" t="str">
        <f aca="false">IF(I43="Received",(K43-B43)-J43,"-")</f>
        <v>-</v>
      </c>
      <c r="N43" s="2" t="str">
        <f aca="false">IF(I43="Received",IF(M43&lt;=0,"Tepat Waktu","Terlambat"),"-")</f>
        <v>-</v>
      </c>
    </row>
    <row r="44" customFormat="false" ht="15" hidden="false" customHeight="false" outlineLevel="0" collapsed="false">
      <c r="A44" s="2" t="s">
        <v>188</v>
      </c>
      <c r="B44" s="3" t="s">
        <v>189</v>
      </c>
      <c r="C44" s="2" t="s">
        <v>182</v>
      </c>
      <c r="D44" s="2" t="s">
        <v>190</v>
      </c>
      <c r="E44" s="2" t="s">
        <v>46</v>
      </c>
      <c r="F44" s="2" t="s">
        <v>30</v>
      </c>
      <c r="G44" s="2" t="n">
        <v>116</v>
      </c>
      <c r="H44" s="2" t="n">
        <v>500000</v>
      </c>
      <c r="I44" s="2" t="s">
        <v>31</v>
      </c>
      <c r="J44" s="2" t="n">
        <v>5</v>
      </c>
      <c r="K44" s="3" t="s">
        <v>191</v>
      </c>
      <c r="L44" s="4" t="n">
        <f aca="false">G44*H44</f>
        <v>58000000</v>
      </c>
      <c r="M44" s="2" t="n">
        <f aca="false">IF(I44="Received",(K44-B44)-J44,"-")</f>
        <v>2</v>
      </c>
      <c r="N44" s="2" t="str">
        <f aca="false">IF(I44="Received",IF(M44&lt;=0,"Tepat Waktu","Terlambat"),"-")</f>
        <v>Terlambat</v>
      </c>
    </row>
    <row r="45" customFormat="false" ht="15" hidden="false" customHeight="false" outlineLevel="0" collapsed="false">
      <c r="A45" s="2" t="s">
        <v>192</v>
      </c>
      <c r="B45" s="3" t="s">
        <v>193</v>
      </c>
      <c r="C45" s="2" t="s">
        <v>96</v>
      </c>
      <c r="D45" s="2" t="s">
        <v>194</v>
      </c>
      <c r="E45" s="2" t="s">
        <v>133</v>
      </c>
      <c r="F45" s="2" t="s">
        <v>89</v>
      </c>
      <c r="G45" s="2" t="n">
        <v>423</v>
      </c>
      <c r="H45" s="2" t="n">
        <v>25000</v>
      </c>
      <c r="I45" s="2" t="s">
        <v>31</v>
      </c>
      <c r="J45" s="2" t="n">
        <v>3</v>
      </c>
      <c r="K45" s="3" t="s">
        <v>150</v>
      </c>
      <c r="L45" s="4" t="n">
        <f aca="false">G45*H45</f>
        <v>10575000</v>
      </c>
      <c r="M45" s="2" t="n">
        <f aca="false">IF(I45="Received",(K45-B45)-J45,"-")</f>
        <v>1</v>
      </c>
      <c r="N45" s="2" t="str">
        <f aca="false">IF(I45="Received",IF(M45&lt;=0,"Tepat Waktu","Terlambat"),"-")</f>
        <v>Terlambat</v>
      </c>
    </row>
    <row r="46" customFormat="false" ht="15" hidden="false" customHeight="false" outlineLevel="0" collapsed="false">
      <c r="A46" s="2" t="s">
        <v>195</v>
      </c>
      <c r="B46" s="3" t="s">
        <v>196</v>
      </c>
      <c r="C46" s="2" t="s">
        <v>20</v>
      </c>
      <c r="D46" s="2" t="s">
        <v>197</v>
      </c>
      <c r="E46" s="2" t="s">
        <v>198</v>
      </c>
      <c r="F46" s="2" t="s">
        <v>30</v>
      </c>
      <c r="G46" s="2" t="n">
        <v>368</v>
      </c>
      <c r="H46" s="2" t="n">
        <v>500000</v>
      </c>
      <c r="I46" s="2" t="s">
        <v>31</v>
      </c>
      <c r="J46" s="2" t="n">
        <v>5</v>
      </c>
      <c r="K46" s="3" t="s">
        <v>199</v>
      </c>
      <c r="L46" s="4" t="n">
        <f aca="false">G46*H46</f>
        <v>184000000</v>
      </c>
      <c r="M46" s="2" t="n">
        <f aca="false">IF(I46="Received",(K46-B46)-J46,"-")</f>
        <v>1</v>
      </c>
      <c r="N46" s="2" t="str">
        <f aca="false">IF(I46="Received",IF(M46&lt;=0,"Tepat Waktu","Terlambat"),"-")</f>
        <v>Terlambat</v>
      </c>
    </row>
    <row r="47" customFormat="false" ht="15" hidden="false" customHeight="false" outlineLevel="0" collapsed="false">
      <c r="A47" s="2" t="s">
        <v>200</v>
      </c>
      <c r="B47" s="3" t="s">
        <v>201</v>
      </c>
      <c r="C47" s="2" t="s">
        <v>182</v>
      </c>
      <c r="D47" s="2" t="s">
        <v>202</v>
      </c>
      <c r="E47" s="2" t="s">
        <v>203</v>
      </c>
      <c r="F47" s="2" t="s">
        <v>65</v>
      </c>
      <c r="G47" s="2" t="n">
        <v>148</v>
      </c>
      <c r="H47" s="2" t="n">
        <v>1200000</v>
      </c>
      <c r="I47" s="2" t="s">
        <v>31</v>
      </c>
      <c r="J47" s="2" t="n">
        <v>7</v>
      </c>
      <c r="K47" s="3" t="s">
        <v>204</v>
      </c>
      <c r="L47" s="4" t="n">
        <f aca="false">G47*H47</f>
        <v>177600000</v>
      </c>
      <c r="M47" s="2" t="n">
        <f aca="false">IF(I47="Received",(K47-B47)-J47,"-")</f>
        <v>2</v>
      </c>
      <c r="N47" s="2" t="str">
        <f aca="false">IF(I47="Received",IF(M47&lt;=0,"Tepat Waktu","Terlambat"),"-")</f>
        <v>Terlambat</v>
      </c>
    </row>
    <row r="48" customFormat="false" ht="15" hidden="false" customHeight="false" outlineLevel="0" collapsed="false">
      <c r="A48" s="2" t="s">
        <v>205</v>
      </c>
      <c r="B48" s="3" t="s">
        <v>206</v>
      </c>
      <c r="C48" s="2" t="s">
        <v>39</v>
      </c>
      <c r="D48" s="2" t="s">
        <v>207</v>
      </c>
      <c r="E48" s="2" t="s">
        <v>64</v>
      </c>
      <c r="F48" s="2" t="s">
        <v>65</v>
      </c>
      <c r="G48" s="2" t="n">
        <v>497</v>
      </c>
      <c r="H48" s="2" t="n">
        <v>500000</v>
      </c>
      <c r="I48" s="2" t="s">
        <v>17</v>
      </c>
      <c r="J48" s="2" t="n">
        <v>7</v>
      </c>
      <c r="K48" s="3"/>
      <c r="L48" s="4" t="n">
        <f aca="false">G48*H48</f>
        <v>248500000</v>
      </c>
      <c r="M48" s="2" t="str">
        <f aca="false">IF(I48="Received",(K48-B48)-J48,"-")</f>
        <v>-</v>
      </c>
      <c r="N48" s="2" t="str">
        <f aca="false">IF(I48="Received",IF(M48&lt;=0,"Tepat Waktu","Terlambat"),"-")</f>
        <v>-</v>
      </c>
    </row>
    <row r="49" customFormat="false" ht="15" hidden="false" customHeight="false" outlineLevel="0" collapsed="false">
      <c r="A49" s="2" t="s">
        <v>208</v>
      </c>
      <c r="B49" s="3" t="s">
        <v>209</v>
      </c>
      <c r="C49" s="2" t="s">
        <v>77</v>
      </c>
      <c r="D49" s="2" t="s">
        <v>210</v>
      </c>
      <c r="E49" s="2" t="s">
        <v>29</v>
      </c>
      <c r="F49" s="2" t="s">
        <v>30</v>
      </c>
      <c r="G49" s="2" t="n">
        <v>79</v>
      </c>
      <c r="H49" s="2" t="n">
        <v>250000</v>
      </c>
      <c r="I49" s="2" t="s">
        <v>47</v>
      </c>
      <c r="J49" s="2" t="n">
        <v>10</v>
      </c>
      <c r="K49" s="3"/>
      <c r="L49" s="4" t="n">
        <f aca="false">G49*H49</f>
        <v>19750000</v>
      </c>
      <c r="M49" s="2" t="str">
        <f aca="false">IF(I49="Received",(K49-B49)-J49,"-")</f>
        <v>-</v>
      </c>
      <c r="N49" s="2" t="str">
        <f aca="false">IF(I49="Received",IF(M49&lt;=0,"Tepat Waktu","Terlambat"),"-")</f>
        <v>-</v>
      </c>
    </row>
    <row r="50" customFormat="false" ht="15" hidden="false" customHeight="false" outlineLevel="0" collapsed="false">
      <c r="A50" s="2" t="s">
        <v>211</v>
      </c>
      <c r="B50" s="3" t="s">
        <v>212</v>
      </c>
      <c r="C50" s="2" t="s">
        <v>77</v>
      </c>
      <c r="D50" s="2" t="s">
        <v>213</v>
      </c>
      <c r="E50" s="2" t="s">
        <v>203</v>
      </c>
      <c r="F50" s="2" t="s">
        <v>65</v>
      </c>
      <c r="G50" s="2" t="n">
        <v>217</v>
      </c>
      <c r="H50" s="2" t="n">
        <v>500000</v>
      </c>
      <c r="I50" s="2" t="s">
        <v>31</v>
      </c>
      <c r="J50" s="2" t="n">
        <v>3</v>
      </c>
      <c r="K50" s="3" t="s">
        <v>214</v>
      </c>
      <c r="L50" s="4" t="n">
        <f aca="false">G50*H50</f>
        <v>108500000</v>
      </c>
      <c r="M50" s="2" t="n">
        <f aca="false">IF(I50="Received",(K50-B50)-J50,"-")</f>
        <v>4</v>
      </c>
      <c r="N50" s="2" t="str">
        <f aca="false">IF(I50="Received",IF(M50&lt;=0,"Tepat Waktu","Terlambat"),"-")</f>
        <v>Terlambat</v>
      </c>
    </row>
    <row r="51" customFormat="false" ht="15" hidden="false" customHeight="false" outlineLevel="0" collapsed="false">
      <c r="A51" s="2" t="s">
        <v>215</v>
      </c>
      <c r="B51" s="3" t="s">
        <v>216</v>
      </c>
      <c r="C51" s="2" t="s">
        <v>39</v>
      </c>
      <c r="D51" s="2" t="s">
        <v>217</v>
      </c>
      <c r="E51" s="2" t="s">
        <v>198</v>
      </c>
      <c r="F51" s="2" t="s">
        <v>30</v>
      </c>
      <c r="G51" s="2" t="n">
        <v>491</v>
      </c>
      <c r="H51" s="2" t="n">
        <v>850000</v>
      </c>
      <c r="I51" s="2" t="s">
        <v>31</v>
      </c>
      <c r="J51" s="2" t="n">
        <v>3</v>
      </c>
      <c r="K51" s="3" t="s">
        <v>218</v>
      </c>
      <c r="L51" s="4" t="n">
        <f aca="false">G51*H51</f>
        <v>417350000</v>
      </c>
      <c r="M51" s="2" t="n">
        <f aca="false">IF(I51="Received",(K51-B51)-J51,"-")</f>
        <v>-1</v>
      </c>
      <c r="N51" s="2" t="str">
        <f aca="false">IF(I51="Received",IF(M51&lt;=0,"Tepat Waktu","Terlambat"),"-")</f>
        <v>Tepat Waktu</v>
      </c>
    </row>
    <row r="52" customFormat="false" ht="15" hidden="false" customHeight="false" outlineLevel="0" collapsed="false">
      <c r="A52" s="2" t="s">
        <v>219</v>
      </c>
      <c r="B52" s="3" t="s">
        <v>156</v>
      </c>
      <c r="C52" s="2" t="s">
        <v>13</v>
      </c>
      <c r="D52" s="2" t="s">
        <v>220</v>
      </c>
      <c r="E52" s="2" t="s">
        <v>119</v>
      </c>
      <c r="F52" s="2" t="s">
        <v>16</v>
      </c>
      <c r="G52" s="2" t="n">
        <v>116</v>
      </c>
      <c r="H52" s="2" t="n">
        <v>500000</v>
      </c>
      <c r="I52" s="2" t="s">
        <v>47</v>
      </c>
      <c r="J52" s="2" t="n">
        <v>10</v>
      </c>
      <c r="K52" s="3"/>
      <c r="L52" s="4" t="n">
        <f aca="false">G52*H52</f>
        <v>58000000</v>
      </c>
      <c r="M52" s="2" t="str">
        <f aca="false">IF(I52="Received",(K52-B52)-J52,"-")</f>
        <v>-</v>
      </c>
      <c r="N52" s="2" t="str">
        <f aca="false">IF(I52="Received",IF(M52&lt;=0,"Tepat Waktu","Terlambat"),"-")</f>
        <v>-</v>
      </c>
    </row>
    <row r="53" customFormat="false" ht="15" hidden="false" customHeight="false" outlineLevel="0" collapsed="false">
      <c r="A53" s="2" t="s">
        <v>221</v>
      </c>
      <c r="B53" s="3" t="s">
        <v>222</v>
      </c>
      <c r="C53" s="2" t="s">
        <v>13</v>
      </c>
      <c r="D53" s="2" t="s">
        <v>223</v>
      </c>
      <c r="E53" s="2" t="s">
        <v>133</v>
      </c>
      <c r="F53" s="2" t="s">
        <v>89</v>
      </c>
      <c r="G53" s="2" t="n">
        <v>300</v>
      </c>
      <c r="H53" s="2" t="n">
        <v>45000</v>
      </c>
      <c r="I53" s="2" t="s">
        <v>24</v>
      </c>
      <c r="J53" s="2" t="n">
        <v>10</v>
      </c>
      <c r="K53" s="3"/>
      <c r="L53" s="4" t="n">
        <f aca="false">G53*H53</f>
        <v>13500000</v>
      </c>
      <c r="M53" s="2" t="str">
        <f aca="false">IF(I53="Received",(K53-B53)-J53,"-")</f>
        <v>-</v>
      </c>
      <c r="N53" s="2" t="str">
        <f aca="false">IF(I53="Received",IF(M53&lt;=0,"Tepat Waktu","Terlambat"),"-")</f>
        <v>-</v>
      </c>
    </row>
    <row r="54" customFormat="false" ht="15" hidden="false" customHeight="false" outlineLevel="0" collapsed="false">
      <c r="A54" s="2" t="s">
        <v>224</v>
      </c>
      <c r="B54" s="3" t="s">
        <v>139</v>
      </c>
      <c r="C54" s="2" t="s">
        <v>182</v>
      </c>
      <c r="D54" s="2" t="s">
        <v>225</v>
      </c>
      <c r="E54" s="2" t="s">
        <v>56</v>
      </c>
      <c r="F54" s="2" t="s">
        <v>16</v>
      </c>
      <c r="G54" s="2" t="n">
        <v>406</v>
      </c>
      <c r="H54" s="2" t="n">
        <v>850000</v>
      </c>
      <c r="I54" s="2" t="s">
        <v>31</v>
      </c>
      <c r="J54" s="2" t="n">
        <v>5</v>
      </c>
      <c r="K54" s="3" t="s">
        <v>226</v>
      </c>
      <c r="L54" s="4" t="n">
        <f aca="false">G54*H54</f>
        <v>345100000</v>
      </c>
      <c r="M54" s="2" t="n">
        <f aca="false">IF(I54="Received",(K54-B54)-J54,"-")</f>
        <v>5</v>
      </c>
      <c r="N54" s="2" t="str">
        <f aca="false">IF(I54="Received",IF(M54&lt;=0,"Tepat Waktu","Terlambat"),"-")</f>
        <v>Terlambat</v>
      </c>
    </row>
    <row r="55" customFormat="false" ht="15" hidden="false" customHeight="false" outlineLevel="0" collapsed="false">
      <c r="A55" s="2" t="s">
        <v>227</v>
      </c>
      <c r="B55" s="3" t="s">
        <v>228</v>
      </c>
      <c r="C55" s="2" t="s">
        <v>182</v>
      </c>
      <c r="D55" s="2" t="s">
        <v>229</v>
      </c>
      <c r="E55" s="2" t="s">
        <v>145</v>
      </c>
      <c r="F55" s="2" t="s">
        <v>42</v>
      </c>
      <c r="G55" s="2" t="n">
        <v>470</v>
      </c>
      <c r="H55" s="2" t="n">
        <v>45000</v>
      </c>
      <c r="I55" s="2" t="s">
        <v>47</v>
      </c>
      <c r="J55" s="2" t="n">
        <v>7</v>
      </c>
      <c r="K55" s="3"/>
      <c r="L55" s="4" t="n">
        <f aca="false">G55*H55</f>
        <v>21150000</v>
      </c>
      <c r="M55" s="2" t="str">
        <f aca="false">IF(I55="Received",(K55-B55)-J55,"-")</f>
        <v>-</v>
      </c>
      <c r="N55" s="2" t="str">
        <f aca="false">IF(I55="Received",IF(M55&lt;=0,"Tepat Waktu","Terlambat"),"-")</f>
        <v>-</v>
      </c>
    </row>
    <row r="56" customFormat="false" ht="15" hidden="false" customHeight="false" outlineLevel="0" collapsed="false">
      <c r="A56" s="2" t="s">
        <v>230</v>
      </c>
      <c r="B56" s="3" t="s">
        <v>231</v>
      </c>
      <c r="C56" s="2" t="s">
        <v>39</v>
      </c>
      <c r="D56" s="2" t="s">
        <v>232</v>
      </c>
      <c r="E56" s="2" t="s">
        <v>162</v>
      </c>
      <c r="F56" s="2" t="s">
        <v>16</v>
      </c>
      <c r="G56" s="2" t="n">
        <v>47</v>
      </c>
      <c r="H56" s="2" t="n">
        <v>250000</v>
      </c>
      <c r="I56" s="2" t="s">
        <v>24</v>
      </c>
      <c r="J56" s="2" t="n">
        <v>5</v>
      </c>
      <c r="K56" s="3"/>
      <c r="L56" s="4" t="n">
        <f aca="false">G56*H56</f>
        <v>11750000</v>
      </c>
      <c r="M56" s="2" t="str">
        <f aca="false">IF(I56="Received",(K56-B56)-J56,"-")</f>
        <v>-</v>
      </c>
      <c r="N56" s="2" t="str">
        <f aca="false">IF(I56="Received",IF(M56&lt;=0,"Tepat Waktu","Terlambat"),"-")</f>
        <v>-</v>
      </c>
    </row>
    <row r="57" customFormat="false" ht="15" hidden="false" customHeight="false" outlineLevel="0" collapsed="false">
      <c r="A57" s="2" t="s">
        <v>233</v>
      </c>
      <c r="B57" s="3" t="s">
        <v>115</v>
      </c>
      <c r="C57" s="2" t="s">
        <v>27</v>
      </c>
      <c r="D57" s="2" t="s">
        <v>234</v>
      </c>
      <c r="E57" s="2" t="s">
        <v>198</v>
      </c>
      <c r="F57" s="2" t="s">
        <v>30</v>
      </c>
      <c r="G57" s="2" t="n">
        <v>363</v>
      </c>
      <c r="H57" s="2" t="n">
        <v>75000</v>
      </c>
      <c r="I57" s="2" t="s">
        <v>31</v>
      </c>
      <c r="J57" s="2" t="n">
        <v>3</v>
      </c>
      <c r="K57" s="3" t="s">
        <v>235</v>
      </c>
      <c r="L57" s="4" t="n">
        <f aca="false">G57*H57</f>
        <v>27225000</v>
      </c>
      <c r="M57" s="2" t="n">
        <f aca="false">IF(I57="Received",(K57-B57)-J57,"-")</f>
        <v>-1</v>
      </c>
      <c r="N57" s="2" t="str">
        <f aca="false">IF(I57="Received",IF(M57&lt;=0,"Tepat Waktu","Terlambat"),"-")</f>
        <v>Tepat Waktu</v>
      </c>
    </row>
    <row r="58" customFormat="false" ht="15" hidden="false" customHeight="false" outlineLevel="0" collapsed="false">
      <c r="A58" s="2" t="s">
        <v>236</v>
      </c>
      <c r="B58" s="3" t="s">
        <v>237</v>
      </c>
      <c r="C58" s="2" t="s">
        <v>82</v>
      </c>
      <c r="D58" s="2" t="s">
        <v>238</v>
      </c>
      <c r="E58" s="2" t="s">
        <v>69</v>
      </c>
      <c r="F58" s="2" t="s">
        <v>42</v>
      </c>
      <c r="G58" s="2" t="n">
        <v>308</v>
      </c>
      <c r="H58" s="2" t="n">
        <v>75000</v>
      </c>
      <c r="I58" s="2" t="s">
        <v>31</v>
      </c>
      <c r="J58" s="2" t="n">
        <v>10</v>
      </c>
      <c r="K58" s="3" t="s">
        <v>239</v>
      </c>
      <c r="L58" s="4" t="n">
        <f aca="false">G58*H58</f>
        <v>23100000</v>
      </c>
      <c r="M58" s="2" t="n">
        <f aca="false">IF(I58="Received",(K58-B58)-J58,"-")</f>
        <v>-2</v>
      </c>
      <c r="N58" s="2" t="str">
        <f aca="false">IF(I58="Received",IF(M58&lt;=0,"Tepat Waktu","Terlambat"),"-")</f>
        <v>Tepat Waktu</v>
      </c>
    </row>
    <row r="59" customFormat="false" ht="15" hidden="false" customHeight="false" outlineLevel="0" collapsed="false">
      <c r="A59" s="2" t="s">
        <v>240</v>
      </c>
      <c r="B59" s="3" t="s">
        <v>241</v>
      </c>
      <c r="C59" s="2" t="s">
        <v>13</v>
      </c>
      <c r="D59" s="2" t="s">
        <v>242</v>
      </c>
      <c r="E59" s="2" t="s">
        <v>243</v>
      </c>
      <c r="F59" s="2" t="s">
        <v>16</v>
      </c>
      <c r="G59" s="2" t="n">
        <v>72</v>
      </c>
      <c r="H59" s="2" t="n">
        <v>850000</v>
      </c>
      <c r="I59" s="2" t="s">
        <v>31</v>
      </c>
      <c r="J59" s="2" t="n">
        <v>10</v>
      </c>
      <c r="K59" s="3" t="s">
        <v>90</v>
      </c>
      <c r="L59" s="4" t="n">
        <f aca="false">G59*H59</f>
        <v>61200000</v>
      </c>
      <c r="M59" s="2" t="n">
        <f aca="false">IF(I59="Received",(K59-B59)-J59,"-")</f>
        <v>-1</v>
      </c>
      <c r="N59" s="2" t="str">
        <f aca="false">IF(I59="Received",IF(M59&lt;=0,"Tepat Waktu","Terlambat"),"-")</f>
        <v>Tepat Waktu</v>
      </c>
    </row>
    <row r="60" customFormat="false" ht="15" hidden="false" customHeight="false" outlineLevel="0" collapsed="false">
      <c r="A60" s="2" t="s">
        <v>244</v>
      </c>
      <c r="B60" s="3" t="s">
        <v>245</v>
      </c>
      <c r="C60" s="2" t="s">
        <v>54</v>
      </c>
      <c r="D60" s="2" t="s">
        <v>246</v>
      </c>
      <c r="E60" s="2" t="s">
        <v>133</v>
      </c>
      <c r="F60" s="2" t="s">
        <v>89</v>
      </c>
      <c r="G60" s="2" t="n">
        <v>75</v>
      </c>
      <c r="H60" s="2" t="n">
        <v>500000</v>
      </c>
      <c r="I60" s="2" t="s">
        <v>47</v>
      </c>
      <c r="J60" s="2" t="n">
        <v>5</v>
      </c>
      <c r="K60" s="3"/>
      <c r="L60" s="4" t="n">
        <f aca="false">G60*H60</f>
        <v>37500000</v>
      </c>
      <c r="M60" s="2" t="str">
        <f aca="false">IF(I60="Received",(K60-B60)-J60,"-")</f>
        <v>-</v>
      </c>
      <c r="N60" s="2" t="str">
        <f aca="false">IF(I60="Received",IF(M60&lt;=0,"Tepat Waktu","Terlambat"),"-")</f>
        <v>-</v>
      </c>
    </row>
    <row r="61" customFormat="false" ht="15" hidden="false" customHeight="false" outlineLevel="0" collapsed="false">
      <c r="A61" s="2" t="s">
        <v>247</v>
      </c>
      <c r="B61" s="3" t="s">
        <v>248</v>
      </c>
      <c r="C61" s="2" t="s">
        <v>77</v>
      </c>
      <c r="D61" s="2" t="s">
        <v>249</v>
      </c>
      <c r="E61" s="2" t="s">
        <v>119</v>
      </c>
      <c r="F61" s="2" t="s">
        <v>16</v>
      </c>
      <c r="G61" s="2" t="n">
        <v>9</v>
      </c>
      <c r="H61" s="2" t="n">
        <v>45000</v>
      </c>
      <c r="I61" s="2" t="s">
        <v>31</v>
      </c>
      <c r="J61" s="2" t="n">
        <v>5</v>
      </c>
      <c r="K61" s="3" t="s">
        <v>250</v>
      </c>
      <c r="L61" s="4" t="n">
        <f aca="false">G61*H61</f>
        <v>405000</v>
      </c>
      <c r="M61" s="2" t="n">
        <f aca="false">IF(I61="Received",(K61-B61)-J61,"-")</f>
        <v>0</v>
      </c>
      <c r="N61" s="2" t="str">
        <f aca="false">IF(I61="Received",IF(M61&lt;=0,"Tepat Waktu","Terlambat"),"-")</f>
        <v>Tepat Waktu</v>
      </c>
    </row>
    <row r="62" customFormat="false" ht="15" hidden="false" customHeight="false" outlineLevel="0" collapsed="false">
      <c r="A62" s="2" t="s">
        <v>251</v>
      </c>
      <c r="B62" s="3" t="s">
        <v>252</v>
      </c>
      <c r="C62" s="2" t="s">
        <v>20</v>
      </c>
      <c r="D62" s="2" t="s">
        <v>253</v>
      </c>
      <c r="E62" s="2" t="s">
        <v>46</v>
      </c>
      <c r="F62" s="2" t="s">
        <v>30</v>
      </c>
      <c r="G62" s="2" t="n">
        <v>116</v>
      </c>
      <c r="H62" s="2" t="n">
        <v>25000</v>
      </c>
      <c r="I62" s="2" t="s">
        <v>47</v>
      </c>
      <c r="J62" s="2" t="n">
        <v>5</v>
      </c>
      <c r="K62" s="3"/>
      <c r="L62" s="4" t="n">
        <f aca="false">G62*H62</f>
        <v>2900000</v>
      </c>
      <c r="M62" s="2" t="str">
        <f aca="false">IF(I62="Received",(K62-B62)-J62,"-")</f>
        <v>-</v>
      </c>
      <c r="N62" s="2" t="str">
        <f aca="false">IF(I62="Received",IF(M62&lt;=0,"Tepat Waktu","Terlambat"),"-")</f>
        <v>-</v>
      </c>
    </row>
    <row r="63" customFormat="false" ht="15" hidden="false" customHeight="false" outlineLevel="0" collapsed="false">
      <c r="A63" s="2" t="s">
        <v>254</v>
      </c>
      <c r="B63" s="3" t="s">
        <v>255</v>
      </c>
      <c r="C63" s="2" t="s">
        <v>20</v>
      </c>
      <c r="D63" s="2" t="s">
        <v>256</v>
      </c>
      <c r="E63" s="2" t="s">
        <v>46</v>
      </c>
      <c r="F63" s="2" t="s">
        <v>30</v>
      </c>
      <c r="G63" s="2" t="n">
        <v>498</v>
      </c>
      <c r="H63" s="2" t="n">
        <v>500000</v>
      </c>
      <c r="I63" s="2" t="s">
        <v>31</v>
      </c>
      <c r="J63" s="2" t="n">
        <v>5</v>
      </c>
      <c r="K63" s="3" t="s">
        <v>257</v>
      </c>
      <c r="L63" s="4" t="n">
        <f aca="false">G63*H63</f>
        <v>249000000</v>
      </c>
      <c r="M63" s="2" t="n">
        <f aca="false">IF(I63="Received",(K63-B63)-J63,"-")</f>
        <v>1</v>
      </c>
      <c r="N63" s="2" t="str">
        <f aca="false">IF(I63="Received",IF(M63&lt;=0,"Tepat Waktu","Terlambat"),"-")</f>
        <v>Terlambat</v>
      </c>
    </row>
    <row r="64" customFormat="false" ht="15" hidden="false" customHeight="false" outlineLevel="0" collapsed="false">
      <c r="A64" s="2" t="s">
        <v>258</v>
      </c>
      <c r="B64" s="3" t="s">
        <v>259</v>
      </c>
      <c r="C64" s="2" t="s">
        <v>54</v>
      </c>
      <c r="D64" s="2" t="s">
        <v>260</v>
      </c>
      <c r="E64" s="2" t="s">
        <v>22</v>
      </c>
      <c r="F64" s="2" t="s">
        <v>23</v>
      </c>
      <c r="G64" s="2" t="n">
        <v>312</v>
      </c>
      <c r="H64" s="2" t="n">
        <v>120000</v>
      </c>
      <c r="I64" s="2" t="s">
        <v>47</v>
      </c>
      <c r="J64" s="2" t="n">
        <v>3</v>
      </c>
      <c r="K64" s="3"/>
      <c r="L64" s="4" t="n">
        <f aca="false">G64*H64</f>
        <v>37440000</v>
      </c>
      <c r="M64" s="2" t="str">
        <f aca="false">IF(I64="Received",(K64-B64)-J64,"-")</f>
        <v>-</v>
      </c>
      <c r="N64" s="2" t="str">
        <f aca="false">IF(I64="Received",IF(M64&lt;=0,"Tepat Waktu","Terlambat"),"-")</f>
        <v>-</v>
      </c>
    </row>
    <row r="65" customFormat="false" ht="15" hidden="false" customHeight="false" outlineLevel="0" collapsed="false">
      <c r="A65" s="2" t="s">
        <v>261</v>
      </c>
      <c r="B65" s="3" t="s">
        <v>262</v>
      </c>
      <c r="C65" s="2" t="s">
        <v>39</v>
      </c>
      <c r="D65" s="2" t="s">
        <v>263</v>
      </c>
      <c r="E65" s="2" t="s">
        <v>22</v>
      </c>
      <c r="F65" s="2" t="s">
        <v>23</v>
      </c>
      <c r="G65" s="2" t="n">
        <v>265</v>
      </c>
      <c r="H65" s="2" t="n">
        <v>75000</v>
      </c>
      <c r="I65" s="2" t="s">
        <v>24</v>
      </c>
      <c r="J65" s="2" t="n">
        <v>7</v>
      </c>
      <c r="K65" s="3"/>
      <c r="L65" s="4" t="n">
        <f aca="false">G65*H65</f>
        <v>19875000</v>
      </c>
      <c r="M65" s="2" t="str">
        <f aca="false">IF(I65="Received",(K65-B65)-J65,"-")</f>
        <v>-</v>
      </c>
      <c r="N65" s="2" t="str">
        <f aca="false">IF(I65="Received",IF(M65&lt;=0,"Tepat Waktu","Terlambat"),"-")</f>
        <v>-</v>
      </c>
    </row>
    <row r="66" customFormat="false" ht="15" hidden="false" customHeight="false" outlineLevel="0" collapsed="false">
      <c r="A66" s="2" t="s">
        <v>264</v>
      </c>
      <c r="B66" s="3" t="s">
        <v>265</v>
      </c>
      <c r="C66" s="2" t="s">
        <v>182</v>
      </c>
      <c r="D66" s="2" t="s">
        <v>266</v>
      </c>
      <c r="E66" s="2" t="s">
        <v>51</v>
      </c>
      <c r="F66" s="2" t="s">
        <v>23</v>
      </c>
      <c r="G66" s="2" t="n">
        <v>62</v>
      </c>
      <c r="H66" s="2" t="n">
        <v>75000</v>
      </c>
      <c r="I66" s="2" t="s">
        <v>31</v>
      </c>
      <c r="J66" s="2" t="n">
        <v>14</v>
      </c>
      <c r="K66" s="3" t="s">
        <v>267</v>
      </c>
      <c r="L66" s="4" t="n">
        <f aca="false">G66*H66</f>
        <v>4650000</v>
      </c>
      <c r="M66" s="2" t="n">
        <f aca="false">IF(I66="Received",(K66-B66)-J66,"-")</f>
        <v>-1</v>
      </c>
      <c r="N66" s="2" t="str">
        <f aca="false">IF(I66="Received",IF(M66&lt;=0,"Tepat Waktu","Terlambat"),"-")</f>
        <v>Tepat Waktu</v>
      </c>
    </row>
    <row r="67" customFormat="false" ht="15" hidden="false" customHeight="false" outlineLevel="0" collapsed="false">
      <c r="A67" s="2" t="s">
        <v>268</v>
      </c>
      <c r="B67" s="3" t="s">
        <v>269</v>
      </c>
      <c r="C67" s="2" t="s">
        <v>182</v>
      </c>
      <c r="D67" s="2" t="s">
        <v>270</v>
      </c>
      <c r="E67" s="2" t="s">
        <v>133</v>
      </c>
      <c r="F67" s="2" t="s">
        <v>89</v>
      </c>
      <c r="G67" s="2" t="n">
        <v>203</v>
      </c>
      <c r="H67" s="2" t="n">
        <v>500000</v>
      </c>
      <c r="I67" s="2" t="s">
        <v>31</v>
      </c>
      <c r="J67" s="2" t="n">
        <v>5</v>
      </c>
      <c r="K67" s="3" t="s">
        <v>271</v>
      </c>
      <c r="L67" s="4" t="n">
        <f aca="false">G67*H67</f>
        <v>101500000</v>
      </c>
      <c r="M67" s="2" t="n">
        <f aca="false">IF(I67="Received",(K67-B67)-J67,"-")</f>
        <v>5</v>
      </c>
      <c r="N67" s="2" t="str">
        <f aca="false">IF(I67="Received",IF(M67&lt;=0,"Tepat Waktu","Terlambat"),"-")</f>
        <v>Terlambat</v>
      </c>
    </row>
    <row r="68" customFormat="false" ht="15" hidden="false" customHeight="false" outlineLevel="0" collapsed="false">
      <c r="A68" s="2" t="s">
        <v>272</v>
      </c>
      <c r="B68" s="3" t="s">
        <v>108</v>
      </c>
      <c r="C68" s="2" t="s">
        <v>182</v>
      </c>
      <c r="D68" s="2" t="s">
        <v>273</v>
      </c>
      <c r="E68" s="2" t="s">
        <v>64</v>
      </c>
      <c r="F68" s="2" t="s">
        <v>65</v>
      </c>
      <c r="G68" s="2" t="n">
        <v>139</v>
      </c>
      <c r="H68" s="2" t="n">
        <v>75000</v>
      </c>
      <c r="I68" s="2" t="s">
        <v>31</v>
      </c>
      <c r="J68" s="2" t="n">
        <v>3</v>
      </c>
      <c r="K68" s="3" t="s">
        <v>274</v>
      </c>
      <c r="L68" s="4" t="n">
        <f aca="false">G68*H68</f>
        <v>10425000</v>
      </c>
      <c r="M68" s="2" t="n">
        <f aca="false">IF(I68="Received",(K68-B68)-J68,"-")</f>
        <v>4</v>
      </c>
      <c r="N68" s="2" t="str">
        <f aca="false">IF(I68="Received",IF(M68&lt;=0,"Tepat Waktu","Terlambat"),"-")</f>
        <v>Terlambat</v>
      </c>
    </row>
    <row r="69" customFormat="false" ht="15" hidden="false" customHeight="false" outlineLevel="0" collapsed="false">
      <c r="A69" s="2" t="s">
        <v>275</v>
      </c>
      <c r="B69" s="3" t="s">
        <v>276</v>
      </c>
      <c r="C69" s="2" t="s">
        <v>39</v>
      </c>
      <c r="D69" s="2" t="s">
        <v>277</v>
      </c>
      <c r="E69" s="2" t="s">
        <v>114</v>
      </c>
      <c r="F69" s="2" t="s">
        <v>30</v>
      </c>
      <c r="G69" s="2" t="n">
        <v>217</v>
      </c>
      <c r="H69" s="2" t="n">
        <v>500000</v>
      </c>
      <c r="I69" s="2" t="s">
        <v>24</v>
      </c>
      <c r="J69" s="2" t="n">
        <v>3</v>
      </c>
      <c r="K69" s="3"/>
      <c r="L69" s="4" t="n">
        <f aca="false">G69*H69</f>
        <v>108500000</v>
      </c>
      <c r="M69" s="2" t="str">
        <f aca="false">IF(I69="Received",(K69-B69)-J69,"-")</f>
        <v>-</v>
      </c>
      <c r="N69" s="2" t="str">
        <f aca="false">IF(I69="Received",IF(M69&lt;=0,"Tepat Waktu","Terlambat"),"-")</f>
        <v>-</v>
      </c>
    </row>
    <row r="70" customFormat="false" ht="15" hidden="false" customHeight="false" outlineLevel="0" collapsed="false">
      <c r="A70" s="2" t="s">
        <v>278</v>
      </c>
      <c r="B70" s="3" t="s">
        <v>279</v>
      </c>
      <c r="C70" s="2" t="s">
        <v>72</v>
      </c>
      <c r="D70" s="2" t="s">
        <v>280</v>
      </c>
      <c r="E70" s="2" t="s">
        <v>281</v>
      </c>
      <c r="F70" s="2" t="s">
        <v>65</v>
      </c>
      <c r="G70" s="2" t="n">
        <v>147</v>
      </c>
      <c r="H70" s="2" t="n">
        <v>25000</v>
      </c>
      <c r="I70" s="2" t="s">
        <v>31</v>
      </c>
      <c r="J70" s="2" t="n">
        <v>14</v>
      </c>
      <c r="K70" s="3" t="s">
        <v>282</v>
      </c>
      <c r="L70" s="4" t="n">
        <f aca="false">G70*H70</f>
        <v>3675000</v>
      </c>
      <c r="M70" s="2" t="n">
        <f aca="false">IF(I70="Received",(K70-B70)-J70,"-")</f>
        <v>1</v>
      </c>
      <c r="N70" s="2" t="str">
        <f aca="false">IF(I70="Received",IF(M70&lt;=0,"Tepat Waktu","Terlambat"),"-")</f>
        <v>Terlambat</v>
      </c>
    </row>
    <row r="71" customFormat="false" ht="15" hidden="false" customHeight="false" outlineLevel="0" collapsed="false">
      <c r="A71" s="2" t="s">
        <v>283</v>
      </c>
      <c r="B71" s="3" t="s">
        <v>284</v>
      </c>
      <c r="C71" s="2" t="s">
        <v>72</v>
      </c>
      <c r="D71" s="2" t="s">
        <v>285</v>
      </c>
      <c r="E71" s="2" t="s">
        <v>158</v>
      </c>
      <c r="F71" s="2" t="s">
        <v>89</v>
      </c>
      <c r="G71" s="2" t="n">
        <v>329</v>
      </c>
      <c r="H71" s="2" t="n">
        <v>25000</v>
      </c>
      <c r="I71" s="2" t="s">
        <v>31</v>
      </c>
      <c r="J71" s="2" t="n">
        <v>10</v>
      </c>
      <c r="K71" s="3" t="s">
        <v>286</v>
      </c>
      <c r="L71" s="4" t="n">
        <f aca="false">G71*H71</f>
        <v>8225000</v>
      </c>
      <c r="M71" s="2" t="n">
        <f aca="false">IF(I71="Received",(K71-B71)-J71,"-")</f>
        <v>1</v>
      </c>
      <c r="N71" s="2" t="str">
        <f aca="false">IF(I71="Received",IF(M71&lt;=0,"Tepat Waktu","Terlambat"),"-")</f>
        <v>Terlambat</v>
      </c>
    </row>
    <row r="72" customFormat="false" ht="15" hidden="false" customHeight="false" outlineLevel="0" collapsed="false">
      <c r="A72" s="2" t="s">
        <v>287</v>
      </c>
      <c r="B72" s="3" t="s">
        <v>288</v>
      </c>
      <c r="C72" s="2" t="s">
        <v>82</v>
      </c>
      <c r="D72" s="2" t="s">
        <v>289</v>
      </c>
      <c r="E72" s="2" t="s">
        <v>243</v>
      </c>
      <c r="F72" s="2" t="s">
        <v>16</v>
      </c>
      <c r="G72" s="2" t="n">
        <v>237</v>
      </c>
      <c r="H72" s="2" t="n">
        <v>15000</v>
      </c>
      <c r="I72" s="2" t="s">
        <v>31</v>
      </c>
      <c r="J72" s="2" t="n">
        <v>5</v>
      </c>
      <c r="K72" s="3" t="s">
        <v>290</v>
      </c>
      <c r="L72" s="4" t="n">
        <f aca="false">G72*H72</f>
        <v>3555000</v>
      </c>
      <c r="M72" s="2" t="n">
        <f aca="false">IF(I72="Received",(K72-B72)-J72,"-")</f>
        <v>-1</v>
      </c>
      <c r="N72" s="2" t="str">
        <f aca="false">IF(I72="Received",IF(M72&lt;=0,"Tepat Waktu","Terlambat"),"-")</f>
        <v>Tepat Waktu</v>
      </c>
    </row>
    <row r="73" customFormat="false" ht="15" hidden="false" customHeight="false" outlineLevel="0" collapsed="false">
      <c r="A73" s="2" t="s">
        <v>291</v>
      </c>
      <c r="B73" s="3" t="s">
        <v>292</v>
      </c>
      <c r="C73" s="2" t="s">
        <v>77</v>
      </c>
      <c r="D73" s="2" t="s">
        <v>293</v>
      </c>
      <c r="E73" s="2" t="s">
        <v>294</v>
      </c>
      <c r="F73" s="2" t="s">
        <v>30</v>
      </c>
      <c r="G73" s="2" t="n">
        <v>259</v>
      </c>
      <c r="H73" s="2" t="n">
        <v>250000</v>
      </c>
      <c r="I73" s="2" t="s">
        <v>31</v>
      </c>
      <c r="J73" s="2" t="n">
        <v>7</v>
      </c>
      <c r="K73" s="3" t="s">
        <v>90</v>
      </c>
      <c r="L73" s="4" t="n">
        <f aca="false">G73*H73</f>
        <v>64750000</v>
      </c>
      <c r="M73" s="2" t="n">
        <f aca="false">IF(I73="Received",(K73-B73)-J73,"-")</f>
        <v>0</v>
      </c>
      <c r="N73" s="2" t="str">
        <f aca="false">IF(I73="Received",IF(M73&lt;=0,"Tepat Waktu","Terlambat"),"-")</f>
        <v>Tepat Waktu</v>
      </c>
    </row>
    <row r="74" customFormat="false" ht="15" hidden="false" customHeight="false" outlineLevel="0" collapsed="false">
      <c r="A74" s="2" t="s">
        <v>295</v>
      </c>
      <c r="B74" s="3" t="s">
        <v>296</v>
      </c>
      <c r="C74" s="2" t="s">
        <v>77</v>
      </c>
      <c r="D74" s="2" t="s">
        <v>297</v>
      </c>
      <c r="E74" s="2" t="s">
        <v>198</v>
      </c>
      <c r="F74" s="2" t="s">
        <v>30</v>
      </c>
      <c r="G74" s="2" t="n">
        <v>458</v>
      </c>
      <c r="H74" s="2" t="n">
        <v>25000</v>
      </c>
      <c r="I74" s="2" t="s">
        <v>47</v>
      </c>
      <c r="J74" s="2" t="n">
        <v>3</v>
      </c>
      <c r="K74" s="3"/>
      <c r="L74" s="4" t="n">
        <f aca="false">G74*H74</f>
        <v>11450000</v>
      </c>
      <c r="M74" s="2" t="str">
        <f aca="false">IF(I74="Received",(K74-B74)-J74,"-")</f>
        <v>-</v>
      </c>
      <c r="N74" s="2" t="str">
        <f aca="false">IF(I74="Received",IF(M74&lt;=0,"Tepat Waktu","Terlambat"),"-")</f>
        <v>-</v>
      </c>
    </row>
    <row r="75" customFormat="false" ht="15" hidden="false" customHeight="false" outlineLevel="0" collapsed="false">
      <c r="A75" s="2" t="s">
        <v>298</v>
      </c>
      <c r="B75" s="3" t="s">
        <v>299</v>
      </c>
      <c r="C75" s="2" t="s">
        <v>27</v>
      </c>
      <c r="D75" s="2" t="s">
        <v>300</v>
      </c>
      <c r="E75" s="2" t="s">
        <v>88</v>
      </c>
      <c r="F75" s="2" t="s">
        <v>89</v>
      </c>
      <c r="G75" s="2" t="n">
        <v>139</v>
      </c>
      <c r="H75" s="2" t="n">
        <v>25000</v>
      </c>
      <c r="I75" s="2" t="s">
        <v>31</v>
      </c>
      <c r="J75" s="2" t="n">
        <v>14</v>
      </c>
      <c r="K75" s="3" t="s">
        <v>301</v>
      </c>
      <c r="L75" s="4" t="n">
        <f aca="false">G75*H75</f>
        <v>3475000</v>
      </c>
      <c r="M75" s="2" t="n">
        <f aca="false">IF(I75="Received",(K75-B75)-J75,"-")</f>
        <v>3</v>
      </c>
      <c r="N75" s="2" t="str">
        <f aca="false">IF(I75="Received",IF(M75&lt;=0,"Tepat Waktu","Terlambat"),"-")</f>
        <v>Terlambat</v>
      </c>
    </row>
    <row r="76" customFormat="false" ht="15" hidden="false" customHeight="false" outlineLevel="0" collapsed="false">
      <c r="A76" s="2" t="s">
        <v>302</v>
      </c>
      <c r="B76" s="3" t="s">
        <v>235</v>
      </c>
      <c r="C76" s="2" t="s">
        <v>96</v>
      </c>
      <c r="D76" s="2" t="s">
        <v>303</v>
      </c>
      <c r="E76" s="2" t="s">
        <v>94</v>
      </c>
      <c r="F76" s="2" t="s">
        <v>65</v>
      </c>
      <c r="G76" s="2" t="n">
        <v>85</v>
      </c>
      <c r="H76" s="2" t="n">
        <v>120000</v>
      </c>
      <c r="I76" s="2" t="s">
        <v>47</v>
      </c>
      <c r="J76" s="2" t="n">
        <v>14</v>
      </c>
      <c r="K76" s="3"/>
      <c r="L76" s="4" t="n">
        <f aca="false">G76*H76</f>
        <v>10200000</v>
      </c>
      <c r="M76" s="2" t="str">
        <f aca="false">IF(I76="Received",(K76-B76)-J76,"-")</f>
        <v>-</v>
      </c>
      <c r="N76" s="2" t="str">
        <f aca="false">IF(I76="Received",IF(M76&lt;=0,"Tepat Waktu","Terlambat"),"-")</f>
        <v>-</v>
      </c>
    </row>
    <row r="77" customFormat="false" ht="15" hidden="false" customHeight="false" outlineLevel="0" collapsed="false">
      <c r="A77" s="2" t="s">
        <v>304</v>
      </c>
      <c r="B77" s="3" t="s">
        <v>305</v>
      </c>
      <c r="C77" s="2" t="s">
        <v>54</v>
      </c>
      <c r="D77" s="2" t="s">
        <v>306</v>
      </c>
      <c r="E77" s="2" t="s">
        <v>22</v>
      </c>
      <c r="F77" s="2" t="s">
        <v>23</v>
      </c>
      <c r="G77" s="2" t="n">
        <v>27</v>
      </c>
      <c r="H77" s="2" t="n">
        <v>15000</v>
      </c>
      <c r="I77" s="2" t="s">
        <v>31</v>
      </c>
      <c r="J77" s="2" t="n">
        <v>10</v>
      </c>
      <c r="K77" s="3" t="s">
        <v>307</v>
      </c>
      <c r="L77" s="4" t="n">
        <f aca="false">G77*H77</f>
        <v>405000</v>
      </c>
      <c r="M77" s="2" t="n">
        <f aca="false">IF(I77="Received",(K77-B77)-J77,"-")</f>
        <v>3</v>
      </c>
      <c r="N77" s="2" t="str">
        <f aca="false">IF(I77="Received",IF(M77&lt;=0,"Tepat Waktu","Terlambat"),"-")</f>
        <v>Terlambat</v>
      </c>
    </row>
    <row r="78" customFormat="false" ht="15" hidden="false" customHeight="false" outlineLevel="0" collapsed="false">
      <c r="A78" s="2" t="s">
        <v>308</v>
      </c>
      <c r="B78" s="3" t="s">
        <v>309</v>
      </c>
      <c r="C78" s="2" t="s">
        <v>77</v>
      </c>
      <c r="D78" s="2" t="s">
        <v>310</v>
      </c>
      <c r="E78" s="2" t="s">
        <v>36</v>
      </c>
      <c r="F78" s="2" t="s">
        <v>23</v>
      </c>
      <c r="G78" s="2" t="n">
        <v>416</v>
      </c>
      <c r="H78" s="2" t="n">
        <v>500000</v>
      </c>
      <c r="I78" s="2" t="s">
        <v>31</v>
      </c>
      <c r="J78" s="2" t="n">
        <v>5</v>
      </c>
      <c r="K78" s="3" t="s">
        <v>311</v>
      </c>
      <c r="L78" s="4" t="n">
        <f aca="false">G78*H78</f>
        <v>208000000</v>
      </c>
      <c r="M78" s="2" t="n">
        <f aca="false">IF(I78="Received",(K78-B78)-J78,"-")</f>
        <v>4</v>
      </c>
      <c r="N78" s="2" t="str">
        <f aca="false">IF(I78="Received",IF(M78&lt;=0,"Tepat Waktu","Terlambat"),"-")</f>
        <v>Terlambat</v>
      </c>
    </row>
    <row r="79" customFormat="false" ht="15" hidden="false" customHeight="false" outlineLevel="0" collapsed="false">
      <c r="A79" s="2" t="s">
        <v>312</v>
      </c>
      <c r="B79" s="3" t="s">
        <v>313</v>
      </c>
      <c r="C79" s="2" t="s">
        <v>39</v>
      </c>
      <c r="D79" s="2" t="s">
        <v>314</v>
      </c>
      <c r="E79" s="2" t="s">
        <v>119</v>
      </c>
      <c r="F79" s="2" t="s">
        <v>16</v>
      </c>
      <c r="G79" s="2" t="n">
        <v>66</v>
      </c>
      <c r="H79" s="2" t="n">
        <v>1200000</v>
      </c>
      <c r="I79" s="2" t="s">
        <v>24</v>
      </c>
      <c r="J79" s="2" t="n">
        <v>3</v>
      </c>
      <c r="K79" s="3"/>
      <c r="L79" s="4" t="n">
        <f aca="false">G79*H79</f>
        <v>79200000</v>
      </c>
      <c r="M79" s="2" t="str">
        <f aca="false">IF(I79="Received",(K79-B79)-J79,"-")</f>
        <v>-</v>
      </c>
      <c r="N79" s="2" t="str">
        <f aca="false">IF(I79="Received",IF(M79&lt;=0,"Tepat Waktu","Terlambat"),"-")</f>
        <v>-</v>
      </c>
    </row>
    <row r="80" customFormat="false" ht="15" hidden="false" customHeight="false" outlineLevel="0" collapsed="false">
      <c r="A80" s="2" t="s">
        <v>315</v>
      </c>
      <c r="B80" s="3" t="s">
        <v>12</v>
      </c>
      <c r="C80" s="2" t="s">
        <v>82</v>
      </c>
      <c r="D80" s="2" t="s">
        <v>316</v>
      </c>
      <c r="E80" s="2" t="s">
        <v>64</v>
      </c>
      <c r="F80" s="2" t="s">
        <v>65</v>
      </c>
      <c r="G80" s="2" t="n">
        <v>40</v>
      </c>
      <c r="H80" s="2" t="n">
        <v>850000</v>
      </c>
      <c r="I80" s="2" t="s">
        <v>47</v>
      </c>
      <c r="J80" s="2" t="n">
        <v>7</v>
      </c>
      <c r="K80" s="3"/>
      <c r="L80" s="4" t="n">
        <f aca="false">G80*H80</f>
        <v>34000000</v>
      </c>
      <c r="M80" s="2" t="str">
        <f aca="false">IF(I80="Received",(K80-B80)-J80,"-")</f>
        <v>-</v>
      </c>
      <c r="N80" s="2" t="str">
        <f aca="false">IF(I80="Received",IF(M80&lt;=0,"Tepat Waktu","Terlambat"),"-")</f>
        <v>-</v>
      </c>
    </row>
    <row r="81" customFormat="false" ht="15" hidden="false" customHeight="false" outlineLevel="0" collapsed="false">
      <c r="A81" s="2" t="s">
        <v>317</v>
      </c>
      <c r="B81" s="3" t="s">
        <v>318</v>
      </c>
      <c r="C81" s="2" t="s">
        <v>54</v>
      </c>
      <c r="D81" s="2" t="s">
        <v>319</v>
      </c>
      <c r="E81" s="2" t="s">
        <v>110</v>
      </c>
      <c r="F81" s="2" t="s">
        <v>65</v>
      </c>
      <c r="G81" s="2" t="n">
        <v>193</v>
      </c>
      <c r="H81" s="2" t="n">
        <v>75000</v>
      </c>
      <c r="I81" s="2" t="s">
        <v>31</v>
      </c>
      <c r="J81" s="2" t="n">
        <v>7</v>
      </c>
      <c r="K81" s="3" t="s">
        <v>139</v>
      </c>
      <c r="L81" s="4" t="n">
        <f aca="false">G81*H81</f>
        <v>14475000</v>
      </c>
      <c r="M81" s="2" t="n">
        <f aca="false">IF(I81="Received",(K81-B81)-J81,"-")</f>
        <v>1</v>
      </c>
      <c r="N81" s="2" t="str">
        <f aca="false">IF(I81="Received",IF(M81&lt;=0,"Tepat Waktu","Terlambat"),"-")</f>
        <v>Terlambat</v>
      </c>
    </row>
    <row r="82" customFormat="false" ht="15" hidden="false" customHeight="false" outlineLevel="0" collapsed="false">
      <c r="A82" s="2" t="s">
        <v>320</v>
      </c>
      <c r="B82" s="3" t="s">
        <v>321</v>
      </c>
      <c r="C82" s="2" t="s">
        <v>13</v>
      </c>
      <c r="D82" s="2" t="s">
        <v>322</v>
      </c>
      <c r="E82" s="2" t="s">
        <v>110</v>
      </c>
      <c r="F82" s="2" t="s">
        <v>65</v>
      </c>
      <c r="G82" s="2" t="n">
        <v>402</v>
      </c>
      <c r="H82" s="2" t="n">
        <v>75000</v>
      </c>
      <c r="I82" s="2" t="s">
        <v>24</v>
      </c>
      <c r="J82" s="2" t="n">
        <v>14</v>
      </c>
      <c r="K82" s="3"/>
      <c r="L82" s="4" t="n">
        <f aca="false">G82*H82</f>
        <v>30150000</v>
      </c>
      <c r="M82" s="2" t="str">
        <f aca="false">IF(I82="Received",(K82-B82)-J82,"-")</f>
        <v>-</v>
      </c>
      <c r="N82" s="2" t="str">
        <f aca="false">IF(I82="Received",IF(M82&lt;=0,"Tepat Waktu","Terlambat"),"-")</f>
        <v>-</v>
      </c>
    </row>
    <row r="83" customFormat="false" ht="15" hidden="false" customHeight="false" outlineLevel="0" collapsed="false">
      <c r="A83" s="2" t="s">
        <v>323</v>
      </c>
      <c r="B83" s="3" t="s">
        <v>324</v>
      </c>
      <c r="C83" s="2" t="s">
        <v>77</v>
      </c>
      <c r="D83" s="2" t="s">
        <v>325</v>
      </c>
      <c r="E83" s="2" t="s">
        <v>243</v>
      </c>
      <c r="F83" s="2" t="s">
        <v>16</v>
      </c>
      <c r="G83" s="2" t="n">
        <v>124</v>
      </c>
      <c r="H83" s="2" t="n">
        <v>1200000</v>
      </c>
      <c r="I83" s="2" t="s">
        <v>31</v>
      </c>
      <c r="J83" s="2" t="n">
        <v>3</v>
      </c>
      <c r="K83" s="3" t="s">
        <v>326</v>
      </c>
      <c r="L83" s="4" t="n">
        <f aca="false">G83*H83</f>
        <v>148800000</v>
      </c>
      <c r="M83" s="2" t="n">
        <f aca="false">IF(I83="Received",(K83-B83)-J83,"-")</f>
        <v>3</v>
      </c>
      <c r="N83" s="2" t="str">
        <f aca="false">IF(I83="Received",IF(M83&lt;=0,"Tepat Waktu","Terlambat"),"-")</f>
        <v>Terlambat</v>
      </c>
    </row>
    <row r="84" customFormat="false" ht="15" hidden="false" customHeight="false" outlineLevel="0" collapsed="false">
      <c r="A84" s="2" t="s">
        <v>327</v>
      </c>
      <c r="B84" s="3" t="s">
        <v>237</v>
      </c>
      <c r="C84" s="2" t="s">
        <v>27</v>
      </c>
      <c r="D84" s="2" t="s">
        <v>328</v>
      </c>
      <c r="E84" s="2" t="s">
        <v>198</v>
      </c>
      <c r="F84" s="2" t="s">
        <v>30</v>
      </c>
      <c r="G84" s="2" t="n">
        <v>110</v>
      </c>
      <c r="H84" s="2" t="n">
        <v>1200000</v>
      </c>
      <c r="I84" s="2" t="s">
        <v>17</v>
      </c>
      <c r="J84" s="2" t="n">
        <v>10</v>
      </c>
      <c r="K84" s="3"/>
      <c r="L84" s="4" t="n">
        <f aca="false">G84*H84</f>
        <v>132000000</v>
      </c>
      <c r="M84" s="2" t="str">
        <f aca="false">IF(I84="Received",(K84-B84)-J84,"-")</f>
        <v>-</v>
      </c>
      <c r="N84" s="2" t="str">
        <f aca="false">IF(I84="Received",IF(M84&lt;=0,"Tepat Waktu","Terlambat"),"-")</f>
        <v>-</v>
      </c>
    </row>
    <row r="85" customFormat="false" ht="15" hidden="false" customHeight="false" outlineLevel="0" collapsed="false">
      <c r="A85" s="2" t="s">
        <v>329</v>
      </c>
      <c r="B85" s="3" t="s">
        <v>330</v>
      </c>
      <c r="C85" s="2" t="s">
        <v>182</v>
      </c>
      <c r="D85" s="2" t="s">
        <v>331</v>
      </c>
      <c r="E85" s="2" t="s">
        <v>106</v>
      </c>
      <c r="F85" s="2" t="s">
        <v>23</v>
      </c>
      <c r="G85" s="2" t="n">
        <v>27</v>
      </c>
      <c r="H85" s="2" t="n">
        <v>75000</v>
      </c>
      <c r="I85" s="2" t="s">
        <v>47</v>
      </c>
      <c r="J85" s="2" t="n">
        <v>14</v>
      </c>
      <c r="K85" s="3"/>
      <c r="L85" s="4" t="n">
        <f aca="false">G85*H85</f>
        <v>2025000</v>
      </c>
      <c r="M85" s="2" t="str">
        <f aca="false">IF(I85="Received",(K85-B85)-J85,"-")</f>
        <v>-</v>
      </c>
      <c r="N85" s="2" t="str">
        <f aca="false">IF(I85="Received",IF(M85&lt;=0,"Tepat Waktu","Terlambat"),"-")</f>
        <v>-</v>
      </c>
    </row>
    <row r="86" customFormat="false" ht="15" hidden="false" customHeight="false" outlineLevel="0" collapsed="false">
      <c r="A86" s="2" t="s">
        <v>332</v>
      </c>
      <c r="B86" s="3" t="s">
        <v>333</v>
      </c>
      <c r="C86" s="2" t="s">
        <v>13</v>
      </c>
      <c r="D86" s="2" t="s">
        <v>334</v>
      </c>
      <c r="E86" s="2" t="s">
        <v>69</v>
      </c>
      <c r="F86" s="2" t="s">
        <v>42</v>
      </c>
      <c r="G86" s="2" t="n">
        <v>53</v>
      </c>
      <c r="H86" s="2" t="n">
        <v>1200000</v>
      </c>
      <c r="I86" s="2" t="s">
        <v>31</v>
      </c>
      <c r="J86" s="2" t="n">
        <v>10</v>
      </c>
      <c r="K86" s="3" t="s">
        <v>121</v>
      </c>
      <c r="L86" s="4" t="n">
        <f aca="false">G86*H86</f>
        <v>63600000</v>
      </c>
      <c r="M86" s="2" t="n">
        <f aca="false">IF(I86="Received",(K86-B86)-J86,"-")</f>
        <v>-1</v>
      </c>
      <c r="N86" s="2" t="str">
        <f aca="false">IF(I86="Received",IF(M86&lt;=0,"Tepat Waktu","Terlambat"),"-")</f>
        <v>Tepat Waktu</v>
      </c>
    </row>
    <row r="87" customFormat="false" ht="15" hidden="false" customHeight="false" outlineLevel="0" collapsed="false">
      <c r="A87" s="2" t="s">
        <v>335</v>
      </c>
      <c r="B87" s="3" t="s">
        <v>336</v>
      </c>
      <c r="C87" s="2" t="s">
        <v>20</v>
      </c>
      <c r="D87" s="2" t="s">
        <v>337</v>
      </c>
      <c r="E87" s="2" t="s">
        <v>243</v>
      </c>
      <c r="F87" s="2" t="s">
        <v>16</v>
      </c>
      <c r="G87" s="2" t="n">
        <v>498</v>
      </c>
      <c r="H87" s="2" t="n">
        <v>45000</v>
      </c>
      <c r="I87" s="2" t="s">
        <v>31</v>
      </c>
      <c r="J87" s="2" t="n">
        <v>7</v>
      </c>
      <c r="K87" s="3" t="s">
        <v>338</v>
      </c>
      <c r="L87" s="4" t="n">
        <f aca="false">G87*H87</f>
        <v>22410000</v>
      </c>
      <c r="M87" s="2" t="n">
        <f aca="false">IF(I87="Received",(K87-B87)-J87,"-")</f>
        <v>3</v>
      </c>
      <c r="N87" s="2" t="str">
        <f aca="false">IF(I87="Received",IF(M87&lt;=0,"Tepat Waktu","Terlambat"),"-")</f>
        <v>Terlambat</v>
      </c>
    </row>
    <row r="88" customFormat="false" ht="15" hidden="false" customHeight="false" outlineLevel="0" collapsed="false">
      <c r="A88" s="2" t="s">
        <v>339</v>
      </c>
      <c r="B88" s="3" t="s">
        <v>340</v>
      </c>
      <c r="C88" s="2" t="s">
        <v>13</v>
      </c>
      <c r="D88" s="2" t="s">
        <v>341</v>
      </c>
      <c r="E88" s="2" t="s">
        <v>158</v>
      </c>
      <c r="F88" s="2" t="s">
        <v>89</v>
      </c>
      <c r="G88" s="2" t="n">
        <v>124</v>
      </c>
      <c r="H88" s="2" t="n">
        <v>25000</v>
      </c>
      <c r="I88" s="2" t="s">
        <v>17</v>
      </c>
      <c r="J88" s="2" t="n">
        <v>5</v>
      </c>
      <c r="K88" s="3"/>
      <c r="L88" s="4" t="n">
        <f aca="false">G88*H88</f>
        <v>3100000</v>
      </c>
      <c r="M88" s="2" t="str">
        <f aca="false">IF(I88="Received",(K88-B88)-J88,"-")</f>
        <v>-</v>
      </c>
      <c r="N88" s="2" t="str">
        <f aca="false">IF(I88="Received",IF(M88&lt;=0,"Tepat Waktu","Terlambat"),"-")</f>
        <v>-</v>
      </c>
    </row>
    <row r="89" customFormat="false" ht="15" hidden="false" customHeight="false" outlineLevel="0" collapsed="false">
      <c r="A89" s="2" t="s">
        <v>342</v>
      </c>
      <c r="B89" s="3" t="s">
        <v>343</v>
      </c>
      <c r="C89" s="2" t="s">
        <v>54</v>
      </c>
      <c r="D89" s="2" t="s">
        <v>344</v>
      </c>
      <c r="E89" s="2" t="s">
        <v>36</v>
      </c>
      <c r="F89" s="2" t="s">
        <v>23</v>
      </c>
      <c r="G89" s="2" t="n">
        <v>235</v>
      </c>
      <c r="H89" s="2" t="n">
        <v>850000</v>
      </c>
      <c r="I89" s="2" t="s">
        <v>31</v>
      </c>
      <c r="J89" s="2" t="n">
        <v>3</v>
      </c>
      <c r="K89" s="3" t="s">
        <v>345</v>
      </c>
      <c r="L89" s="4" t="n">
        <f aca="false">G89*H89</f>
        <v>199750000</v>
      </c>
      <c r="M89" s="2" t="n">
        <f aca="false">IF(I89="Received",(K89-B89)-J89,"-")</f>
        <v>6</v>
      </c>
      <c r="N89" s="2" t="str">
        <f aca="false">IF(I89="Received",IF(M89&lt;=0,"Tepat Waktu","Terlambat"),"-")</f>
        <v>Terlambat</v>
      </c>
    </row>
    <row r="90" customFormat="false" ht="15" hidden="false" customHeight="false" outlineLevel="0" collapsed="false">
      <c r="A90" s="2" t="s">
        <v>346</v>
      </c>
      <c r="B90" s="3" t="s">
        <v>141</v>
      </c>
      <c r="C90" s="2" t="s">
        <v>82</v>
      </c>
      <c r="D90" s="2" t="s">
        <v>347</v>
      </c>
      <c r="E90" s="2" t="s">
        <v>79</v>
      </c>
      <c r="F90" s="2" t="s">
        <v>42</v>
      </c>
      <c r="G90" s="2" t="n">
        <v>140</v>
      </c>
      <c r="H90" s="2" t="n">
        <v>25000</v>
      </c>
      <c r="I90" s="2" t="s">
        <v>31</v>
      </c>
      <c r="J90" s="2" t="n">
        <v>7</v>
      </c>
      <c r="K90" s="3" t="s">
        <v>301</v>
      </c>
      <c r="L90" s="4" t="n">
        <f aca="false">G90*H90</f>
        <v>3500000</v>
      </c>
      <c r="M90" s="2" t="n">
        <f aca="false">IF(I90="Received",(K90-B90)-J90,"-")</f>
        <v>-2</v>
      </c>
      <c r="N90" s="2" t="str">
        <f aca="false">IF(I90="Received",IF(M90&lt;=0,"Tepat Waktu","Terlambat"),"-")</f>
        <v>Tepat Waktu</v>
      </c>
    </row>
    <row r="91" customFormat="false" ht="15" hidden="false" customHeight="false" outlineLevel="0" collapsed="false">
      <c r="A91" s="2" t="s">
        <v>348</v>
      </c>
      <c r="B91" s="3" t="s">
        <v>349</v>
      </c>
      <c r="C91" s="2" t="s">
        <v>13</v>
      </c>
      <c r="D91" s="2" t="s">
        <v>50</v>
      </c>
      <c r="E91" s="2" t="s">
        <v>36</v>
      </c>
      <c r="F91" s="2" t="s">
        <v>23</v>
      </c>
      <c r="G91" s="2" t="n">
        <v>132</v>
      </c>
      <c r="H91" s="2" t="n">
        <v>250000</v>
      </c>
      <c r="I91" s="2" t="s">
        <v>31</v>
      </c>
      <c r="J91" s="2" t="n">
        <v>3</v>
      </c>
      <c r="K91" s="3" t="s">
        <v>350</v>
      </c>
      <c r="L91" s="4" t="n">
        <f aca="false">G91*H91</f>
        <v>33000000</v>
      </c>
      <c r="M91" s="2" t="n">
        <f aca="false">IF(I91="Received",(K91-B91)-J91,"-")</f>
        <v>2</v>
      </c>
      <c r="N91" s="2" t="str">
        <f aca="false">IF(I91="Received",IF(M91&lt;=0,"Tepat Waktu","Terlambat"),"-")</f>
        <v>Terlambat</v>
      </c>
    </row>
    <row r="92" customFormat="false" ht="15" hidden="false" customHeight="false" outlineLevel="0" collapsed="false">
      <c r="A92" s="2" t="s">
        <v>351</v>
      </c>
      <c r="B92" s="3" t="s">
        <v>352</v>
      </c>
      <c r="C92" s="2" t="s">
        <v>77</v>
      </c>
      <c r="D92" s="2" t="s">
        <v>353</v>
      </c>
      <c r="E92" s="2" t="s">
        <v>243</v>
      </c>
      <c r="F92" s="2" t="s">
        <v>16</v>
      </c>
      <c r="G92" s="2" t="n">
        <v>236</v>
      </c>
      <c r="H92" s="2" t="n">
        <v>1200000</v>
      </c>
      <c r="I92" s="2" t="s">
        <v>24</v>
      </c>
      <c r="J92" s="2" t="n">
        <v>5</v>
      </c>
      <c r="K92" s="3"/>
      <c r="L92" s="4" t="n">
        <f aca="false">G92*H92</f>
        <v>283200000</v>
      </c>
      <c r="M92" s="2" t="str">
        <f aca="false">IF(I92="Received",(K92-B92)-J92,"-")</f>
        <v>-</v>
      </c>
      <c r="N92" s="2" t="str">
        <f aca="false">IF(I92="Received",IF(M92&lt;=0,"Tepat Waktu","Terlambat"),"-")</f>
        <v>-</v>
      </c>
    </row>
    <row r="93" customFormat="false" ht="15" hidden="false" customHeight="false" outlineLevel="0" collapsed="false">
      <c r="A93" s="2" t="s">
        <v>354</v>
      </c>
      <c r="B93" s="3" t="s">
        <v>355</v>
      </c>
      <c r="C93" s="2" t="s">
        <v>96</v>
      </c>
      <c r="D93" s="2" t="s">
        <v>356</v>
      </c>
      <c r="E93" s="2" t="s">
        <v>15</v>
      </c>
      <c r="F93" s="2" t="s">
        <v>16</v>
      </c>
      <c r="G93" s="2" t="n">
        <v>11</v>
      </c>
      <c r="H93" s="2" t="n">
        <v>15000</v>
      </c>
      <c r="I93" s="2" t="s">
        <v>47</v>
      </c>
      <c r="J93" s="2" t="n">
        <v>5</v>
      </c>
      <c r="K93" s="3"/>
      <c r="L93" s="4" t="n">
        <f aca="false">G93*H93</f>
        <v>165000</v>
      </c>
      <c r="M93" s="2" t="str">
        <f aca="false">IF(I93="Received",(K93-B93)-J93,"-")</f>
        <v>-</v>
      </c>
      <c r="N93" s="2" t="str">
        <f aca="false">IF(I93="Received",IF(M93&lt;=0,"Tepat Waktu","Terlambat"),"-")</f>
        <v>-</v>
      </c>
    </row>
    <row r="94" customFormat="false" ht="15" hidden="false" customHeight="false" outlineLevel="0" collapsed="false">
      <c r="A94" s="2" t="s">
        <v>357</v>
      </c>
      <c r="B94" s="3" t="s">
        <v>358</v>
      </c>
      <c r="C94" s="2" t="s">
        <v>82</v>
      </c>
      <c r="D94" s="2" t="s">
        <v>359</v>
      </c>
      <c r="E94" s="2" t="s">
        <v>79</v>
      </c>
      <c r="F94" s="2" t="s">
        <v>42</v>
      </c>
      <c r="G94" s="2" t="n">
        <v>327</v>
      </c>
      <c r="H94" s="2" t="n">
        <v>25000</v>
      </c>
      <c r="I94" s="2" t="s">
        <v>24</v>
      </c>
      <c r="J94" s="2" t="n">
        <v>7</v>
      </c>
      <c r="K94" s="3"/>
      <c r="L94" s="4" t="n">
        <f aca="false">G94*H94</f>
        <v>8175000</v>
      </c>
      <c r="M94" s="2" t="str">
        <f aca="false">IF(I94="Received",(K94-B94)-J94,"-")</f>
        <v>-</v>
      </c>
      <c r="N94" s="2" t="str">
        <f aca="false">IF(I94="Received",IF(M94&lt;=0,"Tepat Waktu","Terlambat"),"-")</f>
        <v>-</v>
      </c>
    </row>
    <row r="95" customFormat="false" ht="15" hidden="false" customHeight="false" outlineLevel="0" collapsed="false">
      <c r="A95" s="2" t="s">
        <v>360</v>
      </c>
      <c r="B95" s="3" t="s">
        <v>361</v>
      </c>
      <c r="C95" s="2" t="s">
        <v>182</v>
      </c>
      <c r="D95" s="2" t="s">
        <v>362</v>
      </c>
      <c r="E95" s="2" t="s">
        <v>15</v>
      </c>
      <c r="F95" s="2" t="s">
        <v>16</v>
      </c>
      <c r="G95" s="2" t="n">
        <v>232</v>
      </c>
      <c r="H95" s="2" t="n">
        <v>45000</v>
      </c>
      <c r="I95" s="2" t="s">
        <v>31</v>
      </c>
      <c r="J95" s="2" t="n">
        <v>7</v>
      </c>
      <c r="K95" s="3" t="s">
        <v>274</v>
      </c>
      <c r="L95" s="4" t="n">
        <f aca="false">G95*H95</f>
        <v>10440000</v>
      </c>
      <c r="M95" s="2" t="n">
        <f aca="false">IF(I95="Received",(K95-B95)-J95,"-")</f>
        <v>-1</v>
      </c>
      <c r="N95" s="2" t="str">
        <f aca="false">IF(I95="Received",IF(M95&lt;=0,"Tepat Waktu","Terlambat"),"-")</f>
        <v>Tepat Waktu</v>
      </c>
    </row>
    <row r="96" customFormat="false" ht="15" hidden="false" customHeight="false" outlineLevel="0" collapsed="false">
      <c r="A96" s="2" t="s">
        <v>363</v>
      </c>
      <c r="B96" s="3" t="s">
        <v>364</v>
      </c>
      <c r="C96" s="2" t="s">
        <v>96</v>
      </c>
      <c r="D96" s="2" t="s">
        <v>365</v>
      </c>
      <c r="E96" s="2" t="s">
        <v>15</v>
      </c>
      <c r="F96" s="2" t="s">
        <v>16</v>
      </c>
      <c r="G96" s="2" t="n">
        <v>226</v>
      </c>
      <c r="H96" s="2" t="n">
        <v>500000</v>
      </c>
      <c r="I96" s="2" t="s">
        <v>31</v>
      </c>
      <c r="J96" s="2" t="n">
        <v>10</v>
      </c>
      <c r="K96" s="3" t="s">
        <v>366</v>
      </c>
      <c r="L96" s="4" t="n">
        <f aca="false">G96*H96</f>
        <v>113000000</v>
      </c>
      <c r="M96" s="2" t="n">
        <f aca="false">IF(I96="Received",(K96-B96)-J96,"-")</f>
        <v>4</v>
      </c>
      <c r="N96" s="2" t="str">
        <f aca="false">IF(I96="Received",IF(M96&lt;=0,"Tepat Waktu","Terlambat"),"-")</f>
        <v>Terlambat</v>
      </c>
    </row>
    <row r="97" customFormat="false" ht="15" hidden="false" customHeight="false" outlineLevel="0" collapsed="false">
      <c r="A97" s="2" t="s">
        <v>367</v>
      </c>
      <c r="B97" s="3" t="s">
        <v>368</v>
      </c>
      <c r="C97" s="2" t="s">
        <v>13</v>
      </c>
      <c r="D97" s="2" t="s">
        <v>369</v>
      </c>
      <c r="E97" s="2" t="s">
        <v>370</v>
      </c>
      <c r="F97" s="2" t="s">
        <v>23</v>
      </c>
      <c r="G97" s="2" t="n">
        <v>148</v>
      </c>
      <c r="H97" s="2" t="n">
        <v>850000</v>
      </c>
      <c r="I97" s="2" t="s">
        <v>47</v>
      </c>
      <c r="J97" s="2" t="n">
        <v>3</v>
      </c>
      <c r="K97" s="3"/>
      <c r="L97" s="4" t="n">
        <f aca="false">G97*H97</f>
        <v>125800000</v>
      </c>
      <c r="M97" s="2" t="str">
        <f aca="false">IF(I97="Received",(K97-B97)-J97,"-")</f>
        <v>-</v>
      </c>
      <c r="N97" s="2" t="str">
        <f aca="false">IF(I97="Received",IF(M97&lt;=0,"Tepat Waktu","Terlambat"),"-")</f>
        <v>-</v>
      </c>
    </row>
    <row r="98" customFormat="false" ht="15" hidden="false" customHeight="false" outlineLevel="0" collapsed="false">
      <c r="A98" s="2" t="s">
        <v>371</v>
      </c>
      <c r="B98" s="3" t="s">
        <v>164</v>
      </c>
      <c r="C98" s="2" t="s">
        <v>20</v>
      </c>
      <c r="D98" s="2" t="s">
        <v>372</v>
      </c>
      <c r="E98" s="2" t="s">
        <v>94</v>
      </c>
      <c r="F98" s="2" t="s">
        <v>65</v>
      </c>
      <c r="G98" s="2" t="n">
        <v>156</v>
      </c>
      <c r="H98" s="2" t="n">
        <v>850000</v>
      </c>
      <c r="I98" s="2" t="s">
        <v>31</v>
      </c>
      <c r="J98" s="2" t="n">
        <v>14</v>
      </c>
      <c r="K98" s="3" t="s">
        <v>250</v>
      </c>
      <c r="L98" s="4" t="n">
        <f aca="false">G98*H98</f>
        <v>132600000</v>
      </c>
      <c r="M98" s="2" t="n">
        <f aca="false">IF(I98="Received",(K98-B98)-J98,"-")</f>
        <v>5</v>
      </c>
      <c r="N98" s="2" t="str">
        <f aca="false">IF(I98="Received",IF(M98&lt;=0,"Tepat Waktu","Terlambat"),"-")</f>
        <v>Terlambat</v>
      </c>
    </row>
    <row r="99" customFormat="false" ht="15" hidden="false" customHeight="false" outlineLevel="0" collapsed="false">
      <c r="A99" s="2" t="s">
        <v>373</v>
      </c>
      <c r="B99" s="3" t="s">
        <v>374</v>
      </c>
      <c r="C99" s="2" t="s">
        <v>54</v>
      </c>
      <c r="D99" s="2" t="s">
        <v>375</v>
      </c>
      <c r="E99" s="2" t="s">
        <v>158</v>
      </c>
      <c r="F99" s="2" t="s">
        <v>89</v>
      </c>
      <c r="G99" s="2" t="n">
        <v>219</v>
      </c>
      <c r="H99" s="2" t="n">
        <v>75000</v>
      </c>
      <c r="I99" s="2" t="s">
        <v>24</v>
      </c>
      <c r="J99" s="2" t="n">
        <v>14</v>
      </c>
      <c r="K99" s="3"/>
      <c r="L99" s="4" t="n">
        <f aca="false">G99*H99</f>
        <v>16425000</v>
      </c>
      <c r="M99" s="2" t="str">
        <f aca="false">IF(I99="Received",(K99-B99)-J99,"-")</f>
        <v>-</v>
      </c>
      <c r="N99" s="2" t="str">
        <f aca="false">IF(I99="Received",IF(M99&lt;=0,"Tepat Waktu","Terlambat"),"-")</f>
        <v>-</v>
      </c>
    </row>
    <row r="100" customFormat="false" ht="15" hidden="false" customHeight="false" outlineLevel="0" collapsed="false">
      <c r="A100" s="2" t="s">
        <v>376</v>
      </c>
      <c r="B100" s="3" t="s">
        <v>377</v>
      </c>
      <c r="C100" s="2" t="s">
        <v>72</v>
      </c>
      <c r="D100" s="2" t="s">
        <v>378</v>
      </c>
      <c r="E100" s="2" t="s">
        <v>243</v>
      </c>
      <c r="F100" s="2" t="s">
        <v>16</v>
      </c>
      <c r="G100" s="2" t="n">
        <v>370</v>
      </c>
      <c r="H100" s="2" t="n">
        <v>250000</v>
      </c>
      <c r="I100" s="2" t="s">
        <v>31</v>
      </c>
      <c r="J100" s="2" t="n">
        <v>10</v>
      </c>
      <c r="K100" s="3" t="s">
        <v>379</v>
      </c>
      <c r="L100" s="4" t="n">
        <f aca="false">G100*H100</f>
        <v>92500000</v>
      </c>
      <c r="M100" s="2" t="n">
        <f aca="false">IF(I100="Received",(K100-B100)-J100,"-")</f>
        <v>3</v>
      </c>
      <c r="N100" s="2" t="str">
        <f aca="false">IF(I100="Received",IF(M100&lt;=0,"Tepat Waktu","Terlambat"),"-")</f>
        <v>Terlambat</v>
      </c>
    </row>
    <row r="101" customFormat="false" ht="15" hidden="false" customHeight="false" outlineLevel="0" collapsed="false">
      <c r="A101" s="2" t="s">
        <v>380</v>
      </c>
      <c r="B101" s="3" t="s">
        <v>381</v>
      </c>
      <c r="C101" s="2" t="s">
        <v>72</v>
      </c>
      <c r="D101" s="2" t="s">
        <v>382</v>
      </c>
      <c r="E101" s="2" t="s">
        <v>158</v>
      </c>
      <c r="F101" s="2" t="s">
        <v>89</v>
      </c>
      <c r="G101" s="2" t="n">
        <v>97</v>
      </c>
      <c r="H101" s="2" t="n">
        <v>15000</v>
      </c>
      <c r="I101" s="2" t="s">
        <v>31</v>
      </c>
      <c r="J101" s="2" t="n">
        <v>5</v>
      </c>
      <c r="K101" s="3" t="s">
        <v>71</v>
      </c>
      <c r="L101" s="4" t="n">
        <f aca="false">G101*H101</f>
        <v>1455000</v>
      </c>
      <c r="M101" s="2" t="n">
        <f aca="false">IF(I101="Received",(K101-B101)-J101,"-")</f>
        <v>-2</v>
      </c>
      <c r="N101" s="2" t="str">
        <f aca="false">IF(I101="Received",IF(M101&lt;=0,"Tepat Waktu","Terlambat"),"-")</f>
        <v>Tepat Waktu</v>
      </c>
    </row>
    <row r="102" customFormat="false" ht="15" hidden="false" customHeight="false" outlineLevel="0" collapsed="false">
      <c r="A102" s="2" t="s">
        <v>383</v>
      </c>
      <c r="B102" s="3" t="s">
        <v>384</v>
      </c>
      <c r="C102" s="2" t="s">
        <v>182</v>
      </c>
      <c r="D102" s="2" t="s">
        <v>385</v>
      </c>
      <c r="E102" s="2" t="s">
        <v>386</v>
      </c>
      <c r="F102" s="2" t="s">
        <v>42</v>
      </c>
      <c r="G102" s="2" t="n">
        <v>397</v>
      </c>
      <c r="H102" s="2" t="n">
        <v>75000</v>
      </c>
      <c r="I102" s="2" t="s">
        <v>17</v>
      </c>
      <c r="J102" s="2" t="n">
        <v>3</v>
      </c>
      <c r="K102" s="3"/>
      <c r="L102" s="4" t="n">
        <f aca="false">G102*H102</f>
        <v>29775000</v>
      </c>
      <c r="M102" s="2" t="str">
        <f aca="false">IF(I102="Received",(K102-B102)-J102,"-")</f>
        <v>-</v>
      </c>
      <c r="N102" s="2" t="str">
        <f aca="false">IF(I102="Received",IF(M102&lt;=0,"Tepat Waktu","Terlambat"),"-")</f>
        <v>-</v>
      </c>
    </row>
    <row r="103" customFormat="false" ht="15" hidden="false" customHeight="false" outlineLevel="0" collapsed="false">
      <c r="A103" s="2" t="s">
        <v>387</v>
      </c>
      <c r="B103" s="3" t="s">
        <v>388</v>
      </c>
      <c r="C103" s="2" t="s">
        <v>82</v>
      </c>
      <c r="D103" s="2" t="s">
        <v>389</v>
      </c>
      <c r="E103" s="2" t="s">
        <v>88</v>
      </c>
      <c r="F103" s="2" t="s">
        <v>89</v>
      </c>
      <c r="G103" s="2" t="n">
        <v>410</v>
      </c>
      <c r="H103" s="2" t="n">
        <v>15000</v>
      </c>
      <c r="I103" s="2" t="s">
        <v>47</v>
      </c>
      <c r="J103" s="2" t="n">
        <v>5</v>
      </c>
      <c r="K103" s="3"/>
      <c r="L103" s="4" t="n">
        <f aca="false">G103*H103</f>
        <v>6150000</v>
      </c>
      <c r="M103" s="2" t="str">
        <f aca="false">IF(I103="Received",(K103-B103)-J103,"-")</f>
        <v>-</v>
      </c>
      <c r="N103" s="2" t="str">
        <f aca="false">IF(I103="Received",IF(M103&lt;=0,"Tepat Waktu","Terlambat"),"-")</f>
        <v>-</v>
      </c>
    </row>
    <row r="104" customFormat="false" ht="15" hidden="false" customHeight="false" outlineLevel="0" collapsed="false">
      <c r="A104" s="2" t="s">
        <v>390</v>
      </c>
      <c r="B104" s="3" t="s">
        <v>391</v>
      </c>
      <c r="C104" s="2" t="s">
        <v>27</v>
      </c>
      <c r="D104" s="2" t="s">
        <v>392</v>
      </c>
      <c r="E104" s="2" t="s">
        <v>184</v>
      </c>
      <c r="F104" s="2" t="s">
        <v>89</v>
      </c>
      <c r="G104" s="2" t="n">
        <v>126</v>
      </c>
      <c r="H104" s="2" t="n">
        <v>250000</v>
      </c>
      <c r="I104" s="2" t="s">
        <v>47</v>
      </c>
      <c r="J104" s="2" t="n">
        <v>7</v>
      </c>
      <c r="K104" s="3"/>
      <c r="L104" s="4" t="n">
        <f aca="false">G104*H104</f>
        <v>31500000</v>
      </c>
      <c r="M104" s="2" t="str">
        <f aca="false">IF(I104="Received",(K104-B104)-J104,"-")</f>
        <v>-</v>
      </c>
      <c r="N104" s="2" t="str">
        <f aca="false">IF(I104="Received",IF(M104&lt;=0,"Tepat Waktu","Terlambat"),"-")</f>
        <v>-</v>
      </c>
    </row>
    <row r="105" customFormat="false" ht="15" hidden="false" customHeight="false" outlineLevel="0" collapsed="false">
      <c r="A105" s="2" t="s">
        <v>393</v>
      </c>
      <c r="B105" s="3" t="s">
        <v>74</v>
      </c>
      <c r="C105" s="2" t="s">
        <v>182</v>
      </c>
      <c r="D105" s="2" t="s">
        <v>394</v>
      </c>
      <c r="E105" s="2" t="s">
        <v>198</v>
      </c>
      <c r="F105" s="2" t="s">
        <v>30</v>
      </c>
      <c r="G105" s="2" t="n">
        <v>293</v>
      </c>
      <c r="H105" s="2" t="n">
        <v>45000</v>
      </c>
      <c r="I105" s="2" t="s">
        <v>24</v>
      </c>
      <c r="J105" s="2" t="n">
        <v>5</v>
      </c>
      <c r="K105" s="3"/>
      <c r="L105" s="4" t="n">
        <f aca="false">G105*H105</f>
        <v>13185000</v>
      </c>
      <c r="M105" s="2" t="str">
        <f aca="false">IF(I105="Received",(K105-B105)-J105,"-")</f>
        <v>-</v>
      </c>
      <c r="N105" s="2" t="str">
        <f aca="false">IF(I105="Received",IF(M105&lt;=0,"Tepat Waktu","Terlambat"),"-")</f>
        <v>-</v>
      </c>
    </row>
    <row r="106" customFormat="false" ht="15" hidden="false" customHeight="false" outlineLevel="0" collapsed="false">
      <c r="A106" s="2" t="s">
        <v>395</v>
      </c>
      <c r="B106" s="3" t="s">
        <v>396</v>
      </c>
      <c r="C106" s="2" t="s">
        <v>72</v>
      </c>
      <c r="D106" s="2" t="s">
        <v>397</v>
      </c>
      <c r="E106" s="2" t="s">
        <v>184</v>
      </c>
      <c r="F106" s="2" t="s">
        <v>89</v>
      </c>
      <c r="G106" s="2" t="n">
        <v>24</v>
      </c>
      <c r="H106" s="2" t="n">
        <v>25000</v>
      </c>
      <c r="I106" s="2" t="s">
        <v>31</v>
      </c>
      <c r="J106" s="2" t="n">
        <v>14</v>
      </c>
      <c r="K106" s="3" t="s">
        <v>398</v>
      </c>
      <c r="L106" s="4" t="n">
        <f aca="false">G106*H106</f>
        <v>600000</v>
      </c>
      <c r="M106" s="2" t="n">
        <f aca="false">IF(I106="Received",(K106-B106)-J106,"-")</f>
        <v>1</v>
      </c>
      <c r="N106" s="2" t="str">
        <f aca="false">IF(I106="Received",IF(M106&lt;=0,"Tepat Waktu","Terlambat"),"-")</f>
        <v>Terlambat</v>
      </c>
    </row>
    <row r="107" customFormat="false" ht="15" hidden="false" customHeight="false" outlineLevel="0" collapsed="false">
      <c r="A107" s="2" t="s">
        <v>399</v>
      </c>
      <c r="B107" s="3" t="s">
        <v>400</v>
      </c>
      <c r="C107" s="2" t="s">
        <v>72</v>
      </c>
      <c r="D107" s="2" t="s">
        <v>401</v>
      </c>
      <c r="E107" s="2" t="s">
        <v>69</v>
      </c>
      <c r="F107" s="2" t="s">
        <v>42</v>
      </c>
      <c r="G107" s="2" t="n">
        <v>474</v>
      </c>
      <c r="H107" s="2" t="n">
        <v>75000</v>
      </c>
      <c r="I107" s="2" t="s">
        <v>47</v>
      </c>
      <c r="J107" s="2" t="n">
        <v>7</v>
      </c>
      <c r="K107" s="3"/>
      <c r="L107" s="4" t="n">
        <f aca="false">G107*H107</f>
        <v>35550000</v>
      </c>
      <c r="M107" s="2" t="str">
        <f aca="false">IF(I107="Received",(K107-B107)-J107,"-")</f>
        <v>-</v>
      </c>
      <c r="N107" s="2" t="str">
        <f aca="false">IF(I107="Received",IF(M107&lt;=0,"Tepat Waktu","Terlambat"),"-")</f>
        <v>-</v>
      </c>
    </row>
    <row r="108" customFormat="false" ht="15" hidden="false" customHeight="false" outlineLevel="0" collapsed="false">
      <c r="A108" s="2" t="s">
        <v>402</v>
      </c>
      <c r="B108" s="3" t="s">
        <v>286</v>
      </c>
      <c r="C108" s="2" t="s">
        <v>13</v>
      </c>
      <c r="D108" s="2" t="s">
        <v>403</v>
      </c>
      <c r="E108" s="2" t="s">
        <v>56</v>
      </c>
      <c r="F108" s="2" t="s">
        <v>16</v>
      </c>
      <c r="G108" s="2" t="n">
        <v>305</v>
      </c>
      <c r="H108" s="2" t="n">
        <v>45000</v>
      </c>
      <c r="I108" s="2" t="s">
        <v>47</v>
      </c>
      <c r="J108" s="2" t="n">
        <v>14</v>
      </c>
      <c r="K108" s="3"/>
      <c r="L108" s="4" t="n">
        <f aca="false">G108*H108</f>
        <v>13725000</v>
      </c>
      <c r="M108" s="2" t="str">
        <f aca="false">IF(I108="Received",(K108-B108)-J108,"-")</f>
        <v>-</v>
      </c>
      <c r="N108" s="2" t="str">
        <f aca="false">IF(I108="Received",IF(M108&lt;=0,"Tepat Waktu","Terlambat"),"-")</f>
        <v>-</v>
      </c>
    </row>
    <row r="109" customFormat="false" ht="15" hidden="false" customHeight="false" outlineLevel="0" collapsed="false">
      <c r="A109" s="2" t="s">
        <v>404</v>
      </c>
      <c r="B109" s="3" t="s">
        <v>99</v>
      </c>
      <c r="C109" s="2" t="s">
        <v>54</v>
      </c>
      <c r="D109" s="2" t="s">
        <v>285</v>
      </c>
      <c r="E109" s="2" t="s">
        <v>158</v>
      </c>
      <c r="F109" s="2" t="s">
        <v>89</v>
      </c>
      <c r="G109" s="2" t="n">
        <v>56</v>
      </c>
      <c r="H109" s="2" t="n">
        <v>250000</v>
      </c>
      <c r="I109" s="2" t="s">
        <v>31</v>
      </c>
      <c r="J109" s="2" t="n">
        <v>5</v>
      </c>
      <c r="K109" s="3" t="s">
        <v>405</v>
      </c>
      <c r="L109" s="4" t="n">
        <f aca="false">G109*H109</f>
        <v>14000000</v>
      </c>
      <c r="M109" s="2" t="n">
        <f aca="false">IF(I109="Received",(K109-B109)-J109,"-")</f>
        <v>0</v>
      </c>
      <c r="N109" s="2" t="str">
        <f aca="false">IF(I109="Received",IF(M109&lt;=0,"Tepat Waktu","Terlambat"),"-")</f>
        <v>Tepat Waktu</v>
      </c>
    </row>
    <row r="110" customFormat="false" ht="15" hidden="false" customHeight="false" outlineLevel="0" collapsed="false">
      <c r="A110" s="2" t="s">
        <v>406</v>
      </c>
      <c r="B110" s="3" t="s">
        <v>407</v>
      </c>
      <c r="C110" s="2" t="s">
        <v>96</v>
      </c>
      <c r="D110" s="2" t="s">
        <v>408</v>
      </c>
      <c r="E110" s="2" t="s">
        <v>198</v>
      </c>
      <c r="F110" s="2" t="s">
        <v>30</v>
      </c>
      <c r="G110" s="2" t="n">
        <v>367</v>
      </c>
      <c r="H110" s="2" t="n">
        <v>1200000</v>
      </c>
      <c r="I110" s="2" t="s">
        <v>24</v>
      </c>
      <c r="J110" s="2" t="n">
        <v>14</v>
      </c>
      <c r="K110" s="3"/>
      <c r="L110" s="4" t="n">
        <f aca="false">G110*H110</f>
        <v>440400000</v>
      </c>
      <c r="M110" s="2" t="str">
        <f aca="false">IF(I110="Received",(K110-B110)-J110,"-")</f>
        <v>-</v>
      </c>
      <c r="N110" s="2" t="str">
        <f aca="false">IF(I110="Received",IF(M110&lt;=0,"Tepat Waktu","Terlambat"),"-")</f>
        <v>-</v>
      </c>
    </row>
    <row r="111" customFormat="false" ht="15" hidden="false" customHeight="false" outlineLevel="0" collapsed="false">
      <c r="A111" s="2" t="s">
        <v>409</v>
      </c>
      <c r="B111" s="3" t="s">
        <v>410</v>
      </c>
      <c r="C111" s="2" t="s">
        <v>82</v>
      </c>
      <c r="D111" s="2" t="s">
        <v>411</v>
      </c>
      <c r="E111" s="2" t="s">
        <v>114</v>
      </c>
      <c r="F111" s="2" t="s">
        <v>30</v>
      </c>
      <c r="G111" s="2" t="n">
        <v>94</v>
      </c>
      <c r="H111" s="2" t="n">
        <v>500000</v>
      </c>
      <c r="I111" s="2" t="s">
        <v>31</v>
      </c>
      <c r="J111" s="2" t="n">
        <v>7</v>
      </c>
      <c r="K111" s="3" t="s">
        <v>412</v>
      </c>
      <c r="L111" s="4" t="n">
        <f aca="false">G111*H111</f>
        <v>47000000</v>
      </c>
      <c r="M111" s="2" t="n">
        <f aca="false">IF(I111="Received",(K111-B111)-J111,"-")</f>
        <v>0</v>
      </c>
      <c r="N111" s="2" t="str">
        <f aca="false">IF(I111="Received",IF(M111&lt;=0,"Tepat Waktu","Terlambat"),"-")</f>
        <v>Tepat Waktu</v>
      </c>
    </row>
    <row r="112" customFormat="false" ht="15" hidden="false" customHeight="false" outlineLevel="0" collapsed="false">
      <c r="A112" s="2" t="s">
        <v>413</v>
      </c>
      <c r="B112" s="3" t="s">
        <v>286</v>
      </c>
      <c r="C112" s="2" t="s">
        <v>182</v>
      </c>
      <c r="D112" s="2" t="s">
        <v>414</v>
      </c>
      <c r="E112" s="2" t="s">
        <v>114</v>
      </c>
      <c r="F112" s="2" t="s">
        <v>30</v>
      </c>
      <c r="G112" s="2" t="n">
        <v>440</v>
      </c>
      <c r="H112" s="2" t="n">
        <v>15000</v>
      </c>
      <c r="I112" s="2" t="s">
        <v>31</v>
      </c>
      <c r="J112" s="2" t="n">
        <v>7</v>
      </c>
      <c r="K112" s="3" t="s">
        <v>415</v>
      </c>
      <c r="L112" s="4" t="n">
        <f aca="false">G112*H112</f>
        <v>6600000</v>
      </c>
      <c r="M112" s="2" t="n">
        <f aca="false">IF(I112="Received",(K112-B112)-J112,"-")</f>
        <v>1</v>
      </c>
      <c r="N112" s="2" t="str">
        <f aca="false">IF(I112="Received",IF(M112&lt;=0,"Tepat Waktu","Terlambat"),"-")</f>
        <v>Terlambat</v>
      </c>
    </row>
    <row r="113" customFormat="false" ht="15" hidden="false" customHeight="false" outlineLevel="0" collapsed="false">
      <c r="A113" s="2" t="s">
        <v>416</v>
      </c>
      <c r="B113" s="3" t="s">
        <v>279</v>
      </c>
      <c r="C113" s="2" t="s">
        <v>20</v>
      </c>
      <c r="D113" s="2" t="s">
        <v>417</v>
      </c>
      <c r="E113" s="2" t="s">
        <v>243</v>
      </c>
      <c r="F113" s="2" t="s">
        <v>16</v>
      </c>
      <c r="G113" s="2" t="n">
        <v>174</v>
      </c>
      <c r="H113" s="2" t="n">
        <v>25000</v>
      </c>
      <c r="I113" s="2" t="s">
        <v>31</v>
      </c>
      <c r="J113" s="2" t="n">
        <v>7</v>
      </c>
      <c r="K113" s="3" t="s">
        <v>418</v>
      </c>
      <c r="L113" s="4" t="n">
        <f aca="false">G113*H113</f>
        <v>4350000</v>
      </c>
      <c r="M113" s="2" t="n">
        <f aca="false">IF(I113="Received",(K113-B113)-J113,"-")</f>
        <v>0</v>
      </c>
      <c r="N113" s="2" t="str">
        <f aca="false">IF(I113="Received",IF(M113&lt;=0,"Tepat Waktu","Terlambat"),"-")</f>
        <v>Tepat Waktu</v>
      </c>
    </row>
    <row r="114" customFormat="false" ht="15" hidden="false" customHeight="false" outlineLevel="0" collapsed="false">
      <c r="A114" s="2" t="s">
        <v>419</v>
      </c>
      <c r="B114" s="3" t="s">
        <v>420</v>
      </c>
      <c r="C114" s="2" t="s">
        <v>54</v>
      </c>
      <c r="D114" s="2" t="s">
        <v>421</v>
      </c>
      <c r="E114" s="2" t="s">
        <v>198</v>
      </c>
      <c r="F114" s="2" t="s">
        <v>30</v>
      </c>
      <c r="G114" s="2" t="n">
        <v>10</v>
      </c>
      <c r="H114" s="2" t="n">
        <v>120000</v>
      </c>
      <c r="I114" s="2" t="s">
        <v>31</v>
      </c>
      <c r="J114" s="2" t="n">
        <v>3</v>
      </c>
      <c r="K114" s="3" t="s">
        <v>422</v>
      </c>
      <c r="L114" s="4" t="n">
        <f aca="false">G114*H114</f>
        <v>1200000</v>
      </c>
      <c r="M114" s="2" t="n">
        <f aca="false">IF(I114="Received",(K114-B114)-J114,"-")</f>
        <v>3</v>
      </c>
      <c r="N114" s="2" t="str">
        <f aca="false">IF(I114="Received",IF(M114&lt;=0,"Tepat Waktu","Terlambat"),"-")</f>
        <v>Terlambat</v>
      </c>
    </row>
    <row r="115" customFormat="false" ht="15" hidden="false" customHeight="false" outlineLevel="0" collapsed="false">
      <c r="A115" s="2" t="s">
        <v>423</v>
      </c>
      <c r="B115" s="3" t="s">
        <v>326</v>
      </c>
      <c r="C115" s="2" t="s">
        <v>54</v>
      </c>
      <c r="D115" s="2" t="s">
        <v>424</v>
      </c>
      <c r="E115" s="2" t="s">
        <v>294</v>
      </c>
      <c r="F115" s="2" t="s">
        <v>30</v>
      </c>
      <c r="G115" s="2" t="n">
        <v>202</v>
      </c>
      <c r="H115" s="2" t="n">
        <v>850000</v>
      </c>
      <c r="I115" s="2" t="s">
        <v>24</v>
      </c>
      <c r="J115" s="2" t="n">
        <v>5</v>
      </c>
      <c r="K115" s="3"/>
      <c r="L115" s="4" t="n">
        <f aca="false">G115*H115</f>
        <v>171700000</v>
      </c>
      <c r="M115" s="2" t="str">
        <f aca="false">IF(I115="Received",(K115-B115)-J115,"-")</f>
        <v>-</v>
      </c>
      <c r="N115" s="2" t="str">
        <f aca="false">IF(I115="Received",IF(M115&lt;=0,"Tepat Waktu","Terlambat"),"-")</f>
        <v>-</v>
      </c>
    </row>
    <row r="116" customFormat="false" ht="15" hidden="false" customHeight="false" outlineLevel="0" collapsed="false">
      <c r="A116" s="2" t="s">
        <v>425</v>
      </c>
      <c r="B116" s="3" t="s">
        <v>333</v>
      </c>
      <c r="C116" s="2" t="s">
        <v>96</v>
      </c>
      <c r="D116" s="2" t="s">
        <v>426</v>
      </c>
      <c r="E116" s="2" t="s">
        <v>79</v>
      </c>
      <c r="F116" s="2" t="s">
        <v>42</v>
      </c>
      <c r="G116" s="2" t="n">
        <v>197</v>
      </c>
      <c r="H116" s="2" t="n">
        <v>25000</v>
      </c>
      <c r="I116" s="2" t="s">
        <v>47</v>
      </c>
      <c r="J116" s="2" t="n">
        <v>14</v>
      </c>
      <c r="K116" s="3"/>
      <c r="L116" s="4" t="n">
        <f aca="false">G116*H116</f>
        <v>4925000</v>
      </c>
      <c r="M116" s="2" t="str">
        <f aca="false">IF(I116="Received",(K116-B116)-J116,"-")</f>
        <v>-</v>
      </c>
      <c r="N116" s="2" t="str">
        <f aca="false">IF(I116="Received",IF(M116&lt;=0,"Tepat Waktu","Terlambat"),"-")</f>
        <v>-</v>
      </c>
    </row>
    <row r="117" customFormat="false" ht="15" hidden="false" customHeight="false" outlineLevel="0" collapsed="false">
      <c r="A117" s="2" t="s">
        <v>427</v>
      </c>
      <c r="B117" s="3" t="s">
        <v>250</v>
      </c>
      <c r="C117" s="2" t="s">
        <v>82</v>
      </c>
      <c r="D117" s="2" t="s">
        <v>428</v>
      </c>
      <c r="E117" s="2" t="s">
        <v>51</v>
      </c>
      <c r="F117" s="2" t="s">
        <v>23</v>
      </c>
      <c r="G117" s="2" t="n">
        <v>414</v>
      </c>
      <c r="H117" s="2" t="n">
        <v>15000</v>
      </c>
      <c r="I117" s="2" t="s">
        <v>31</v>
      </c>
      <c r="J117" s="2" t="n">
        <v>7</v>
      </c>
      <c r="K117" s="3" t="s">
        <v>282</v>
      </c>
      <c r="L117" s="4" t="n">
        <f aca="false">G117*H117</f>
        <v>6210000</v>
      </c>
      <c r="M117" s="2" t="n">
        <f aca="false">IF(I117="Received",(K117-B117)-J117,"-")</f>
        <v>2</v>
      </c>
      <c r="N117" s="2" t="str">
        <f aca="false">IF(I117="Received",IF(M117&lt;=0,"Tepat Waktu","Terlambat"),"-")</f>
        <v>Terlambat</v>
      </c>
    </row>
    <row r="118" customFormat="false" ht="15" hidden="false" customHeight="false" outlineLevel="0" collapsed="false">
      <c r="A118" s="2" t="s">
        <v>429</v>
      </c>
      <c r="B118" s="3" t="s">
        <v>111</v>
      </c>
      <c r="C118" s="2" t="s">
        <v>54</v>
      </c>
      <c r="D118" s="2" t="s">
        <v>430</v>
      </c>
      <c r="E118" s="2" t="s">
        <v>184</v>
      </c>
      <c r="F118" s="2" t="s">
        <v>89</v>
      </c>
      <c r="G118" s="2" t="n">
        <v>87</v>
      </c>
      <c r="H118" s="2" t="n">
        <v>25000</v>
      </c>
      <c r="I118" s="2" t="s">
        <v>31</v>
      </c>
      <c r="J118" s="2" t="n">
        <v>3</v>
      </c>
      <c r="K118" s="3" t="s">
        <v>431</v>
      </c>
      <c r="L118" s="4" t="n">
        <f aca="false">G118*H118</f>
        <v>2175000</v>
      </c>
      <c r="M118" s="2" t="n">
        <f aca="false">IF(I118="Received",(K118-B118)-J118,"-")</f>
        <v>3</v>
      </c>
      <c r="N118" s="2" t="str">
        <f aca="false">IF(I118="Received",IF(M118&lt;=0,"Tepat Waktu","Terlambat"),"-")</f>
        <v>Terlambat</v>
      </c>
    </row>
    <row r="119" customFormat="false" ht="15" hidden="false" customHeight="false" outlineLevel="0" collapsed="false">
      <c r="A119" s="2" t="s">
        <v>432</v>
      </c>
      <c r="B119" s="3" t="s">
        <v>433</v>
      </c>
      <c r="C119" s="2" t="s">
        <v>20</v>
      </c>
      <c r="D119" s="2" t="s">
        <v>434</v>
      </c>
      <c r="E119" s="2" t="s">
        <v>69</v>
      </c>
      <c r="F119" s="2" t="s">
        <v>42</v>
      </c>
      <c r="G119" s="2" t="n">
        <v>487</v>
      </c>
      <c r="H119" s="2" t="n">
        <v>45000</v>
      </c>
      <c r="I119" s="2" t="s">
        <v>24</v>
      </c>
      <c r="J119" s="2" t="n">
        <v>10</v>
      </c>
      <c r="K119" s="3"/>
      <c r="L119" s="4" t="n">
        <f aca="false">G119*H119</f>
        <v>21915000</v>
      </c>
      <c r="M119" s="2" t="str">
        <f aca="false">IF(I119="Received",(K119-B119)-J119,"-")</f>
        <v>-</v>
      </c>
      <c r="N119" s="2" t="str">
        <f aca="false">IF(I119="Received",IF(M119&lt;=0,"Tepat Waktu","Terlambat"),"-")</f>
        <v>-</v>
      </c>
    </row>
    <row r="120" customFormat="false" ht="15" hidden="false" customHeight="false" outlineLevel="0" collapsed="false">
      <c r="A120" s="2" t="s">
        <v>435</v>
      </c>
      <c r="B120" s="3" t="s">
        <v>436</v>
      </c>
      <c r="C120" s="2" t="s">
        <v>182</v>
      </c>
      <c r="D120" s="2" t="s">
        <v>437</v>
      </c>
      <c r="E120" s="2" t="s">
        <v>162</v>
      </c>
      <c r="F120" s="2" t="s">
        <v>16</v>
      </c>
      <c r="G120" s="2" t="n">
        <v>102</v>
      </c>
      <c r="H120" s="2" t="n">
        <v>500000</v>
      </c>
      <c r="I120" s="2" t="s">
        <v>24</v>
      </c>
      <c r="J120" s="2" t="n">
        <v>14</v>
      </c>
      <c r="K120" s="3"/>
      <c r="L120" s="4" t="n">
        <f aca="false">G120*H120</f>
        <v>51000000</v>
      </c>
      <c r="M120" s="2" t="str">
        <f aca="false">IF(I120="Received",(K120-B120)-J120,"-")</f>
        <v>-</v>
      </c>
      <c r="N120" s="2" t="str">
        <f aca="false">IF(I120="Received",IF(M120&lt;=0,"Tepat Waktu","Terlambat"),"-")</f>
        <v>-</v>
      </c>
    </row>
    <row r="121" customFormat="false" ht="15" hidden="false" customHeight="false" outlineLevel="0" collapsed="false">
      <c r="A121" s="2" t="s">
        <v>438</v>
      </c>
      <c r="B121" s="3" t="s">
        <v>84</v>
      </c>
      <c r="C121" s="2" t="s">
        <v>39</v>
      </c>
      <c r="D121" s="2" t="s">
        <v>439</v>
      </c>
      <c r="E121" s="2" t="s">
        <v>184</v>
      </c>
      <c r="F121" s="2" t="s">
        <v>89</v>
      </c>
      <c r="G121" s="2" t="n">
        <v>30</v>
      </c>
      <c r="H121" s="2" t="n">
        <v>500000</v>
      </c>
      <c r="I121" s="2" t="s">
        <v>24</v>
      </c>
      <c r="J121" s="2" t="n">
        <v>10</v>
      </c>
      <c r="K121" s="3"/>
      <c r="L121" s="4" t="n">
        <f aca="false">G121*H121</f>
        <v>15000000</v>
      </c>
      <c r="M121" s="2" t="str">
        <f aca="false">IF(I121="Received",(K121-B121)-J121,"-")</f>
        <v>-</v>
      </c>
      <c r="N121" s="2" t="str">
        <f aca="false">IF(I121="Received",IF(M121&lt;=0,"Tepat Waktu","Terlambat"),"-")</f>
        <v>-</v>
      </c>
    </row>
    <row r="122" customFormat="false" ht="15" hidden="false" customHeight="false" outlineLevel="0" collapsed="false">
      <c r="A122" s="2" t="s">
        <v>440</v>
      </c>
      <c r="B122" s="3" t="s">
        <v>441</v>
      </c>
      <c r="C122" s="2" t="s">
        <v>182</v>
      </c>
      <c r="D122" s="2" t="s">
        <v>442</v>
      </c>
      <c r="E122" s="2" t="s">
        <v>443</v>
      </c>
      <c r="F122" s="2" t="s">
        <v>89</v>
      </c>
      <c r="G122" s="2" t="n">
        <v>49</v>
      </c>
      <c r="H122" s="2" t="n">
        <v>120000</v>
      </c>
      <c r="I122" s="2" t="s">
        <v>47</v>
      </c>
      <c r="J122" s="2" t="n">
        <v>14</v>
      </c>
      <c r="K122" s="3"/>
      <c r="L122" s="4" t="n">
        <f aca="false">G122*H122</f>
        <v>5880000</v>
      </c>
      <c r="M122" s="2" t="str">
        <f aca="false">IF(I122="Received",(K122-B122)-J122,"-")</f>
        <v>-</v>
      </c>
      <c r="N122" s="2" t="str">
        <f aca="false">IF(I122="Received",IF(M122&lt;=0,"Tepat Waktu","Terlambat"),"-")</f>
        <v>-</v>
      </c>
    </row>
    <row r="123" customFormat="false" ht="15" hidden="false" customHeight="false" outlineLevel="0" collapsed="false">
      <c r="A123" s="2" t="s">
        <v>444</v>
      </c>
      <c r="B123" s="3" t="s">
        <v>445</v>
      </c>
      <c r="C123" s="2" t="s">
        <v>82</v>
      </c>
      <c r="D123" s="2" t="s">
        <v>446</v>
      </c>
      <c r="E123" s="2" t="s">
        <v>56</v>
      </c>
      <c r="F123" s="2" t="s">
        <v>16</v>
      </c>
      <c r="G123" s="2" t="n">
        <v>92</v>
      </c>
      <c r="H123" s="2" t="n">
        <v>120000</v>
      </c>
      <c r="I123" s="2" t="s">
        <v>17</v>
      </c>
      <c r="J123" s="2" t="n">
        <v>10</v>
      </c>
      <c r="K123" s="3"/>
      <c r="L123" s="4" t="n">
        <f aca="false">G123*H123</f>
        <v>11040000</v>
      </c>
      <c r="M123" s="2" t="str">
        <f aca="false">IF(I123="Received",(K123-B123)-J123,"-")</f>
        <v>-</v>
      </c>
      <c r="N123" s="2" t="str">
        <f aca="false">IF(I123="Received",IF(M123&lt;=0,"Tepat Waktu","Terlambat"),"-")</f>
        <v>-</v>
      </c>
    </row>
    <row r="124" customFormat="false" ht="15" hidden="false" customHeight="false" outlineLevel="0" collapsed="false">
      <c r="A124" s="2" t="s">
        <v>447</v>
      </c>
      <c r="B124" s="3" t="s">
        <v>431</v>
      </c>
      <c r="C124" s="2" t="s">
        <v>39</v>
      </c>
      <c r="D124" s="2" t="s">
        <v>448</v>
      </c>
      <c r="E124" s="2" t="s">
        <v>41</v>
      </c>
      <c r="F124" s="2" t="s">
        <v>42</v>
      </c>
      <c r="G124" s="2" t="n">
        <v>463</v>
      </c>
      <c r="H124" s="2" t="n">
        <v>120000</v>
      </c>
      <c r="I124" s="2" t="s">
        <v>31</v>
      </c>
      <c r="J124" s="2" t="n">
        <v>14</v>
      </c>
      <c r="K124" s="3" t="s">
        <v>449</v>
      </c>
      <c r="L124" s="4" t="n">
        <f aca="false">G124*H124</f>
        <v>55560000</v>
      </c>
      <c r="M124" s="2" t="n">
        <f aca="false">IF(I124="Received",(K124-B124)-J124,"-")</f>
        <v>4</v>
      </c>
      <c r="N124" s="2" t="str">
        <f aca="false">IF(I124="Received",IF(M124&lt;=0,"Tepat Waktu","Terlambat"),"-")</f>
        <v>Terlambat</v>
      </c>
    </row>
    <row r="125" customFormat="false" ht="15" hidden="false" customHeight="false" outlineLevel="0" collapsed="false">
      <c r="A125" s="2" t="s">
        <v>450</v>
      </c>
      <c r="B125" s="3" t="s">
        <v>451</v>
      </c>
      <c r="C125" s="2" t="s">
        <v>13</v>
      </c>
      <c r="D125" s="2" t="s">
        <v>452</v>
      </c>
      <c r="E125" s="2" t="s">
        <v>79</v>
      </c>
      <c r="F125" s="2" t="s">
        <v>42</v>
      </c>
      <c r="G125" s="2" t="n">
        <v>233</v>
      </c>
      <c r="H125" s="2" t="n">
        <v>15000</v>
      </c>
      <c r="I125" s="2" t="s">
        <v>31</v>
      </c>
      <c r="J125" s="2" t="n">
        <v>10</v>
      </c>
      <c r="K125" s="3" t="s">
        <v>453</v>
      </c>
      <c r="L125" s="4" t="n">
        <f aca="false">G125*H125</f>
        <v>3495000</v>
      </c>
      <c r="M125" s="2" t="n">
        <f aca="false">IF(I125="Received",(K125-B125)-J125,"-")</f>
        <v>2</v>
      </c>
      <c r="N125" s="2" t="str">
        <f aca="false">IF(I125="Received",IF(M125&lt;=0,"Tepat Waktu","Terlambat"),"-")</f>
        <v>Terlambat</v>
      </c>
    </row>
    <row r="126" customFormat="false" ht="15" hidden="false" customHeight="false" outlineLevel="0" collapsed="false">
      <c r="A126" s="2" t="s">
        <v>454</v>
      </c>
      <c r="B126" s="3" t="s">
        <v>350</v>
      </c>
      <c r="C126" s="2" t="s">
        <v>39</v>
      </c>
      <c r="D126" s="2" t="s">
        <v>455</v>
      </c>
      <c r="E126" s="2" t="s">
        <v>64</v>
      </c>
      <c r="F126" s="2" t="s">
        <v>65</v>
      </c>
      <c r="G126" s="2" t="n">
        <v>390</v>
      </c>
      <c r="H126" s="2" t="n">
        <v>25000</v>
      </c>
      <c r="I126" s="2" t="s">
        <v>31</v>
      </c>
      <c r="J126" s="2" t="n">
        <v>7</v>
      </c>
      <c r="K126" s="3" t="s">
        <v>81</v>
      </c>
      <c r="L126" s="4" t="n">
        <f aca="false">G126*H126</f>
        <v>9750000</v>
      </c>
      <c r="M126" s="2" t="n">
        <f aca="false">IF(I126="Received",(K126-B126)-J126,"-")</f>
        <v>6</v>
      </c>
      <c r="N126" s="2" t="str">
        <f aca="false">IF(I126="Received",IF(M126&lt;=0,"Tepat Waktu","Terlambat"),"-")</f>
        <v>Terlambat</v>
      </c>
    </row>
    <row r="127" customFormat="false" ht="15" hidden="false" customHeight="false" outlineLevel="0" collapsed="false">
      <c r="A127" s="2" t="s">
        <v>456</v>
      </c>
      <c r="B127" s="3" t="s">
        <v>333</v>
      </c>
      <c r="C127" s="2" t="s">
        <v>20</v>
      </c>
      <c r="D127" s="2" t="s">
        <v>457</v>
      </c>
      <c r="E127" s="2" t="s">
        <v>22</v>
      </c>
      <c r="F127" s="2" t="s">
        <v>23</v>
      </c>
      <c r="G127" s="2" t="n">
        <v>435</v>
      </c>
      <c r="H127" s="2" t="n">
        <v>500000</v>
      </c>
      <c r="I127" s="2" t="s">
        <v>47</v>
      </c>
      <c r="J127" s="2" t="n">
        <v>10</v>
      </c>
      <c r="K127" s="3"/>
      <c r="L127" s="4" t="n">
        <f aca="false">G127*H127</f>
        <v>217500000</v>
      </c>
      <c r="M127" s="2" t="str">
        <f aca="false">IF(I127="Received",(K127-B127)-J127,"-")</f>
        <v>-</v>
      </c>
      <c r="N127" s="2" t="str">
        <f aca="false">IF(I127="Received",IF(M127&lt;=0,"Tepat Waktu","Terlambat"),"-")</f>
        <v>-</v>
      </c>
    </row>
    <row r="128" customFormat="false" ht="15" hidden="false" customHeight="false" outlineLevel="0" collapsed="false">
      <c r="A128" s="2" t="s">
        <v>458</v>
      </c>
      <c r="B128" s="3" t="s">
        <v>459</v>
      </c>
      <c r="C128" s="2" t="s">
        <v>96</v>
      </c>
      <c r="D128" s="2" t="s">
        <v>460</v>
      </c>
      <c r="E128" s="2" t="s">
        <v>94</v>
      </c>
      <c r="F128" s="2" t="s">
        <v>65</v>
      </c>
      <c r="G128" s="2" t="n">
        <v>158</v>
      </c>
      <c r="H128" s="2" t="n">
        <v>25000</v>
      </c>
      <c r="I128" s="2" t="s">
        <v>31</v>
      </c>
      <c r="J128" s="2" t="n">
        <v>3</v>
      </c>
      <c r="K128" s="3" t="s">
        <v>461</v>
      </c>
      <c r="L128" s="4" t="n">
        <f aca="false">G128*H128</f>
        <v>3950000</v>
      </c>
      <c r="M128" s="2" t="n">
        <f aca="false">IF(I128="Received",(K128-B128)-J128,"-")</f>
        <v>6</v>
      </c>
      <c r="N128" s="2" t="str">
        <f aca="false">IF(I128="Received",IF(M128&lt;=0,"Tepat Waktu","Terlambat"),"-")</f>
        <v>Terlambat</v>
      </c>
    </row>
    <row r="129" customFormat="false" ht="15" hidden="false" customHeight="false" outlineLevel="0" collapsed="false">
      <c r="A129" s="2" t="s">
        <v>462</v>
      </c>
      <c r="B129" s="3" t="s">
        <v>71</v>
      </c>
      <c r="C129" s="2" t="s">
        <v>72</v>
      </c>
      <c r="D129" s="2" t="s">
        <v>463</v>
      </c>
      <c r="E129" s="2" t="s">
        <v>281</v>
      </c>
      <c r="F129" s="2" t="s">
        <v>65</v>
      </c>
      <c r="G129" s="2" t="n">
        <v>66</v>
      </c>
      <c r="H129" s="2" t="n">
        <v>850000</v>
      </c>
      <c r="I129" s="2" t="s">
        <v>31</v>
      </c>
      <c r="J129" s="2" t="n">
        <v>5</v>
      </c>
      <c r="K129" s="3" t="s">
        <v>464</v>
      </c>
      <c r="L129" s="4" t="n">
        <f aca="false">G129*H129</f>
        <v>56100000</v>
      </c>
      <c r="M129" s="2" t="n">
        <f aca="false">IF(I129="Received",(K129-B129)-J129,"-")</f>
        <v>1</v>
      </c>
      <c r="N129" s="2" t="str">
        <f aca="false">IF(I129="Received",IF(M129&lt;=0,"Tepat Waktu","Terlambat"),"-")</f>
        <v>Terlambat</v>
      </c>
    </row>
    <row r="130" customFormat="false" ht="15" hidden="false" customHeight="false" outlineLevel="0" collapsed="false">
      <c r="A130" s="2" t="s">
        <v>465</v>
      </c>
      <c r="B130" s="3" t="s">
        <v>415</v>
      </c>
      <c r="C130" s="2" t="s">
        <v>77</v>
      </c>
      <c r="D130" s="2" t="s">
        <v>466</v>
      </c>
      <c r="E130" s="2" t="s">
        <v>243</v>
      </c>
      <c r="F130" s="2" t="s">
        <v>16</v>
      </c>
      <c r="G130" s="2" t="n">
        <v>354</v>
      </c>
      <c r="H130" s="2" t="n">
        <v>500000</v>
      </c>
      <c r="I130" s="2" t="s">
        <v>31</v>
      </c>
      <c r="J130" s="2" t="n">
        <v>5</v>
      </c>
      <c r="K130" s="3" t="s">
        <v>201</v>
      </c>
      <c r="L130" s="4" t="n">
        <f aca="false">G130*H130</f>
        <v>177000000</v>
      </c>
      <c r="M130" s="2" t="n">
        <f aca="false">IF(I130="Received",(K130-B130)-J130,"-")</f>
        <v>2</v>
      </c>
      <c r="N130" s="2" t="str">
        <f aca="false">IF(I130="Received",IF(M130&lt;=0,"Tepat Waktu","Terlambat"),"-")</f>
        <v>Terlambat</v>
      </c>
    </row>
    <row r="131" customFormat="false" ht="15" hidden="false" customHeight="false" outlineLevel="0" collapsed="false">
      <c r="A131" s="2" t="s">
        <v>467</v>
      </c>
      <c r="B131" s="3" t="s">
        <v>313</v>
      </c>
      <c r="C131" s="2" t="s">
        <v>54</v>
      </c>
      <c r="D131" s="2" t="s">
        <v>468</v>
      </c>
      <c r="E131" s="2" t="s">
        <v>243</v>
      </c>
      <c r="F131" s="2" t="s">
        <v>16</v>
      </c>
      <c r="G131" s="2" t="n">
        <v>208</v>
      </c>
      <c r="H131" s="2" t="n">
        <v>1200000</v>
      </c>
      <c r="I131" s="2" t="s">
        <v>31</v>
      </c>
      <c r="J131" s="2" t="n">
        <v>7</v>
      </c>
      <c r="K131" s="3" t="s">
        <v>469</v>
      </c>
      <c r="L131" s="4" t="n">
        <f aca="false">G131*H131</f>
        <v>249600000</v>
      </c>
      <c r="M131" s="2" t="n">
        <f aca="false">IF(I131="Received",(K131-B131)-J131,"-")</f>
        <v>6</v>
      </c>
      <c r="N131" s="2" t="str">
        <f aca="false">IF(I131="Received",IF(M131&lt;=0,"Tepat Waktu","Terlambat"),"-")</f>
        <v>Terlambat</v>
      </c>
    </row>
    <row r="132" customFormat="false" ht="15" hidden="false" customHeight="false" outlineLevel="0" collapsed="false">
      <c r="A132" s="2" t="s">
        <v>470</v>
      </c>
      <c r="B132" s="3" t="s">
        <v>156</v>
      </c>
      <c r="C132" s="2" t="s">
        <v>182</v>
      </c>
      <c r="D132" s="2" t="s">
        <v>471</v>
      </c>
      <c r="E132" s="2" t="s">
        <v>114</v>
      </c>
      <c r="F132" s="2" t="s">
        <v>30</v>
      </c>
      <c r="G132" s="2" t="n">
        <v>272</v>
      </c>
      <c r="H132" s="2" t="n">
        <v>500000</v>
      </c>
      <c r="I132" s="2" t="s">
        <v>31</v>
      </c>
      <c r="J132" s="2" t="n">
        <v>5</v>
      </c>
      <c r="K132" s="3" t="s">
        <v>472</v>
      </c>
      <c r="L132" s="4" t="n">
        <f aca="false">G132*H132</f>
        <v>136000000</v>
      </c>
      <c r="M132" s="2" t="n">
        <f aca="false">IF(I132="Received",(K132-B132)-J132,"-")</f>
        <v>0</v>
      </c>
      <c r="N132" s="2" t="str">
        <f aca="false">IF(I132="Received",IF(M132&lt;=0,"Tepat Waktu","Terlambat"),"-")</f>
        <v>Tepat Waktu</v>
      </c>
    </row>
    <row r="133" customFormat="false" ht="15" hidden="false" customHeight="false" outlineLevel="0" collapsed="false">
      <c r="A133" s="2" t="s">
        <v>473</v>
      </c>
      <c r="B133" s="3" t="s">
        <v>474</v>
      </c>
      <c r="C133" s="2" t="s">
        <v>20</v>
      </c>
      <c r="D133" s="2" t="s">
        <v>475</v>
      </c>
      <c r="E133" s="2" t="s">
        <v>64</v>
      </c>
      <c r="F133" s="2" t="s">
        <v>65</v>
      </c>
      <c r="G133" s="2" t="n">
        <v>293</v>
      </c>
      <c r="H133" s="2" t="n">
        <v>25000</v>
      </c>
      <c r="I133" s="2" t="s">
        <v>47</v>
      </c>
      <c r="J133" s="2" t="n">
        <v>14</v>
      </c>
      <c r="K133" s="3"/>
      <c r="L133" s="4" t="n">
        <f aca="false">G133*H133</f>
        <v>7325000</v>
      </c>
      <c r="M133" s="2" t="str">
        <f aca="false">IF(I133="Received",(K133-B133)-J133,"-")</f>
        <v>-</v>
      </c>
      <c r="N133" s="2" t="str">
        <f aca="false">IF(I133="Received",IF(M133&lt;=0,"Tepat Waktu","Terlambat"),"-")</f>
        <v>-</v>
      </c>
    </row>
    <row r="134" customFormat="false" ht="15" hidden="false" customHeight="false" outlineLevel="0" collapsed="false">
      <c r="A134" s="2" t="s">
        <v>476</v>
      </c>
      <c r="B134" s="3" t="s">
        <v>469</v>
      </c>
      <c r="C134" s="2" t="s">
        <v>27</v>
      </c>
      <c r="D134" s="2" t="s">
        <v>477</v>
      </c>
      <c r="E134" s="2" t="s">
        <v>158</v>
      </c>
      <c r="F134" s="2" t="s">
        <v>89</v>
      </c>
      <c r="G134" s="2" t="n">
        <v>253</v>
      </c>
      <c r="H134" s="2" t="n">
        <v>850000</v>
      </c>
      <c r="I134" s="2" t="s">
        <v>31</v>
      </c>
      <c r="J134" s="2" t="n">
        <v>7</v>
      </c>
      <c r="K134" s="3" t="s">
        <v>478</v>
      </c>
      <c r="L134" s="4" t="n">
        <f aca="false">G134*H134</f>
        <v>215050000</v>
      </c>
      <c r="M134" s="2" t="n">
        <f aca="false">IF(I134="Received",(K134-B134)-J134,"-")</f>
        <v>4</v>
      </c>
      <c r="N134" s="2" t="str">
        <f aca="false">IF(I134="Received",IF(M134&lt;=0,"Tepat Waktu","Terlambat"),"-")</f>
        <v>Terlambat</v>
      </c>
    </row>
    <row r="135" customFormat="false" ht="15" hidden="false" customHeight="false" outlineLevel="0" collapsed="false">
      <c r="A135" s="2" t="s">
        <v>479</v>
      </c>
      <c r="B135" s="3" t="s">
        <v>480</v>
      </c>
      <c r="C135" s="2" t="s">
        <v>20</v>
      </c>
      <c r="D135" s="2" t="s">
        <v>481</v>
      </c>
      <c r="E135" s="2" t="s">
        <v>110</v>
      </c>
      <c r="F135" s="2" t="s">
        <v>65</v>
      </c>
      <c r="G135" s="2" t="n">
        <v>207</v>
      </c>
      <c r="H135" s="2" t="n">
        <v>250000</v>
      </c>
      <c r="I135" s="2" t="s">
        <v>24</v>
      </c>
      <c r="J135" s="2" t="n">
        <v>3</v>
      </c>
      <c r="K135" s="3"/>
      <c r="L135" s="4" t="n">
        <f aca="false">G135*H135</f>
        <v>51750000</v>
      </c>
      <c r="M135" s="2" t="str">
        <f aca="false">IF(I135="Received",(K135-B135)-J135,"-")</f>
        <v>-</v>
      </c>
      <c r="N135" s="2" t="str">
        <f aca="false">IF(I135="Received",IF(M135&lt;=0,"Tepat Waktu","Terlambat"),"-")</f>
        <v>-</v>
      </c>
    </row>
    <row r="136" customFormat="false" ht="15" hidden="false" customHeight="false" outlineLevel="0" collapsed="false">
      <c r="A136" s="2" t="s">
        <v>482</v>
      </c>
      <c r="B136" s="3" t="s">
        <v>483</v>
      </c>
      <c r="C136" s="2" t="s">
        <v>39</v>
      </c>
      <c r="D136" s="2" t="s">
        <v>484</v>
      </c>
      <c r="E136" s="2" t="s">
        <v>443</v>
      </c>
      <c r="F136" s="2" t="s">
        <v>89</v>
      </c>
      <c r="G136" s="2" t="n">
        <v>423</v>
      </c>
      <c r="H136" s="2" t="n">
        <v>120000</v>
      </c>
      <c r="I136" s="2" t="s">
        <v>31</v>
      </c>
      <c r="J136" s="2" t="n">
        <v>10</v>
      </c>
      <c r="K136" s="3" t="s">
        <v>396</v>
      </c>
      <c r="L136" s="4" t="n">
        <f aca="false">G136*H136</f>
        <v>50760000</v>
      </c>
      <c r="M136" s="2" t="n">
        <f aca="false">IF(I136="Received",(K136-B136)-J136,"-")</f>
        <v>-1</v>
      </c>
      <c r="N136" s="2" t="str">
        <f aca="false">IF(I136="Received",IF(M136&lt;=0,"Tepat Waktu","Terlambat"),"-")</f>
        <v>Tepat Waktu</v>
      </c>
    </row>
    <row r="137" customFormat="false" ht="15" hidden="false" customHeight="false" outlineLevel="0" collapsed="false">
      <c r="A137" s="2" t="s">
        <v>485</v>
      </c>
      <c r="B137" s="3" t="s">
        <v>486</v>
      </c>
      <c r="C137" s="2" t="s">
        <v>77</v>
      </c>
      <c r="D137" s="2" t="s">
        <v>487</v>
      </c>
      <c r="E137" s="2" t="s">
        <v>158</v>
      </c>
      <c r="F137" s="2" t="s">
        <v>89</v>
      </c>
      <c r="G137" s="2" t="n">
        <v>427</v>
      </c>
      <c r="H137" s="2" t="n">
        <v>250000</v>
      </c>
      <c r="I137" s="2" t="s">
        <v>31</v>
      </c>
      <c r="J137" s="2" t="n">
        <v>10</v>
      </c>
      <c r="K137" s="3" t="s">
        <v>324</v>
      </c>
      <c r="L137" s="4" t="n">
        <f aca="false">G137*H137</f>
        <v>106750000</v>
      </c>
      <c r="M137" s="2" t="n">
        <f aca="false">IF(I137="Received",(K137-B137)-J137,"-")</f>
        <v>-1</v>
      </c>
      <c r="N137" s="2" t="str">
        <f aca="false">IF(I137="Received",IF(M137&lt;=0,"Tepat Waktu","Terlambat"),"-")</f>
        <v>Tepat Waktu</v>
      </c>
    </row>
    <row r="138" customFormat="false" ht="15" hidden="false" customHeight="false" outlineLevel="0" collapsed="false">
      <c r="A138" s="2" t="s">
        <v>488</v>
      </c>
      <c r="B138" s="3" t="s">
        <v>489</v>
      </c>
      <c r="C138" s="2" t="s">
        <v>96</v>
      </c>
      <c r="D138" s="2" t="s">
        <v>490</v>
      </c>
      <c r="E138" s="2" t="s">
        <v>51</v>
      </c>
      <c r="F138" s="2" t="s">
        <v>23</v>
      </c>
      <c r="G138" s="2" t="n">
        <v>253</v>
      </c>
      <c r="H138" s="2" t="n">
        <v>1200000</v>
      </c>
      <c r="I138" s="2" t="s">
        <v>47</v>
      </c>
      <c r="J138" s="2" t="n">
        <v>3</v>
      </c>
      <c r="K138" s="3"/>
      <c r="L138" s="4" t="n">
        <f aca="false">G138*H138</f>
        <v>303600000</v>
      </c>
      <c r="M138" s="2" t="str">
        <f aca="false">IF(I138="Received",(K138-B138)-J138,"-")</f>
        <v>-</v>
      </c>
      <c r="N138" s="2" t="str">
        <f aca="false">IF(I138="Received",IF(M138&lt;=0,"Tepat Waktu","Terlambat"),"-")</f>
        <v>-</v>
      </c>
    </row>
    <row r="139" customFormat="false" ht="15" hidden="false" customHeight="false" outlineLevel="0" collapsed="false">
      <c r="A139" s="2" t="s">
        <v>491</v>
      </c>
      <c r="B139" s="3" t="s">
        <v>216</v>
      </c>
      <c r="C139" s="2" t="s">
        <v>77</v>
      </c>
      <c r="D139" s="2" t="s">
        <v>492</v>
      </c>
      <c r="E139" s="2" t="s">
        <v>162</v>
      </c>
      <c r="F139" s="2" t="s">
        <v>16</v>
      </c>
      <c r="G139" s="2" t="n">
        <v>264</v>
      </c>
      <c r="H139" s="2" t="n">
        <v>500000</v>
      </c>
      <c r="I139" s="2" t="s">
        <v>31</v>
      </c>
      <c r="J139" s="2" t="n">
        <v>14</v>
      </c>
      <c r="K139" s="3" t="s">
        <v>493</v>
      </c>
      <c r="L139" s="4" t="n">
        <f aca="false">G139*H139</f>
        <v>132000000</v>
      </c>
      <c r="M139" s="2" t="n">
        <f aca="false">IF(I139="Received",(K139-B139)-J139,"-")</f>
        <v>-2</v>
      </c>
      <c r="N139" s="2" t="str">
        <f aca="false">IF(I139="Received",IF(M139&lt;=0,"Tepat Waktu","Terlambat"),"-")</f>
        <v>Tepat Waktu</v>
      </c>
    </row>
    <row r="140" customFormat="false" ht="15" hidden="false" customHeight="false" outlineLevel="0" collapsed="false">
      <c r="A140" s="2" t="s">
        <v>494</v>
      </c>
      <c r="B140" s="3" t="s">
        <v>368</v>
      </c>
      <c r="C140" s="2" t="s">
        <v>82</v>
      </c>
      <c r="D140" s="2" t="s">
        <v>495</v>
      </c>
      <c r="E140" s="2" t="s">
        <v>36</v>
      </c>
      <c r="F140" s="2" t="s">
        <v>23</v>
      </c>
      <c r="G140" s="2" t="n">
        <v>21</v>
      </c>
      <c r="H140" s="2" t="n">
        <v>850000</v>
      </c>
      <c r="I140" s="2" t="s">
        <v>31</v>
      </c>
      <c r="J140" s="2" t="n">
        <v>7</v>
      </c>
      <c r="K140" s="3" t="s">
        <v>489</v>
      </c>
      <c r="L140" s="4" t="n">
        <f aca="false">G140*H140</f>
        <v>17850000</v>
      </c>
      <c r="M140" s="2" t="n">
        <f aca="false">IF(I140="Received",(K140-B140)-J140,"-")</f>
        <v>1</v>
      </c>
      <c r="N140" s="2" t="str">
        <f aca="false">IF(I140="Received",IF(M140&lt;=0,"Tepat Waktu","Terlambat"),"-")</f>
        <v>Terlambat</v>
      </c>
    </row>
    <row r="141" customFormat="false" ht="15" hidden="false" customHeight="false" outlineLevel="0" collapsed="false">
      <c r="A141" s="2" t="s">
        <v>496</v>
      </c>
      <c r="B141" s="3" t="s">
        <v>379</v>
      </c>
      <c r="C141" s="2" t="s">
        <v>13</v>
      </c>
      <c r="D141" s="2" t="s">
        <v>497</v>
      </c>
      <c r="E141" s="2" t="s">
        <v>386</v>
      </c>
      <c r="F141" s="2" t="s">
        <v>42</v>
      </c>
      <c r="G141" s="2" t="n">
        <v>330</v>
      </c>
      <c r="H141" s="2" t="n">
        <v>25000</v>
      </c>
      <c r="I141" s="2" t="s">
        <v>24</v>
      </c>
      <c r="J141" s="2" t="n">
        <v>5</v>
      </c>
      <c r="K141" s="3"/>
      <c r="L141" s="4" t="n">
        <f aca="false">G141*H141</f>
        <v>8250000</v>
      </c>
      <c r="M141" s="2" t="str">
        <f aca="false">IF(I141="Received",(K141-B141)-J141,"-")</f>
        <v>-</v>
      </c>
      <c r="N141" s="2" t="str">
        <f aca="false">IF(I141="Received",IF(M141&lt;=0,"Tepat Waktu","Terlambat"),"-")</f>
        <v>-</v>
      </c>
    </row>
    <row r="142" customFormat="false" ht="15" hidden="false" customHeight="false" outlineLevel="0" collapsed="false">
      <c r="A142" s="2" t="s">
        <v>498</v>
      </c>
      <c r="B142" s="3" t="s">
        <v>296</v>
      </c>
      <c r="C142" s="2" t="s">
        <v>96</v>
      </c>
      <c r="D142" s="2" t="s">
        <v>499</v>
      </c>
      <c r="E142" s="2" t="s">
        <v>110</v>
      </c>
      <c r="F142" s="2" t="s">
        <v>65</v>
      </c>
      <c r="G142" s="2" t="n">
        <v>496</v>
      </c>
      <c r="H142" s="2" t="n">
        <v>850000</v>
      </c>
      <c r="I142" s="2" t="s">
        <v>24</v>
      </c>
      <c r="J142" s="2" t="n">
        <v>7</v>
      </c>
      <c r="K142" s="3"/>
      <c r="L142" s="4" t="n">
        <f aca="false">G142*H142</f>
        <v>421600000</v>
      </c>
      <c r="M142" s="2" t="str">
        <f aca="false">IF(I142="Received",(K142-B142)-J142,"-")</f>
        <v>-</v>
      </c>
      <c r="N142" s="2" t="str">
        <f aca="false">IF(I142="Received",IF(M142&lt;=0,"Tepat Waktu","Terlambat"),"-")</f>
        <v>-</v>
      </c>
    </row>
    <row r="143" customFormat="false" ht="15" hidden="false" customHeight="false" outlineLevel="0" collapsed="false">
      <c r="A143" s="2" t="s">
        <v>500</v>
      </c>
      <c r="B143" s="3" t="s">
        <v>469</v>
      </c>
      <c r="C143" s="2" t="s">
        <v>77</v>
      </c>
      <c r="D143" s="2" t="s">
        <v>501</v>
      </c>
      <c r="E143" s="2" t="s">
        <v>443</v>
      </c>
      <c r="F143" s="2" t="s">
        <v>89</v>
      </c>
      <c r="G143" s="2" t="n">
        <v>19</v>
      </c>
      <c r="H143" s="2" t="n">
        <v>500000</v>
      </c>
      <c r="I143" s="2" t="s">
        <v>31</v>
      </c>
      <c r="J143" s="2" t="n">
        <v>14</v>
      </c>
      <c r="K143" s="3" t="s">
        <v>405</v>
      </c>
      <c r="L143" s="4" t="n">
        <f aca="false">G143*H143</f>
        <v>9500000</v>
      </c>
      <c r="M143" s="2" t="n">
        <f aca="false">IF(I143="Received",(K143-B143)-J143,"-")</f>
        <v>1</v>
      </c>
      <c r="N143" s="2" t="str">
        <f aca="false">IF(I143="Received",IF(M143&lt;=0,"Tepat Waktu","Terlambat"),"-")</f>
        <v>Terlambat</v>
      </c>
    </row>
    <row r="144" customFormat="false" ht="15" hidden="false" customHeight="false" outlineLevel="0" collapsed="false">
      <c r="A144" s="2" t="s">
        <v>502</v>
      </c>
      <c r="B144" s="3" t="s">
        <v>199</v>
      </c>
      <c r="C144" s="2" t="s">
        <v>82</v>
      </c>
      <c r="D144" s="2" t="s">
        <v>503</v>
      </c>
      <c r="E144" s="2" t="s">
        <v>29</v>
      </c>
      <c r="F144" s="2" t="s">
        <v>30</v>
      </c>
      <c r="G144" s="2" t="n">
        <v>338</v>
      </c>
      <c r="H144" s="2" t="n">
        <v>500000</v>
      </c>
      <c r="I144" s="2" t="s">
        <v>31</v>
      </c>
      <c r="J144" s="2" t="n">
        <v>3</v>
      </c>
      <c r="K144" s="3" t="s">
        <v>504</v>
      </c>
      <c r="L144" s="4" t="n">
        <f aca="false">G144*H144</f>
        <v>169000000</v>
      </c>
      <c r="M144" s="2" t="n">
        <f aca="false">IF(I144="Received",(K144-B144)-J144,"-")</f>
        <v>5</v>
      </c>
      <c r="N144" s="2" t="str">
        <f aca="false">IF(I144="Received",IF(M144&lt;=0,"Tepat Waktu","Terlambat"),"-")</f>
        <v>Terlambat</v>
      </c>
    </row>
    <row r="145" customFormat="false" ht="15" hidden="false" customHeight="false" outlineLevel="0" collapsed="false">
      <c r="A145" s="2" t="s">
        <v>505</v>
      </c>
      <c r="B145" s="3" t="s">
        <v>58</v>
      </c>
      <c r="C145" s="2" t="s">
        <v>77</v>
      </c>
      <c r="D145" s="2" t="s">
        <v>506</v>
      </c>
      <c r="E145" s="2" t="s">
        <v>64</v>
      </c>
      <c r="F145" s="2" t="s">
        <v>65</v>
      </c>
      <c r="G145" s="2" t="n">
        <v>134</v>
      </c>
      <c r="H145" s="2" t="n">
        <v>120000</v>
      </c>
      <c r="I145" s="2" t="s">
        <v>24</v>
      </c>
      <c r="J145" s="2" t="n">
        <v>7</v>
      </c>
      <c r="K145" s="3"/>
      <c r="L145" s="4" t="n">
        <f aca="false">G145*H145</f>
        <v>16080000</v>
      </c>
      <c r="M145" s="2" t="str">
        <f aca="false">IF(I145="Received",(K145-B145)-J145,"-")</f>
        <v>-</v>
      </c>
      <c r="N145" s="2" t="str">
        <f aca="false">IF(I145="Received",IF(M145&lt;=0,"Tepat Waktu","Terlambat"),"-")</f>
        <v>-</v>
      </c>
    </row>
    <row r="146" customFormat="false" ht="15" hidden="false" customHeight="false" outlineLevel="0" collapsed="false">
      <c r="A146" s="2" t="s">
        <v>507</v>
      </c>
      <c r="B146" s="3" t="s">
        <v>508</v>
      </c>
      <c r="C146" s="2" t="s">
        <v>27</v>
      </c>
      <c r="D146" s="2" t="s">
        <v>509</v>
      </c>
      <c r="E146" s="2" t="s">
        <v>158</v>
      </c>
      <c r="F146" s="2" t="s">
        <v>89</v>
      </c>
      <c r="G146" s="2" t="n">
        <v>116</v>
      </c>
      <c r="H146" s="2" t="n">
        <v>850000</v>
      </c>
      <c r="I146" s="2" t="s">
        <v>31</v>
      </c>
      <c r="J146" s="2" t="n">
        <v>14</v>
      </c>
      <c r="K146" s="3" t="s">
        <v>156</v>
      </c>
      <c r="L146" s="4" t="n">
        <f aca="false">G146*H146</f>
        <v>98600000</v>
      </c>
      <c r="M146" s="2" t="n">
        <f aca="false">IF(I146="Received",(K146-B146)-J146,"-")</f>
        <v>4</v>
      </c>
      <c r="N146" s="2" t="str">
        <f aca="false">IF(I146="Received",IF(M146&lt;=0,"Tepat Waktu","Terlambat"),"-")</f>
        <v>Terlambat</v>
      </c>
    </row>
    <row r="147" customFormat="false" ht="15" hidden="false" customHeight="false" outlineLevel="0" collapsed="false">
      <c r="A147" s="2" t="s">
        <v>510</v>
      </c>
      <c r="B147" s="3" t="s">
        <v>343</v>
      </c>
      <c r="C147" s="2" t="s">
        <v>54</v>
      </c>
      <c r="D147" s="2" t="s">
        <v>337</v>
      </c>
      <c r="E147" s="2" t="s">
        <v>119</v>
      </c>
      <c r="F147" s="2" t="s">
        <v>16</v>
      </c>
      <c r="G147" s="2" t="n">
        <v>499</v>
      </c>
      <c r="H147" s="2" t="n">
        <v>250000</v>
      </c>
      <c r="I147" s="2" t="s">
        <v>24</v>
      </c>
      <c r="J147" s="2" t="n">
        <v>14</v>
      </c>
      <c r="K147" s="3"/>
      <c r="L147" s="4" t="n">
        <f aca="false">G147*H147</f>
        <v>124750000</v>
      </c>
      <c r="M147" s="2" t="str">
        <f aca="false">IF(I147="Received",(K147-B147)-J147,"-")</f>
        <v>-</v>
      </c>
      <c r="N147" s="2" t="str">
        <f aca="false">IF(I147="Received",IF(M147&lt;=0,"Tepat Waktu","Terlambat"),"-")</f>
        <v>-</v>
      </c>
    </row>
    <row r="148" customFormat="false" ht="15" hidden="false" customHeight="false" outlineLevel="0" collapsed="false">
      <c r="A148" s="2" t="s">
        <v>511</v>
      </c>
      <c r="B148" s="3" t="s">
        <v>512</v>
      </c>
      <c r="C148" s="2" t="s">
        <v>39</v>
      </c>
      <c r="D148" s="2" t="s">
        <v>513</v>
      </c>
      <c r="E148" s="2" t="s">
        <v>443</v>
      </c>
      <c r="F148" s="2" t="s">
        <v>89</v>
      </c>
      <c r="G148" s="2" t="n">
        <v>37</v>
      </c>
      <c r="H148" s="2" t="n">
        <v>250000</v>
      </c>
      <c r="I148" s="2" t="s">
        <v>17</v>
      </c>
      <c r="J148" s="2" t="n">
        <v>7</v>
      </c>
      <c r="K148" s="3"/>
      <c r="L148" s="4" t="n">
        <f aca="false">G148*H148</f>
        <v>9250000</v>
      </c>
      <c r="M148" s="2" t="str">
        <f aca="false">IF(I148="Received",(K148-B148)-J148,"-")</f>
        <v>-</v>
      </c>
      <c r="N148" s="2" t="str">
        <f aca="false">IF(I148="Received",IF(M148&lt;=0,"Tepat Waktu","Terlambat"),"-")</f>
        <v>-</v>
      </c>
    </row>
    <row r="149" customFormat="false" ht="15" hidden="false" customHeight="false" outlineLevel="0" collapsed="false">
      <c r="A149" s="2" t="s">
        <v>514</v>
      </c>
      <c r="B149" s="3" t="s">
        <v>259</v>
      </c>
      <c r="C149" s="2" t="s">
        <v>39</v>
      </c>
      <c r="D149" s="2" t="s">
        <v>515</v>
      </c>
      <c r="E149" s="2" t="s">
        <v>198</v>
      </c>
      <c r="F149" s="2" t="s">
        <v>30</v>
      </c>
      <c r="G149" s="2" t="n">
        <v>81</v>
      </c>
      <c r="H149" s="2" t="n">
        <v>1200000</v>
      </c>
      <c r="I149" s="2" t="s">
        <v>47</v>
      </c>
      <c r="J149" s="2" t="n">
        <v>3</v>
      </c>
      <c r="K149" s="3"/>
      <c r="L149" s="4" t="n">
        <f aca="false">G149*H149</f>
        <v>97200000</v>
      </c>
      <c r="M149" s="2" t="str">
        <f aca="false">IF(I149="Received",(K149-B149)-J149,"-")</f>
        <v>-</v>
      </c>
      <c r="N149" s="2" t="str">
        <f aca="false">IF(I149="Received",IF(M149&lt;=0,"Tepat Waktu","Terlambat"),"-")</f>
        <v>-</v>
      </c>
    </row>
    <row r="150" customFormat="false" ht="15" hidden="false" customHeight="false" outlineLevel="0" collapsed="false">
      <c r="A150" s="2" t="s">
        <v>516</v>
      </c>
      <c r="B150" s="3" t="s">
        <v>517</v>
      </c>
      <c r="C150" s="2" t="s">
        <v>27</v>
      </c>
      <c r="D150" s="2" t="s">
        <v>518</v>
      </c>
      <c r="E150" s="2" t="s">
        <v>198</v>
      </c>
      <c r="F150" s="2" t="s">
        <v>30</v>
      </c>
      <c r="G150" s="2" t="n">
        <v>76</v>
      </c>
      <c r="H150" s="2" t="n">
        <v>15000</v>
      </c>
      <c r="I150" s="2" t="s">
        <v>24</v>
      </c>
      <c r="J150" s="2" t="n">
        <v>7</v>
      </c>
      <c r="K150" s="3"/>
      <c r="L150" s="4" t="n">
        <f aca="false">G150*H150</f>
        <v>1140000</v>
      </c>
      <c r="M150" s="2" t="str">
        <f aca="false">IF(I150="Received",(K150-B150)-J150,"-")</f>
        <v>-</v>
      </c>
      <c r="N150" s="2" t="str">
        <f aca="false">IF(I150="Received",IF(M150&lt;=0,"Tepat Waktu","Terlambat"),"-")</f>
        <v>-</v>
      </c>
    </row>
    <row r="151" customFormat="false" ht="15" hidden="false" customHeight="false" outlineLevel="0" collapsed="false">
      <c r="A151" s="2" t="s">
        <v>519</v>
      </c>
      <c r="B151" s="3" t="s">
        <v>520</v>
      </c>
      <c r="C151" s="2" t="s">
        <v>27</v>
      </c>
      <c r="D151" s="2" t="s">
        <v>521</v>
      </c>
      <c r="E151" s="2" t="s">
        <v>41</v>
      </c>
      <c r="F151" s="2" t="s">
        <v>42</v>
      </c>
      <c r="G151" s="2" t="n">
        <v>23</v>
      </c>
      <c r="H151" s="2" t="n">
        <v>75000</v>
      </c>
      <c r="I151" s="2" t="s">
        <v>31</v>
      </c>
      <c r="J151" s="2" t="n">
        <v>5</v>
      </c>
      <c r="K151" s="3" t="s">
        <v>384</v>
      </c>
      <c r="L151" s="4" t="n">
        <f aca="false">G151*H151</f>
        <v>1725000</v>
      </c>
      <c r="M151" s="2" t="n">
        <f aca="false">IF(I151="Received",(K151-B151)-J151,"-")</f>
        <v>6</v>
      </c>
      <c r="N151" s="2" t="str">
        <f aca="false">IF(I151="Received",IF(M151&lt;=0,"Tepat Waktu","Terlambat"),"-")</f>
        <v>Terlambat</v>
      </c>
    </row>
    <row r="152" customFormat="false" ht="15" hidden="false" customHeight="false" outlineLevel="0" collapsed="false">
      <c r="A152" s="2" t="s">
        <v>522</v>
      </c>
      <c r="B152" s="3" t="s">
        <v>523</v>
      </c>
      <c r="C152" s="2" t="s">
        <v>96</v>
      </c>
      <c r="D152" s="2" t="s">
        <v>524</v>
      </c>
      <c r="E152" s="2" t="s">
        <v>198</v>
      </c>
      <c r="F152" s="2" t="s">
        <v>30</v>
      </c>
      <c r="G152" s="2" t="n">
        <v>158</v>
      </c>
      <c r="H152" s="2" t="n">
        <v>45000</v>
      </c>
      <c r="I152" s="2" t="s">
        <v>47</v>
      </c>
      <c r="J152" s="2" t="n">
        <v>14</v>
      </c>
      <c r="K152" s="3"/>
      <c r="L152" s="4" t="n">
        <f aca="false">G152*H152</f>
        <v>7110000</v>
      </c>
      <c r="M152" s="2" t="str">
        <f aca="false">IF(I152="Received",(K152-B152)-J152,"-")</f>
        <v>-</v>
      </c>
      <c r="N152" s="2" t="str">
        <f aca="false">IF(I152="Received",IF(M152&lt;=0,"Tepat Waktu","Terlambat"),"-")</f>
        <v>-</v>
      </c>
    </row>
    <row r="153" customFormat="false" ht="15" hidden="false" customHeight="false" outlineLevel="0" collapsed="false">
      <c r="A153" s="2" t="s">
        <v>525</v>
      </c>
      <c r="B153" s="3" t="s">
        <v>526</v>
      </c>
      <c r="C153" s="2" t="s">
        <v>39</v>
      </c>
      <c r="D153" s="2" t="s">
        <v>527</v>
      </c>
      <c r="E153" s="2" t="s">
        <v>243</v>
      </c>
      <c r="F153" s="2" t="s">
        <v>16</v>
      </c>
      <c r="G153" s="2" t="n">
        <v>384</v>
      </c>
      <c r="H153" s="2" t="n">
        <v>120000</v>
      </c>
      <c r="I153" s="2" t="s">
        <v>24</v>
      </c>
      <c r="J153" s="2" t="n">
        <v>14</v>
      </c>
      <c r="K153" s="3"/>
      <c r="L153" s="4" t="n">
        <f aca="false">G153*H153</f>
        <v>46080000</v>
      </c>
      <c r="M153" s="2" t="str">
        <f aca="false">IF(I153="Received",(K153-B153)-J153,"-")</f>
        <v>-</v>
      </c>
      <c r="N153" s="2" t="str">
        <f aca="false">IF(I153="Received",IF(M153&lt;=0,"Tepat Waktu","Terlambat"),"-")</f>
        <v>-</v>
      </c>
    </row>
    <row r="154" customFormat="false" ht="15" hidden="false" customHeight="false" outlineLevel="0" collapsed="false">
      <c r="A154" s="2" t="s">
        <v>528</v>
      </c>
      <c r="B154" s="3" t="s">
        <v>529</v>
      </c>
      <c r="C154" s="2" t="s">
        <v>13</v>
      </c>
      <c r="D154" s="2" t="s">
        <v>530</v>
      </c>
      <c r="E154" s="2" t="s">
        <v>294</v>
      </c>
      <c r="F154" s="2" t="s">
        <v>30</v>
      </c>
      <c r="G154" s="2" t="n">
        <v>186</v>
      </c>
      <c r="H154" s="2" t="n">
        <v>75000</v>
      </c>
      <c r="I154" s="2" t="s">
        <v>24</v>
      </c>
      <c r="J154" s="2" t="n">
        <v>7</v>
      </c>
      <c r="K154" s="3"/>
      <c r="L154" s="4" t="n">
        <f aca="false">G154*H154</f>
        <v>13950000</v>
      </c>
      <c r="M154" s="2" t="str">
        <f aca="false">IF(I154="Received",(K154-B154)-J154,"-")</f>
        <v>-</v>
      </c>
      <c r="N154" s="2" t="str">
        <f aca="false">IF(I154="Received",IF(M154&lt;=0,"Tepat Waktu","Terlambat"),"-")</f>
        <v>-</v>
      </c>
    </row>
    <row r="155" customFormat="false" ht="15" hidden="false" customHeight="false" outlineLevel="0" collapsed="false">
      <c r="A155" s="2" t="s">
        <v>531</v>
      </c>
      <c r="B155" s="3" t="s">
        <v>532</v>
      </c>
      <c r="C155" s="2" t="s">
        <v>13</v>
      </c>
      <c r="D155" s="2" t="s">
        <v>533</v>
      </c>
      <c r="E155" s="2" t="s">
        <v>133</v>
      </c>
      <c r="F155" s="2" t="s">
        <v>89</v>
      </c>
      <c r="G155" s="2" t="n">
        <v>155</v>
      </c>
      <c r="H155" s="2" t="n">
        <v>850000</v>
      </c>
      <c r="I155" s="2" t="s">
        <v>47</v>
      </c>
      <c r="J155" s="2" t="n">
        <v>10</v>
      </c>
      <c r="K155" s="3"/>
      <c r="L155" s="4" t="n">
        <f aca="false">G155*H155</f>
        <v>131750000</v>
      </c>
      <c r="M155" s="2" t="str">
        <f aca="false">IF(I155="Received",(K155-B155)-J155,"-")</f>
        <v>-</v>
      </c>
      <c r="N155" s="2" t="str">
        <f aca="false">IF(I155="Received",IF(M155&lt;=0,"Tepat Waktu","Terlambat"),"-")</f>
        <v>-</v>
      </c>
    </row>
    <row r="156" customFormat="false" ht="15" hidden="false" customHeight="false" outlineLevel="0" collapsed="false">
      <c r="A156" s="2" t="s">
        <v>534</v>
      </c>
      <c r="B156" s="3" t="s">
        <v>535</v>
      </c>
      <c r="C156" s="2" t="s">
        <v>20</v>
      </c>
      <c r="D156" s="2" t="s">
        <v>536</v>
      </c>
      <c r="E156" s="2" t="s">
        <v>281</v>
      </c>
      <c r="F156" s="2" t="s">
        <v>65</v>
      </c>
      <c r="G156" s="2" t="n">
        <v>246</v>
      </c>
      <c r="H156" s="2" t="n">
        <v>75000</v>
      </c>
      <c r="I156" s="2" t="s">
        <v>31</v>
      </c>
      <c r="J156" s="2" t="n">
        <v>10</v>
      </c>
      <c r="K156" s="3" t="s">
        <v>537</v>
      </c>
      <c r="L156" s="4" t="n">
        <f aca="false">G156*H156</f>
        <v>18450000</v>
      </c>
      <c r="M156" s="2" t="n">
        <f aca="false">IF(I156="Received",(K156-B156)-J156,"-")</f>
        <v>6</v>
      </c>
      <c r="N156" s="2" t="str">
        <f aca="false">IF(I156="Received",IF(M156&lt;=0,"Tepat Waktu","Terlambat"),"-")</f>
        <v>Terlambat</v>
      </c>
    </row>
    <row r="157" customFormat="false" ht="15" hidden="false" customHeight="false" outlineLevel="0" collapsed="false">
      <c r="A157" s="2" t="s">
        <v>538</v>
      </c>
      <c r="B157" s="3" t="s">
        <v>539</v>
      </c>
      <c r="C157" s="2" t="s">
        <v>27</v>
      </c>
      <c r="D157" s="2" t="s">
        <v>375</v>
      </c>
      <c r="E157" s="2" t="s">
        <v>15</v>
      </c>
      <c r="F157" s="2" t="s">
        <v>16</v>
      </c>
      <c r="G157" s="2" t="n">
        <v>107</v>
      </c>
      <c r="H157" s="2" t="n">
        <v>250000</v>
      </c>
      <c r="I157" s="2" t="s">
        <v>31</v>
      </c>
      <c r="J157" s="2" t="n">
        <v>14</v>
      </c>
      <c r="K157" s="3" t="s">
        <v>299</v>
      </c>
      <c r="L157" s="4" t="n">
        <f aca="false">G157*H157</f>
        <v>26750000</v>
      </c>
      <c r="M157" s="2" t="n">
        <f aca="false">IF(I157="Received",(K157-B157)-J157,"-")</f>
        <v>5</v>
      </c>
      <c r="N157" s="2" t="str">
        <f aca="false">IF(I157="Received",IF(M157&lt;=0,"Tepat Waktu","Terlambat"),"-")</f>
        <v>Terlambat</v>
      </c>
    </row>
    <row r="158" customFormat="false" ht="15" hidden="false" customHeight="false" outlineLevel="0" collapsed="false">
      <c r="A158" s="2" t="s">
        <v>540</v>
      </c>
      <c r="B158" s="3" t="s">
        <v>480</v>
      </c>
      <c r="C158" s="2" t="s">
        <v>13</v>
      </c>
      <c r="D158" s="2" t="s">
        <v>541</v>
      </c>
      <c r="E158" s="2" t="s">
        <v>29</v>
      </c>
      <c r="F158" s="2" t="s">
        <v>30</v>
      </c>
      <c r="G158" s="2" t="n">
        <v>46</v>
      </c>
      <c r="H158" s="2" t="n">
        <v>850000</v>
      </c>
      <c r="I158" s="2" t="s">
        <v>31</v>
      </c>
      <c r="J158" s="2" t="n">
        <v>5</v>
      </c>
      <c r="K158" s="3" t="s">
        <v>231</v>
      </c>
      <c r="L158" s="4" t="n">
        <f aca="false">G158*H158</f>
        <v>39100000</v>
      </c>
      <c r="M158" s="2" t="n">
        <f aca="false">IF(I158="Received",(K158-B158)-J158,"-")</f>
        <v>3</v>
      </c>
      <c r="N158" s="2" t="str">
        <f aca="false">IF(I158="Received",IF(M158&lt;=0,"Tepat Waktu","Terlambat"),"-")</f>
        <v>Terlambat</v>
      </c>
    </row>
    <row r="159" customFormat="false" ht="15" hidden="false" customHeight="false" outlineLevel="0" collapsed="false">
      <c r="A159" s="2" t="s">
        <v>542</v>
      </c>
      <c r="B159" s="3" t="s">
        <v>543</v>
      </c>
      <c r="C159" s="2" t="s">
        <v>182</v>
      </c>
      <c r="D159" s="2" t="s">
        <v>544</v>
      </c>
      <c r="E159" s="2" t="s">
        <v>243</v>
      </c>
      <c r="F159" s="2" t="s">
        <v>16</v>
      </c>
      <c r="G159" s="2" t="n">
        <v>112</v>
      </c>
      <c r="H159" s="2" t="n">
        <v>45000</v>
      </c>
      <c r="I159" s="2" t="s">
        <v>24</v>
      </c>
      <c r="J159" s="2" t="n">
        <v>5</v>
      </c>
      <c r="K159" s="3"/>
      <c r="L159" s="4" t="n">
        <f aca="false">G159*H159</f>
        <v>5040000</v>
      </c>
      <c r="M159" s="2" t="str">
        <f aca="false">IF(I159="Received",(K159-B159)-J159,"-")</f>
        <v>-</v>
      </c>
      <c r="N159" s="2" t="str">
        <f aca="false">IF(I159="Received",IF(M159&lt;=0,"Tepat Waktu","Terlambat"),"-")</f>
        <v>-</v>
      </c>
    </row>
    <row r="160" customFormat="false" ht="15" hidden="false" customHeight="false" outlineLevel="0" collapsed="false">
      <c r="A160" s="2" t="s">
        <v>545</v>
      </c>
      <c r="B160" s="3" t="s">
        <v>212</v>
      </c>
      <c r="C160" s="2" t="s">
        <v>54</v>
      </c>
      <c r="D160" s="2" t="s">
        <v>546</v>
      </c>
      <c r="E160" s="2" t="s">
        <v>22</v>
      </c>
      <c r="F160" s="2" t="s">
        <v>23</v>
      </c>
      <c r="G160" s="2" t="n">
        <v>329</v>
      </c>
      <c r="H160" s="2" t="n">
        <v>500000</v>
      </c>
      <c r="I160" s="2" t="s">
        <v>31</v>
      </c>
      <c r="J160" s="2" t="n">
        <v>10</v>
      </c>
      <c r="K160" s="3" t="s">
        <v>547</v>
      </c>
      <c r="L160" s="4" t="n">
        <f aca="false">G160*H160</f>
        <v>164500000</v>
      </c>
      <c r="M160" s="2" t="n">
        <f aca="false">IF(I160="Received",(K160-B160)-J160,"-")</f>
        <v>4</v>
      </c>
      <c r="N160" s="2" t="str">
        <f aca="false">IF(I160="Received",IF(M160&lt;=0,"Tepat Waktu","Terlambat"),"-")</f>
        <v>Terlambat</v>
      </c>
    </row>
    <row r="161" customFormat="false" ht="15" hidden="false" customHeight="false" outlineLevel="0" collapsed="false">
      <c r="A161" s="2" t="s">
        <v>548</v>
      </c>
      <c r="B161" s="3" t="s">
        <v>549</v>
      </c>
      <c r="C161" s="2" t="s">
        <v>182</v>
      </c>
      <c r="D161" s="2" t="s">
        <v>550</v>
      </c>
      <c r="E161" s="2" t="s">
        <v>94</v>
      </c>
      <c r="F161" s="2" t="s">
        <v>65</v>
      </c>
      <c r="G161" s="2" t="n">
        <v>196</v>
      </c>
      <c r="H161" s="2" t="n">
        <v>15000</v>
      </c>
      <c r="I161" s="2" t="s">
        <v>47</v>
      </c>
      <c r="J161" s="2" t="n">
        <v>14</v>
      </c>
      <c r="K161" s="3"/>
      <c r="L161" s="4" t="n">
        <f aca="false">G161*H161</f>
        <v>2940000</v>
      </c>
      <c r="M161" s="2" t="str">
        <f aca="false">IF(I161="Received",(K161-B161)-J161,"-")</f>
        <v>-</v>
      </c>
      <c r="N161" s="2" t="str">
        <f aca="false">IF(I161="Received",IF(M161&lt;=0,"Tepat Waktu","Terlambat"),"-")</f>
        <v>-</v>
      </c>
    </row>
    <row r="162" customFormat="false" ht="15" hidden="false" customHeight="false" outlineLevel="0" collapsed="false">
      <c r="A162" s="2" t="s">
        <v>551</v>
      </c>
      <c r="B162" s="3" t="s">
        <v>552</v>
      </c>
      <c r="C162" s="2" t="s">
        <v>182</v>
      </c>
      <c r="D162" s="2" t="s">
        <v>553</v>
      </c>
      <c r="E162" s="2" t="s">
        <v>294</v>
      </c>
      <c r="F162" s="2" t="s">
        <v>30</v>
      </c>
      <c r="G162" s="2" t="n">
        <v>380</v>
      </c>
      <c r="H162" s="2" t="n">
        <v>75000</v>
      </c>
      <c r="I162" s="2" t="s">
        <v>31</v>
      </c>
      <c r="J162" s="2" t="n">
        <v>7</v>
      </c>
      <c r="K162" s="3" t="s">
        <v>453</v>
      </c>
      <c r="L162" s="4" t="n">
        <f aca="false">G162*H162</f>
        <v>28500000</v>
      </c>
      <c r="M162" s="2" t="n">
        <f aca="false">IF(I162="Received",(K162-B162)-J162,"-")</f>
        <v>2</v>
      </c>
      <c r="N162" s="2" t="str">
        <f aca="false">IF(I162="Received",IF(M162&lt;=0,"Tepat Waktu","Terlambat"),"-")</f>
        <v>Terlambat</v>
      </c>
    </row>
    <row r="163" customFormat="false" ht="15" hidden="false" customHeight="false" outlineLevel="0" collapsed="false">
      <c r="A163" s="2" t="s">
        <v>554</v>
      </c>
      <c r="B163" s="3" t="s">
        <v>358</v>
      </c>
      <c r="C163" s="2" t="s">
        <v>54</v>
      </c>
      <c r="D163" s="2" t="s">
        <v>555</v>
      </c>
      <c r="E163" s="2" t="s">
        <v>386</v>
      </c>
      <c r="F163" s="2" t="s">
        <v>42</v>
      </c>
      <c r="G163" s="2" t="n">
        <v>161</v>
      </c>
      <c r="H163" s="2" t="n">
        <v>45000</v>
      </c>
      <c r="I163" s="2" t="s">
        <v>31</v>
      </c>
      <c r="J163" s="2" t="n">
        <v>3</v>
      </c>
      <c r="K163" s="3" t="s">
        <v>556</v>
      </c>
      <c r="L163" s="4" t="n">
        <f aca="false">G163*H163</f>
        <v>7245000</v>
      </c>
      <c r="M163" s="2" t="n">
        <f aca="false">IF(I163="Received",(K163-B163)-J163,"-")</f>
        <v>2</v>
      </c>
      <c r="N163" s="2" t="str">
        <f aca="false">IF(I163="Received",IF(M163&lt;=0,"Tepat Waktu","Terlambat"),"-")</f>
        <v>Terlambat</v>
      </c>
    </row>
    <row r="164" customFormat="false" ht="15" hidden="false" customHeight="false" outlineLevel="0" collapsed="false">
      <c r="A164" s="2" t="s">
        <v>557</v>
      </c>
      <c r="B164" s="3" t="s">
        <v>558</v>
      </c>
      <c r="C164" s="2" t="s">
        <v>96</v>
      </c>
      <c r="D164" s="2" t="s">
        <v>559</v>
      </c>
      <c r="E164" s="2" t="s">
        <v>114</v>
      </c>
      <c r="F164" s="2" t="s">
        <v>30</v>
      </c>
      <c r="G164" s="2" t="n">
        <v>273</v>
      </c>
      <c r="H164" s="2" t="n">
        <v>250000</v>
      </c>
      <c r="I164" s="2" t="s">
        <v>31</v>
      </c>
      <c r="J164" s="2" t="n">
        <v>5</v>
      </c>
      <c r="K164" s="3" t="s">
        <v>560</v>
      </c>
      <c r="L164" s="4" t="n">
        <f aca="false">G164*H164</f>
        <v>68250000</v>
      </c>
      <c r="M164" s="2" t="n">
        <f aca="false">IF(I164="Received",(K164-B164)-J164,"-")</f>
        <v>3</v>
      </c>
      <c r="N164" s="2" t="str">
        <f aca="false">IF(I164="Received",IF(M164&lt;=0,"Tepat Waktu","Terlambat"),"-")</f>
        <v>Terlambat</v>
      </c>
    </row>
    <row r="165" customFormat="false" ht="15" hidden="false" customHeight="false" outlineLevel="0" collapsed="false">
      <c r="A165" s="2" t="s">
        <v>561</v>
      </c>
      <c r="B165" s="3" t="s">
        <v>212</v>
      </c>
      <c r="C165" s="2" t="s">
        <v>13</v>
      </c>
      <c r="D165" s="2" t="s">
        <v>562</v>
      </c>
      <c r="E165" s="2" t="s">
        <v>370</v>
      </c>
      <c r="F165" s="2" t="s">
        <v>23</v>
      </c>
      <c r="G165" s="2" t="n">
        <v>211</v>
      </c>
      <c r="H165" s="2" t="n">
        <v>15000</v>
      </c>
      <c r="I165" s="2" t="s">
        <v>31</v>
      </c>
      <c r="J165" s="2" t="n">
        <v>5</v>
      </c>
      <c r="K165" s="3" t="s">
        <v>563</v>
      </c>
      <c r="L165" s="4" t="n">
        <f aca="false">G165*H165</f>
        <v>3165000</v>
      </c>
      <c r="M165" s="2" t="n">
        <f aca="false">IF(I165="Received",(K165-B165)-J165,"-")</f>
        <v>1</v>
      </c>
      <c r="N165" s="2" t="str">
        <f aca="false">IF(I165="Received",IF(M165&lt;=0,"Tepat Waktu","Terlambat"),"-")</f>
        <v>Terlambat</v>
      </c>
    </row>
    <row r="166" customFormat="false" ht="15" hidden="false" customHeight="false" outlineLevel="0" collapsed="false">
      <c r="A166" s="2" t="s">
        <v>564</v>
      </c>
      <c r="B166" s="3" t="s">
        <v>565</v>
      </c>
      <c r="C166" s="2" t="s">
        <v>20</v>
      </c>
      <c r="D166" s="2" t="s">
        <v>566</v>
      </c>
      <c r="E166" s="2" t="s">
        <v>94</v>
      </c>
      <c r="F166" s="2" t="s">
        <v>65</v>
      </c>
      <c r="G166" s="2" t="n">
        <v>192</v>
      </c>
      <c r="H166" s="2" t="n">
        <v>15000</v>
      </c>
      <c r="I166" s="2" t="s">
        <v>31</v>
      </c>
      <c r="J166" s="2" t="n">
        <v>7</v>
      </c>
      <c r="K166" s="3" t="s">
        <v>567</v>
      </c>
      <c r="L166" s="4" t="n">
        <f aca="false">G166*H166</f>
        <v>2880000</v>
      </c>
      <c r="M166" s="2" t="n">
        <f aca="false">IF(I166="Received",(K166-B166)-J166,"-")</f>
        <v>6</v>
      </c>
      <c r="N166" s="2" t="str">
        <f aca="false">IF(I166="Received",IF(M166&lt;=0,"Tepat Waktu","Terlambat"),"-")</f>
        <v>Terlambat</v>
      </c>
    </row>
    <row r="167" customFormat="false" ht="15" hidden="false" customHeight="false" outlineLevel="0" collapsed="false">
      <c r="A167" s="2" t="s">
        <v>568</v>
      </c>
      <c r="B167" s="3" t="s">
        <v>569</v>
      </c>
      <c r="C167" s="2" t="s">
        <v>182</v>
      </c>
      <c r="D167" s="2" t="s">
        <v>570</v>
      </c>
      <c r="E167" s="2" t="s">
        <v>64</v>
      </c>
      <c r="F167" s="2" t="s">
        <v>65</v>
      </c>
      <c r="G167" s="2" t="n">
        <v>60</v>
      </c>
      <c r="H167" s="2" t="n">
        <v>15000</v>
      </c>
      <c r="I167" s="2" t="s">
        <v>31</v>
      </c>
      <c r="J167" s="2" t="n">
        <v>3</v>
      </c>
      <c r="K167" s="3" t="s">
        <v>523</v>
      </c>
      <c r="L167" s="4" t="n">
        <f aca="false">G167*H167</f>
        <v>900000</v>
      </c>
      <c r="M167" s="2" t="n">
        <f aca="false">IF(I167="Received",(K167-B167)-J167,"-")</f>
        <v>4</v>
      </c>
      <c r="N167" s="2" t="str">
        <f aca="false">IF(I167="Received",IF(M167&lt;=0,"Tepat Waktu","Terlambat"),"-")</f>
        <v>Terlambat</v>
      </c>
    </row>
    <row r="168" customFormat="false" ht="15" hidden="false" customHeight="false" outlineLevel="0" collapsed="false">
      <c r="A168" s="2" t="s">
        <v>571</v>
      </c>
      <c r="B168" s="3" t="s">
        <v>572</v>
      </c>
      <c r="C168" s="2" t="s">
        <v>27</v>
      </c>
      <c r="D168" s="2" t="s">
        <v>509</v>
      </c>
      <c r="E168" s="2" t="s">
        <v>119</v>
      </c>
      <c r="F168" s="2" t="s">
        <v>16</v>
      </c>
      <c r="G168" s="2" t="n">
        <v>247</v>
      </c>
      <c r="H168" s="2" t="n">
        <v>45000</v>
      </c>
      <c r="I168" s="2" t="s">
        <v>31</v>
      </c>
      <c r="J168" s="2" t="n">
        <v>3</v>
      </c>
      <c r="K168" s="3" t="s">
        <v>573</v>
      </c>
      <c r="L168" s="4" t="n">
        <f aca="false">G168*H168</f>
        <v>11115000</v>
      </c>
      <c r="M168" s="2" t="n">
        <f aca="false">IF(I168="Received",(K168-B168)-J168,"-")</f>
        <v>2</v>
      </c>
      <c r="N168" s="2" t="str">
        <f aca="false">IF(I168="Received",IF(M168&lt;=0,"Tepat Waktu","Terlambat"),"-")</f>
        <v>Terlambat</v>
      </c>
    </row>
    <row r="169" customFormat="false" ht="15" hidden="false" customHeight="false" outlineLevel="0" collapsed="false">
      <c r="A169" s="2" t="s">
        <v>574</v>
      </c>
      <c r="B169" s="3" t="s">
        <v>532</v>
      </c>
      <c r="C169" s="2" t="s">
        <v>54</v>
      </c>
      <c r="D169" s="2" t="s">
        <v>575</v>
      </c>
      <c r="E169" s="2" t="s">
        <v>114</v>
      </c>
      <c r="F169" s="2" t="s">
        <v>30</v>
      </c>
      <c r="G169" s="2" t="n">
        <v>323</v>
      </c>
      <c r="H169" s="2" t="n">
        <v>45000</v>
      </c>
      <c r="I169" s="2" t="s">
        <v>31</v>
      </c>
      <c r="J169" s="2" t="n">
        <v>3</v>
      </c>
      <c r="K169" s="3" t="s">
        <v>576</v>
      </c>
      <c r="L169" s="4" t="n">
        <f aca="false">G169*H169</f>
        <v>14535000</v>
      </c>
      <c r="M169" s="2" t="n">
        <f aca="false">IF(I169="Received",(K169-B169)-J169,"-")</f>
        <v>6</v>
      </c>
      <c r="N169" s="2" t="str">
        <f aca="false">IF(I169="Received",IF(M169&lt;=0,"Tepat Waktu","Terlambat"),"-")</f>
        <v>Terlambat</v>
      </c>
    </row>
    <row r="170" customFormat="false" ht="15" hidden="false" customHeight="false" outlineLevel="0" collapsed="false">
      <c r="A170" s="2" t="s">
        <v>577</v>
      </c>
      <c r="B170" s="3" t="s">
        <v>578</v>
      </c>
      <c r="C170" s="2" t="s">
        <v>54</v>
      </c>
      <c r="D170" s="2" t="s">
        <v>579</v>
      </c>
      <c r="E170" s="2" t="s">
        <v>443</v>
      </c>
      <c r="F170" s="2" t="s">
        <v>89</v>
      </c>
      <c r="G170" s="2" t="n">
        <v>59</v>
      </c>
      <c r="H170" s="2" t="n">
        <v>850000</v>
      </c>
      <c r="I170" s="2" t="s">
        <v>31</v>
      </c>
      <c r="J170" s="2" t="n">
        <v>5</v>
      </c>
      <c r="K170" s="3" t="s">
        <v>580</v>
      </c>
      <c r="L170" s="4" t="n">
        <f aca="false">G170*H170</f>
        <v>50150000</v>
      </c>
      <c r="M170" s="2" t="n">
        <f aca="false">IF(I170="Received",(K170-B170)-J170,"-")</f>
        <v>2</v>
      </c>
      <c r="N170" s="2" t="str">
        <f aca="false">IF(I170="Received",IF(M170&lt;=0,"Tepat Waktu","Terlambat"),"-")</f>
        <v>Terlambat</v>
      </c>
    </row>
    <row r="171" customFormat="false" ht="15" hidden="false" customHeight="false" outlineLevel="0" collapsed="false">
      <c r="A171" s="2" t="s">
        <v>581</v>
      </c>
      <c r="B171" s="3" t="s">
        <v>398</v>
      </c>
      <c r="C171" s="2" t="s">
        <v>82</v>
      </c>
      <c r="D171" s="2" t="s">
        <v>582</v>
      </c>
      <c r="E171" s="2" t="s">
        <v>158</v>
      </c>
      <c r="F171" s="2" t="s">
        <v>89</v>
      </c>
      <c r="G171" s="2" t="n">
        <v>87</v>
      </c>
      <c r="H171" s="2" t="n">
        <v>15000</v>
      </c>
      <c r="I171" s="2" t="s">
        <v>31</v>
      </c>
      <c r="J171" s="2" t="n">
        <v>5</v>
      </c>
      <c r="K171" s="3" t="s">
        <v>189</v>
      </c>
      <c r="L171" s="4" t="n">
        <f aca="false">G171*H171</f>
        <v>1305000</v>
      </c>
      <c r="M171" s="2" t="n">
        <f aca="false">IF(I171="Received",(K171-B171)-J171,"-")</f>
        <v>5</v>
      </c>
      <c r="N171" s="2" t="str">
        <f aca="false">IF(I171="Received",IF(M171&lt;=0,"Tepat Waktu","Terlambat"),"-")</f>
        <v>Terlambat</v>
      </c>
    </row>
    <row r="172" customFormat="false" ht="15" hidden="false" customHeight="false" outlineLevel="0" collapsed="false">
      <c r="A172" s="2" t="s">
        <v>583</v>
      </c>
      <c r="B172" s="3" t="s">
        <v>26</v>
      </c>
      <c r="C172" s="2" t="s">
        <v>82</v>
      </c>
      <c r="D172" s="2" t="s">
        <v>584</v>
      </c>
      <c r="E172" s="2" t="s">
        <v>56</v>
      </c>
      <c r="F172" s="2" t="s">
        <v>16</v>
      </c>
      <c r="G172" s="2" t="n">
        <v>50</v>
      </c>
      <c r="H172" s="2" t="n">
        <v>25000</v>
      </c>
      <c r="I172" s="2" t="s">
        <v>47</v>
      </c>
      <c r="J172" s="2" t="n">
        <v>10</v>
      </c>
      <c r="K172" s="3"/>
      <c r="L172" s="4" t="n">
        <f aca="false">G172*H172</f>
        <v>1250000</v>
      </c>
      <c r="M172" s="2" t="str">
        <f aca="false">IF(I172="Received",(K172-B172)-J172,"-")</f>
        <v>-</v>
      </c>
      <c r="N172" s="2" t="str">
        <f aca="false">IF(I172="Received",IF(M172&lt;=0,"Tepat Waktu","Terlambat"),"-")</f>
        <v>-</v>
      </c>
    </row>
    <row r="173" customFormat="false" ht="15" hidden="false" customHeight="false" outlineLevel="0" collapsed="false">
      <c r="A173" s="2" t="s">
        <v>585</v>
      </c>
      <c r="B173" s="3" t="s">
        <v>586</v>
      </c>
      <c r="C173" s="2" t="s">
        <v>54</v>
      </c>
      <c r="D173" s="2" t="s">
        <v>587</v>
      </c>
      <c r="E173" s="2" t="s">
        <v>64</v>
      </c>
      <c r="F173" s="2" t="s">
        <v>65</v>
      </c>
      <c r="G173" s="2" t="n">
        <v>375</v>
      </c>
      <c r="H173" s="2" t="n">
        <v>25000</v>
      </c>
      <c r="I173" s="2" t="s">
        <v>17</v>
      </c>
      <c r="J173" s="2" t="n">
        <v>5</v>
      </c>
      <c r="K173" s="3"/>
      <c r="L173" s="4" t="n">
        <f aca="false">G173*H173</f>
        <v>9375000</v>
      </c>
      <c r="M173" s="2" t="str">
        <f aca="false">IF(I173="Received",(K173-B173)-J173,"-")</f>
        <v>-</v>
      </c>
      <c r="N173" s="2" t="str">
        <f aca="false">IF(I173="Received",IF(M173&lt;=0,"Tepat Waktu","Terlambat"),"-")</f>
        <v>-</v>
      </c>
    </row>
    <row r="174" customFormat="false" ht="15" hidden="false" customHeight="false" outlineLevel="0" collapsed="false">
      <c r="A174" s="2" t="s">
        <v>588</v>
      </c>
      <c r="B174" s="3" t="s">
        <v>228</v>
      </c>
      <c r="C174" s="2" t="s">
        <v>39</v>
      </c>
      <c r="D174" s="2" t="s">
        <v>589</v>
      </c>
      <c r="E174" s="2" t="s">
        <v>158</v>
      </c>
      <c r="F174" s="2" t="s">
        <v>89</v>
      </c>
      <c r="G174" s="2" t="n">
        <v>56</v>
      </c>
      <c r="H174" s="2" t="n">
        <v>45000</v>
      </c>
      <c r="I174" s="2" t="s">
        <v>47</v>
      </c>
      <c r="J174" s="2" t="n">
        <v>7</v>
      </c>
      <c r="K174" s="3"/>
      <c r="L174" s="4" t="n">
        <f aca="false">G174*H174</f>
        <v>2520000</v>
      </c>
      <c r="M174" s="2" t="str">
        <f aca="false">IF(I174="Received",(K174-B174)-J174,"-")</f>
        <v>-</v>
      </c>
      <c r="N174" s="2" t="str">
        <f aca="false">IF(I174="Received",IF(M174&lt;=0,"Tepat Waktu","Terlambat"),"-")</f>
        <v>-</v>
      </c>
    </row>
    <row r="175" customFormat="false" ht="15" hidden="false" customHeight="false" outlineLevel="0" collapsed="false">
      <c r="A175" s="2" t="s">
        <v>590</v>
      </c>
      <c r="B175" s="3" t="s">
        <v>53</v>
      </c>
      <c r="C175" s="2" t="s">
        <v>13</v>
      </c>
      <c r="D175" s="2" t="s">
        <v>591</v>
      </c>
      <c r="E175" s="2" t="s">
        <v>69</v>
      </c>
      <c r="F175" s="2" t="s">
        <v>42</v>
      </c>
      <c r="G175" s="2" t="n">
        <v>440</v>
      </c>
      <c r="H175" s="2" t="n">
        <v>15000</v>
      </c>
      <c r="I175" s="2" t="s">
        <v>31</v>
      </c>
      <c r="J175" s="2" t="n">
        <v>5</v>
      </c>
      <c r="K175" s="3" t="s">
        <v>412</v>
      </c>
      <c r="L175" s="4" t="n">
        <f aca="false">G175*H175</f>
        <v>6600000</v>
      </c>
      <c r="M175" s="2" t="n">
        <f aca="false">IF(I175="Received",(K175-B175)-J175,"-")</f>
        <v>0</v>
      </c>
      <c r="N175" s="2" t="str">
        <f aca="false">IF(I175="Received",IF(M175&lt;=0,"Tepat Waktu","Terlambat"),"-")</f>
        <v>Tepat Waktu</v>
      </c>
    </row>
    <row r="176" customFormat="false" ht="15" hidden="false" customHeight="false" outlineLevel="0" collapsed="false">
      <c r="A176" s="2" t="s">
        <v>592</v>
      </c>
      <c r="B176" s="3" t="s">
        <v>593</v>
      </c>
      <c r="C176" s="2" t="s">
        <v>13</v>
      </c>
      <c r="D176" s="2" t="s">
        <v>594</v>
      </c>
      <c r="E176" s="2" t="s">
        <v>386</v>
      </c>
      <c r="F176" s="2" t="s">
        <v>42</v>
      </c>
      <c r="G176" s="2" t="n">
        <v>454</v>
      </c>
      <c r="H176" s="2" t="n">
        <v>25000</v>
      </c>
      <c r="I176" s="2" t="s">
        <v>31</v>
      </c>
      <c r="J176" s="2" t="n">
        <v>7</v>
      </c>
      <c r="K176" s="3" t="s">
        <v>139</v>
      </c>
      <c r="L176" s="4" t="n">
        <f aca="false">G176*H176</f>
        <v>11350000</v>
      </c>
      <c r="M176" s="2" t="n">
        <f aca="false">IF(I176="Received",(K176-B176)-J176,"-")</f>
        <v>0</v>
      </c>
      <c r="N176" s="2" t="str">
        <f aca="false">IF(I176="Received",IF(M176&lt;=0,"Tepat Waktu","Terlambat"),"-")</f>
        <v>Tepat Waktu</v>
      </c>
    </row>
    <row r="177" customFormat="false" ht="15" hidden="false" customHeight="false" outlineLevel="0" collapsed="false">
      <c r="A177" s="2" t="s">
        <v>595</v>
      </c>
      <c r="B177" s="3" t="s">
        <v>596</v>
      </c>
      <c r="C177" s="2" t="s">
        <v>27</v>
      </c>
      <c r="D177" s="2" t="s">
        <v>597</v>
      </c>
      <c r="E177" s="2" t="s">
        <v>41</v>
      </c>
      <c r="F177" s="2" t="s">
        <v>42</v>
      </c>
      <c r="G177" s="2" t="n">
        <v>432</v>
      </c>
      <c r="H177" s="2" t="n">
        <v>500000</v>
      </c>
      <c r="I177" s="2" t="s">
        <v>24</v>
      </c>
      <c r="J177" s="2" t="n">
        <v>10</v>
      </c>
      <c r="K177" s="3"/>
      <c r="L177" s="4" t="n">
        <f aca="false">G177*H177</f>
        <v>216000000</v>
      </c>
      <c r="M177" s="2" t="str">
        <f aca="false">IF(I177="Received",(K177-B177)-J177,"-")</f>
        <v>-</v>
      </c>
      <c r="N177" s="2" t="str">
        <f aca="false">IF(I177="Received",IF(M177&lt;=0,"Tepat Waktu","Terlambat"),"-")</f>
        <v>-</v>
      </c>
    </row>
    <row r="178" customFormat="false" ht="15" hidden="false" customHeight="false" outlineLevel="0" collapsed="false">
      <c r="A178" s="2" t="s">
        <v>598</v>
      </c>
      <c r="B178" s="3" t="s">
        <v>532</v>
      </c>
      <c r="C178" s="2" t="s">
        <v>77</v>
      </c>
      <c r="D178" s="2" t="s">
        <v>599</v>
      </c>
      <c r="E178" s="2" t="s">
        <v>15</v>
      </c>
      <c r="F178" s="2" t="s">
        <v>16</v>
      </c>
      <c r="G178" s="2" t="n">
        <v>376</v>
      </c>
      <c r="H178" s="2" t="n">
        <v>15000</v>
      </c>
      <c r="I178" s="2" t="s">
        <v>17</v>
      </c>
      <c r="J178" s="2" t="n">
        <v>5</v>
      </c>
      <c r="K178" s="3"/>
      <c r="L178" s="4" t="n">
        <f aca="false">G178*H178</f>
        <v>5640000</v>
      </c>
      <c r="M178" s="2" t="str">
        <f aca="false">IF(I178="Received",(K178-B178)-J178,"-")</f>
        <v>-</v>
      </c>
      <c r="N178" s="2" t="str">
        <f aca="false">IF(I178="Received",IF(M178&lt;=0,"Tepat Waktu","Terlambat"),"-")</f>
        <v>-</v>
      </c>
    </row>
    <row r="179" customFormat="false" ht="15" hidden="false" customHeight="false" outlineLevel="0" collapsed="false">
      <c r="A179" s="2" t="s">
        <v>600</v>
      </c>
      <c r="B179" s="3" t="s">
        <v>111</v>
      </c>
      <c r="C179" s="2" t="s">
        <v>27</v>
      </c>
      <c r="D179" s="2" t="s">
        <v>601</v>
      </c>
      <c r="E179" s="2" t="s">
        <v>110</v>
      </c>
      <c r="F179" s="2" t="s">
        <v>65</v>
      </c>
      <c r="G179" s="2" t="n">
        <v>296</v>
      </c>
      <c r="H179" s="2" t="n">
        <v>850000</v>
      </c>
      <c r="I179" s="2" t="s">
        <v>31</v>
      </c>
      <c r="J179" s="2" t="n">
        <v>10</v>
      </c>
      <c r="K179" s="3" t="s">
        <v>358</v>
      </c>
      <c r="L179" s="4" t="n">
        <f aca="false">G179*H179</f>
        <v>251600000</v>
      </c>
      <c r="M179" s="2" t="n">
        <f aca="false">IF(I179="Received",(K179-B179)-J179,"-")</f>
        <v>3</v>
      </c>
      <c r="N179" s="2" t="str">
        <f aca="false">IF(I179="Received",IF(M179&lt;=0,"Tepat Waktu","Terlambat"),"-")</f>
        <v>Terlambat</v>
      </c>
    </row>
    <row r="180" customFormat="false" ht="15" hidden="false" customHeight="false" outlineLevel="0" collapsed="false">
      <c r="A180" s="2" t="s">
        <v>602</v>
      </c>
      <c r="B180" s="3" t="s">
        <v>338</v>
      </c>
      <c r="C180" s="2" t="s">
        <v>182</v>
      </c>
      <c r="D180" s="2" t="s">
        <v>603</v>
      </c>
      <c r="E180" s="2" t="s">
        <v>29</v>
      </c>
      <c r="F180" s="2" t="s">
        <v>30</v>
      </c>
      <c r="G180" s="2" t="n">
        <v>476</v>
      </c>
      <c r="H180" s="2" t="n">
        <v>850000</v>
      </c>
      <c r="I180" s="2" t="s">
        <v>31</v>
      </c>
      <c r="J180" s="2" t="n">
        <v>10</v>
      </c>
      <c r="K180" s="3" t="s">
        <v>248</v>
      </c>
      <c r="L180" s="4" t="n">
        <f aca="false">G180*H180</f>
        <v>404600000</v>
      </c>
      <c r="M180" s="2" t="n">
        <f aca="false">IF(I180="Received",(K180-B180)-J180,"-")</f>
        <v>5</v>
      </c>
      <c r="N180" s="2" t="str">
        <f aca="false">IF(I180="Received",IF(M180&lt;=0,"Tepat Waktu","Terlambat"),"-")</f>
        <v>Terlambat</v>
      </c>
    </row>
    <row r="181" customFormat="false" ht="15" hidden="false" customHeight="false" outlineLevel="0" collapsed="false">
      <c r="A181" s="2" t="s">
        <v>604</v>
      </c>
      <c r="B181" s="3" t="s">
        <v>605</v>
      </c>
      <c r="C181" s="2" t="s">
        <v>54</v>
      </c>
      <c r="D181" s="2" t="s">
        <v>606</v>
      </c>
      <c r="E181" s="2" t="s">
        <v>133</v>
      </c>
      <c r="F181" s="2" t="s">
        <v>89</v>
      </c>
      <c r="G181" s="2" t="n">
        <v>365</v>
      </c>
      <c r="H181" s="2" t="n">
        <v>1200000</v>
      </c>
      <c r="I181" s="2" t="s">
        <v>47</v>
      </c>
      <c r="J181" s="2" t="n">
        <v>14</v>
      </c>
      <c r="K181" s="3"/>
      <c r="L181" s="4" t="n">
        <f aca="false">G181*H181</f>
        <v>438000000</v>
      </c>
      <c r="M181" s="2" t="str">
        <f aca="false">IF(I181="Received",(K181-B181)-J181,"-")</f>
        <v>-</v>
      </c>
      <c r="N181" s="2" t="str">
        <f aca="false">IF(I181="Received",IF(M181&lt;=0,"Tepat Waktu","Terlambat"),"-")</f>
        <v>-</v>
      </c>
    </row>
    <row r="182" customFormat="false" ht="15" hidden="false" customHeight="false" outlineLevel="0" collapsed="false">
      <c r="A182" s="2" t="s">
        <v>607</v>
      </c>
      <c r="B182" s="3" t="s">
        <v>381</v>
      </c>
      <c r="C182" s="2" t="s">
        <v>82</v>
      </c>
      <c r="D182" s="2" t="s">
        <v>608</v>
      </c>
      <c r="E182" s="2" t="s">
        <v>198</v>
      </c>
      <c r="F182" s="2" t="s">
        <v>30</v>
      </c>
      <c r="G182" s="2" t="n">
        <v>272</v>
      </c>
      <c r="H182" s="2" t="n">
        <v>25000</v>
      </c>
      <c r="I182" s="2" t="s">
        <v>31</v>
      </c>
      <c r="J182" s="2" t="n">
        <v>5</v>
      </c>
      <c r="K182" s="3" t="s">
        <v>343</v>
      </c>
      <c r="L182" s="4" t="n">
        <f aca="false">G182*H182</f>
        <v>6800000</v>
      </c>
      <c r="M182" s="2" t="n">
        <f aca="false">IF(I182="Received",(K182-B182)-J182,"-")</f>
        <v>5</v>
      </c>
      <c r="N182" s="2" t="str">
        <f aca="false">IF(I182="Received",IF(M182&lt;=0,"Tepat Waktu","Terlambat"),"-")</f>
        <v>Terlambat</v>
      </c>
    </row>
    <row r="183" customFormat="false" ht="15" hidden="false" customHeight="false" outlineLevel="0" collapsed="false">
      <c r="A183" s="2" t="s">
        <v>609</v>
      </c>
      <c r="B183" s="3" t="s">
        <v>610</v>
      </c>
      <c r="C183" s="2" t="s">
        <v>27</v>
      </c>
      <c r="D183" s="2" t="s">
        <v>611</v>
      </c>
      <c r="E183" s="2" t="s">
        <v>22</v>
      </c>
      <c r="F183" s="2" t="s">
        <v>23</v>
      </c>
      <c r="G183" s="2" t="n">
        <v>32</v>
      </c>
      <c r="H183" s="2" t="n">
        <v>15000</v>
      </c>
      <c r="I183" s="2" t="s">
        <v>24</v>
      </c>
      <c r="J183" s="2" t="n">
        <v>5</v>
      </c>
      <c r="K183" s="3"/>
      <c r="L183" s="4" t="n">
        <f aca="false">G183*H183</f>
        <v>480000</v>
      </c>
      <c r="M183" s="2" t="str">
        <f aca="false">IF(I183="Received",(K183-B183)-J183,"-")</f>
        <v>-</v>
      </c>
      <c r="N183" s="2" t="str">
        <f aca="false">IF(I183="Received",IF(M183&lt;=0,"Tepat Waktu","Terlambat"),"-")</f>
        <v>-</v>
      </c>
    </row>
    <row r="184" customFormat="false" ht="15" hidden="false" customHeight="false" outlineLevel="0" collapsed="false">
      <c r="A184" s="2" t="s">
        <v>612</v>
      </c>
      <c r="B184" s="3" t="s">
        <v>613</v>
      </c>
      <c r="C184" s="2" t="s">
        <v>96</v>
      </c>
      <c r="D184" s="2" t="s">
        <v>614</v>
      </c>
      <c r="E184" s="2" t="s">
        <v>145</v>
      </c>
      <c r="F184" s="2" t="s">
        <v>42</v>
      </c>
      <c r="G184" s="2" t="n">
        <v>389</v>
      </c>
      <c r="H184" s="2" t="n">
        <v>850000</v>
      </c>
      <c r="I184" s="2" t="s">
        <v>31</v>
      </c>
      <c r="J184" s="2" t="n">
        <v>7</v>
      </c>
      <c r="K184" s="3" t="s">
        <v>398</v>
      </c>
      <c r="L184" s="4" t="n">
        <f aca="false">G184*H184</f>
        <v>330650000</v>
      </c>
      <c r="M184" s="2" t="n">
        <f aca="false">IF(I184="Received",(K184-B184)-J184,"-")</f>
        <v>2</v>
      </c>
      <c r="N184" s="2" t="str">
        <f aca="false">IF(I184="Received",IF(M184&lt;=0,"Tepat Waktu","Terlambat"),"-")</f>
        <v>Terlambat</v>
      </c>
    </row>
    <row r="185" customFormat="false" ht="15" hidden="false" customHeight="false" outlineLevel="0" collapsed="false">
      <c r="A185" s="2" t="s">
        <v>615</v>
      </c>
      <c r="B185" s="3" t="s">
        <v>616</v>
      </c>
      <c r="C185" s="2" t="s">
        <v>72</v>
      </c>
      <c r="D185" s="2" t="s">
        <v>617</v>
      </c>
      <c r="E185" s="2" t="s">
        <v>22</v>
      </c>
      <c r="F185" s="2" t="s">
        <v>23</v>
      </c>
      <c r="G185" s="2" t="n">
        <v>198</v>
      </c>
      <c r="H185" s="2" t="n">
        <v>500000</v>
      </c>
      <c r="I185" s="2" t="s">
        <v>47</v>
      </c>
      <c r="J185" s="2" t="n">
        <v>3</v>
      </c>
      <c r="K185" s="3"/>
      <c r="L185" s="4" t="n">
        <f aca="false">G185*H185</f>
        <v>99000000</v>
      </c>
      <c r="M185" s="2" t="str">
        <f aca="false">IF(I185="Received",(K185-B185)-J185,"-")</f>
        <v>-</v>
      </c>
      <c r="N185" s="2" t="str">
        <f aca="false">IF(I185="Received",IF(M185&lt;=0,"Tepat Waktu","Terlambat"),"-")</f>
        <v>-</v>
      </c>
    </row>
    <row r="186" customFormat="false" ht="15" hidden="false" customHeight="false" outlineLevel="0" collapsed="false">
      <c r="A186" s="2" t="s">
        <v>618</v>
      </c>
      <c r="B186" s="3" t="s">
        <v>619</v>
      </c>
      <c r="C186" s="2" t="s">
        <v>96</v>
      </c>
      <c r="D186" s="2" t="s">
        <v>620</v>
      </c>
      <c r="E186" s="2" t="s">
        <v>110</v>
      </c>
      <c r="F186" s="2" t="s">
        <v>65</v>
      </c>
      <c r="G186" s="2" t="n">
        <v>443</v>
      </c>
      <c r="H186" s="2" t="n">
        <v>850000</v>
      </c>
      <c r="I186" s="2" t="s">
        <v>31</v>
      </c>
      <c r="J186" s="2" t="n">
        <v>3</v>
      </c>
      <c r="K186" s="3" t="s">
        <v>483</v>
      </c>
      <c r="L186" s="4" t="n">
        <f aca="false">G186*H186</f>
        <v>376550000</v>
      </c>
      <c r="M186" s="2" t="n">
        <f aca="false">IF(I186="Received",(K186-B186)-J186,"-")</f>
        <v>5</v>
      </c>
      <c r="N186" s="2" t="str">
        <f aca="false">IF(I186="Received",IF(M186&lt;=0,"Tepat Waktu","Terlambat"),"-")</f>
        <v>Terlambat</v>
      </c>
    </row>
    <row r="187" customFormat="false" ht="15" hidden="false" customHeight="false" outlineLevel="0" collapsed="false">
      <c r="A187" s="2" t="s">
        <v>621</v>
      </c>
      <c r="B187" s="3" t="s">
        <v>418</v>
      </c>
      <c r="C187" s="2" t="s">
        <v>182</v>
      </c>
      <c r="D187" s="2" t="s">
        <v>622</v>
      </c>
      <c r="E187" s="2" t="s">
        <v>243</v>
      </c>
      <c r="F187" s="2" t="s">
        <v>16</v>
      </c>
      <c r="G187" s="2" t="n">
        <v>23</v>
      </c>
      <c r="H187" s="2" t="n">
        <v>1200000</v>
      </c>
      <c r="I187" s="2" t="s">
        <v>31</v>
      </c>
      <c r="J187" s="2" t="n">
        <v>3</v>
      </c>
      <c r="K187" s="3" t="s">
        <v>623</v>
      </c>
      <c r="L187" s="4" t="n">
        <f aca="false">G187*H187</f>
        <v>27600000</v>
      </c>
      <c r="M187" s="2" t="n">
        <f aca="false">IF(I187="Received",(K187-B187)-J187,"-")</f>
        <v>2</v>
      </c>
      <c r="N187" s="2" t="str">
        <f aca="false">IF(I187="Received",IF(M187&lt;=0,"Tepat Waktu","Terlambat"),"-")</f>
        <v>Terlambat</v>
      </c>
    </row>
    <row r="188" customFormat="false" ht="15" hidden="false" customHeight="false" outlineLevel="0" collapsed="false">
      <c r="A188" s="2" t="s">
        <v>624</v>
      </c>
      <c r="B188" s="3" t="s">
        <v>625</v>
      </c>
      <c r="C188" s="2" t="s">
        <v>72</v>
      </c>
      <c r="D188" s="2" t="s">
        <v>626</v>
      </c>
      <c r="E188" s="2" t="s">
        <v>51</v>
      </c>
      <c r="F188" s="2" t="s">
        <v>23</v>
      </c>
      <c r="G188" s="2" t="n">
        <v>191</v>
      </c>
      <c r="H188" s="2" t="n">
        <v>15000</v>
      </c>
      <c r="I188" s="2" t="s">
        <v>47</v>
      </c>
      <c r="J188" s="2" t="n">
        <v>10</v>
      </c>
      <c r="K188" s="3"/>
      <c r="L188" s="4" t="n">
        <f aca="false">G188*H188</f>
        <v>2865000</v>
      </c>
      <c r="M188" s="2" t="str">
        <f aca="false">IF(I188="Received",(K188-B188)-J188,"-")</f>
        <v>-</v>
      </c>
      <c r="N188" s="2" t="str">
        <f aca="false">IF(I188="Received",IF(M188&lt;=0,"Tepat Waktu","Terlambat"),"-")</f>
        <v>-</v>
      </c>
    </row>
    <row r="189" customFormat="false" ht="15" hidden="false" customHeight="false" outlineLevel="0" collapsed="false">
      <c r="A189" s="2" t="s">
        <v>627</v>
      </c>
      <c r="B189" s="3" t="s">
        <v>26</v>
      </c>
      <c r="C189" s="2" t="s">
        <v>72</v>
      </c>
      <c r="D189" s="2" t="s">
        <v>628</v>
      </c>
      <c r="E189" s="2" t="s">
        <v>281</v>
      </c>
      <c r="F189" s="2" t="s">
        <v>65</v>
      </c>
      <c r="G189" s="2" t="n">
        <v>371</v>
      </c>
      <c r="H189" s="2" t="n">
        <v>250000</v>
      </c>
      <c r="I189" s="2" t="s">
        <v>24</v>
      </c>
      <c r="J189" s="2" t="n">
        <v>3</v>
      </c>
      <c r="K189" s="3"/>
      <c r="L189" s="4" t="n">
        <f aca="false">G189*H189</f>
        <v>92750000</v>
      </c>
      <c r="M189" s="2" t="str">
        <f aca="false">IF(I189="Received",(K189-B189)-J189,"-")</f>
        <v>-</v>
      </c>
      <c r="N189" s="2" t="str">
        <f aca="false">IF(I189="Received",IF(M189&lt;=0,"Tepat Waktu","Terlambat"),"-")</f>
        <v>-</v>
      </c>
    </row>
    <row r="190" customFormat="false" ht="15" hidden="false" customHeight="false" outlineLevel="0" collapsed="false">
      <c r="A190" s="2" t="s">
        <v>629</v>
      </c>
      <c r="B190" s="3" t="s">
        <v>136</v>
      </c>
      <c r="C190" s="2" t="s">
        <v>82</v>
      </c>
      <c r="D190" s="2" t="s">
        <v>630</v>
      </c>
      <c r="E190" s="2" t="s">
        <v>162</v>
      </c>
      <c r="F190" s="2" t="s">
        <v>16</v>
      </c>
      <c r="G190" s="2" t="n">
        <v>429</v>
      </c>
      <c r="H190" s="2" t="n">
        <v>120000</v>
      </c>
      <c r="I190" s="2" t="s">
        <v>31</v>
      </c>
      <c r="J190" s="2" t="n">
        <v>7</v>
      </c>
      <c r="K190" s="3" t="s">
        <v>631</v>
      </c>
      <c r="L190" s="4" t="n">
        <f aca="false">G190*H190</f>
        <v>51480000</v>
      </c>
      <c r="M190" s="2" t="n">
        <f aca="false">IF(I190="Received",(K190-B190)-J190,"-")</f>
        <v>-1</v>
      </c>
      <c r="N190" s="2" t="str">
        <f aca="false">IF(I190="Received",IF(M190&lt;=0,"Tepat Waktu","Terlambat"),"-")</f>
        <v>Tepat Waktu</v>
      </c>
    </row>
    <row r="191" customFormat="false" ht="15" hidden="false" customHeight="false" outlineLevel="0" collapsed="false">
      <c r="A191" s="2" t="s">
        <v>632</v>
      </c>
      <c r="B191" s="3" t="s">
        <v>605</v>
      </c>
      <c r="C191" s="2" t="s">
        <v>77</v>
      </c>
      <c r="D191" s="2" t="s">
        <v>633</v>
      </c>
      <c r="E191" s="2" t="s">
        <v>145</v>
      </c>
      <c r="F191" s="2" t="s">
        <v>42</v>
      </c>
      <c r="G191" s="2" t="n">
        <v>372</v>
      </c>
      <c r="H191" s="2" t="n">
        <v>500000</v>
      </c>
      <c r="I191" s="2" t="s">
        <v>31</v>
      </c>
      <c r="J191" s="2" t="n">
        <v>14</v>
      </c>
      <c r="K191" s="3" t="s">
        <v>361</v>
      </c>
      <c r="L191" s="4" t="n">
        <f aca="false">G191*H191</f>
        <v>186000000</v>
      </c>
      <c r="M191" s="2" t="n">
        <f aca="false">IF(I191="Received",(K191-B191)-J191,"-")</f>
        <v>1</v>
      </c>
      <c r="N191" s="2" t="str">
        <f aca="false">IF(I191="Received",IF(M191&lt;=0,"Tepat Waktu","Terlambat"),"-")</f>
        <v>Terlambat</v>
      </c>
    </row>
    <row r="192" customFormat="false" ht="15" hidden="false" customHeight="false" outlineLevel="0" collapsed="false">
      <c r="A192" s="2" t="s">
        <v>634</v>
      </c>
      <c r="B192" s="3" t="s">
        <v>489</v>
      </c>
      <c r="C192" s="2" t="s">
        <v>54</v>
      </c>
      <c r="D192" s="2" t="s">
        <v>635</v>
      </c>
      <c r="E192" s="2" t="s">
        <v>145</v>
      </c>
      <c r="F192" s="2" t="s">
        <v>42</v>
      </c>
      <c r="G192" s="2" t="n">
        <v>427</v>
      </c>
      <c r="H192" s="2" t="n">
        <v>75000</v>
      </c>
      <c r="I192" s="2" t="s">
        <v>24</v>
      </c>
      <c r="J192" s="2" t="n">
        <v>3</v>
      </c>
      <c r="K192" s="3"/>
      <c r="L192" s="4" t="n">
        <f aca="false">G192*H192</f>
        <v>32025000</v>
      </c>
      <c r="M192" s="2" t="str">
        <f aca="false">IF(I192="Received",(K192-B192)-J192,"-")</f>
        <v>-</v>
      </c>
      <c r="N192" s="2" t="str">
        <f aca="false">IF(I192="Received",IF(M192&lt;=0,"Tepat Waktu","Terlambat"),"-")</f>
        <v>-</v>
      </c>
    </row>
    <row r="193" customFormat="false" ht="15" hidden="false" customHeight="false" outlineLevel="0" collapsed="false">
      <c r="A193" s="2" t="s">
        <v>636</v>
      </c>
      <c r="B193" s="3" t="s">
        <v>637</v>
      </c>
      <c r="C193" s="2" t="s">
        <v>182</v>
      </c>
      <c r="D193" s="2" t="s">
        <v>638</v>
      </c>
      <c r="E193" s="2" t="s">
        <v>114</v>
      </c>
      <c r="F193" s="2" t="s">
        <v>30</v>
      </c>
      <c r="G193" s="2" t="n">
        <v>400</v>
      </c>
      <c r="H193" s="2" t="n">
        <v>850000</v>
      </c>
      <c r="I193" s="2" t="s">
        <v>31</v>
      </c>
      <c r="J193" s="2" t="n">
        <v>14</v>
      </c>
      <c r="K193" s="3" t="s">
        <v>573</v>
      </c>
      <c r="L193" s="4" t="n">
        <f aca="false">G193*H193</f>
        <v>340000000</v>
      </c>
      <c r="M193" s="2" t="n">
        <f aca="false">IF(I193="Received",(K193-B193)-J193,"-")</f>
        <v>6</v>
      </c>
      <c r="N193" s="2" t="str">
        <f aca="false">IF(I193="Received",IF(M193&lt;=0,"Tepat Waktu","Terlambat"),"-")</f>
        <v>Terlambat</v>
      </c>
    </row>
    <row r="194" customFormat="false" ht="15" hidden="false" customHeight="false" outlineLevel="0" collapsed="false">
      <c r="A194" s="2" t="s">
        <v>639</v>
      </c>
      <c r="B194" s="3" t="s">
        <v>60</v>
      </c>
      <c r="C194" s="2" t="s">
        <v>96</v>
      </c>
      <c r="D194" s="2" t="s">
        <v>640</v>
      </c>
      <c r="E194" s="2" t="s">
        <v>119</v>
      </c>
      <c r="F194" s="2" t="s">
        <v>16</v>
      </c>
      <c r="G194" s="2" t="n">
        <v>29</v>
      </c>
      <c r="H194" s="2" t="n">
        <v>1200000</v>
      </c>
      <c r="I194" s="2" t="s">
        <v>17</v>
      </c>
      <c r="J194" s="2" t="n">
        <v>14</v>
      </c>
      <c r="K194" s="3"/>
      <c r="L194" s="4" t="n">
        <f aca="false">G194*H194</f>
        <v>34800000</v>
      </c>
      <c r="M194" s="2" t="str">
        <f aca="false">IF(I194="Received",(K194-B194)-J194,"-")</f>
        <v>-</v>
      </c>
      <c r="N194" s="2" t="str">
        <f aca="false">IF(I194="Received",IF(M194&lt;=0,"Tepat Waktu","Terlambat"),"-")</f>
        <v>-</v>
      </c>
    </row>
    <row r="195" customFormat="false" ht="15" hidden="false" customHeight="false" outlineLevel="0" collapsed="false">
      <c r="A195" s="2" t="s">
        <v>641</v>
      </c>
      <c r="B195" s="3" t="s">
        <v>642</v>
      </c>
      <c r="C195" s="2" t="s">
        <v>72</v>
      </c>
      <c r="D195" s="2" t="s">
        <v>643</v>
      </c>
      <c r="E195" s="2" t="s">
        <v>22</v>
      </c>
      <c r="F195" s="2" t="s">
        <v>23</v>
      </c>
      <c r="G195" s="2" t="n">
        <v>379</v>
      </c>
      <c r="H195" s="2" t="n">
        <v>45000</v>
      </c>
      <c r="I195" s="2" t="s">
        <v>31</v>
      </c>
      <c r="J195" s="2" t="n">
        <v>14</v>
      </c>
      <c r="K195" s="3" t="s">
        <v>547</v>
      </c>
      <c r="L195" s="4" t="n">
        <f aca="false">G195*H195</f>
        <v>17055000</v>
      </c>
      <c r="M195" s="2" t="n">
        <f aca="false">IF(I195="Received",(K195-B195)-J195,"-")</f>
        <v>3</v>
      </c>
      <c r="N195" s="2" t="str">
        <f aca="false">IF(I195="Received",IF(M195&lt;=0,"Tepat Waktu","Terlambat"),"-")</f>
        <v>Terlambat</v>
      </c>
    </row>
    <row r="196" customFormat="false" ht="15" hidden="false" customHeight="false" outlineLevel="0" collapsed="false">
      <c r="A196" s="2" t="s">
        <v>644</v>
      </c>
      <c r="B196" s="3" t="s">
        <v>613</v>
      </c>
      <c r="C196" s="2" t="s">
        <v>27</v>
      </c>
      <c r="D196" s="2" t="s">
        <v>645</v>
      </c>
      <c r="E196" s="2" t="s">
        <v>386</v>
      </c>
      <c r="F196" s="2" t="s">
        <v>42</v>
      </c>
      <c r="G196" s="2" t="n">
        <v>395</v>
      </c>
      <c r="H196" s="2" t="n">
        <v>75000</v>
      </c>
      <c r="I196" s="2" t="s">
        <v>31</v>
      </c>
      <c r="J196" s="2" t="n">
        <v>7</v>
      </c>
      <c r="K196" s="3" t="s">
        <v>398</v>
      </c>
      <c r="L196" s="4" t="n">
        <f aca="false">G196*H196</f>
        <v>29625000</v>
      </c>
      <c r="M196" s="2" t="n">
        <f aca="false">IF(I196="Received",(K196-B196)-J196,"-")</f>
        <v>2</v>
      </c>
      <c r="N196" s="2" t="str">
        <f aca="false">IF(I196="Received",IF(M196&lt;=0,"Tepat Waktu","Terlambat"),"-")</f>
        <v>Terlambat</v>
      </c>
    </row>
    <row r="197" customFormat="false" ht="15" hidden="false" customHeight="false" outlineLevel="0" collapsed="false">
      <c r="A197" s="2" t="s">
        <v>646</v>
      </c>
      <c r="B197" s="3" t="s">
        <v>647</v>
      </c>
      <c r="C197" s="2" t="s">
        <v>77</v>
      </c>
      <c r="D197" s="2" t="s">
        <v>648</v>
      </c>
      <c r="E197" s="2" t="s">
        <v>51</v>
      </c>
      <c r="F197" s="2" t="s">
        <v>23</v>
      </c>
      <c r="G197" s="2" t="n">
        <v>363</v>
      </c>
      <c r="H197" s="2" t="n">
        <v>1200000</v>
      </c>
      <c r="I197" s="2" t="s">
        <v>31</v>
      </c>
      <c r="J197" s="2" t="n">
        <v>14</v>
      </c>
      <c r="K197" s="3" t="s">
        <v>175</v>
      </c>
      <c r="L197" s="4" t="n">
        <f aca="false">G197*H197</f>
        <v>435600000</v>
      </c>
      <c r="M197" s="2" t="n">
        <f aca="false">IF(I197="Received",(K197-B197)-J197,"-")</f>
        <v>3</v>
      </c>
      <c r="N197" s="2" t="str">
        <f aca="false">IF(I197="Received",IF(M197&lt;=0,"Tepat Waktu","Terlambat"),"-")</f>
        <v>Terlambat</v>
      </c>
    </row>
    <row r="198" customFormat="false" ht="15" hidden="false" customHeight="false" outlineLevel="0" collapsed="false">
      <c r="A198" s="2" t="s">
        <v>649</v>
      </c>
      <c r="B198" s="3" t="s">
        <v>650</v>
      </c>
      <c r="C198" s="2" t="s">
        <v>72</v>
      </c>
      <c r="D198" s="2" t="s">
        <v>651</v>
      </c>
      <c r="E198" s="2" t="s">
        <v>29</v>
      </c>
      <c r="F198" s="2" t="s">
        <v>30</v>
      </c>
      <c r="G198" s="2" t="n">
        <v>112</v>
      </c>
      <c r="H198" s="2" t="n">
        <v>120000</v>
      </c>
      <c r="I198" s="2" t="s">
        <v>24</v>
      </c>
      <c r="J198" s="2" t="n">
        <v>5</v>
      </c>
      <c r="K198" s="3"/>
      <c r="L198" s="4" t="n">
        <f aca="false">G198*H198</f>
        <v>13440000</v>
      </c>
      <c r="M198" s="2" t="str">
        <f aca="false">IF(I198="Received",(K198-B198)-J198,"-")</f>
        <v>-</v>
      </c>
      <c r="N198" s="2" t="str">
        <f aca="false">IF(I198="Received",IF(M198&lt;=0,"Tepat Waktu","Terlambat"),"-")</f>
        <v>-</v>
      </c>
    </row>
    <row r="199" customFormat="false" ht="15" hidden="false" customHeight="false" outlineLevel="0" collapsed="false">
      <c r="A199" s="2" t="s">
        <v>652</v>
      </c>
      <c r="B199" s="3" t="s">
        <v>179</v>
      </c>
      <c r="C199" s="2" t="s">
        <v>77</v>
      </c>
      <c r="D199" s="2" t="s">
        <v>242</v>
      </c>
      <c r="E199" s="2" t="s">
        <v>281</v>
      </c>
      <c r="F199" s="2" t="s">
        <v>65</v>
      </c>
      <c r="G199" s="2" t="n">
        <v>331</v>
      </c>
      <c r="H199" s="2" t="n">
        <v>250000</v>
      </c>
      <c r="I199" s="2" t="s">
        <v>24</v>
      </c>
      <c r="J199" s="2" t="n">
        <v>7</v>
      </c>
      <c r="K199" s="3"/>
      <c r="L199" s="4" t="n">
        <f aca="false">G199*H199</f>
        <v>82750000</v>
      </c>
      <c r="M199" s="2" t="str">
        <f aca="false">IF(I199="Received",(K199-B199)-J199,"-")</f>
        <v>-</v>
      </c>
      <c r="N199" s="2" t="str">
        <f aca="false">IF(I199="Received",IF(M199&lt;=0,"Tepat Waktu","Terlambat"),"-")</f>
        <v>-</v>
      </c>
    </row>
    <row r="200" customFormat="false" ht="15" hidden="false" customHeight="false" outlineLevel="0" collapsed="false">
      <c r="A200" s="2" t="s">
        <v>653</v>
      </c>
      <c r="B200" s="3" t="s">
        <v>654</v>
      </c>
      <c r="C200" s="2" t="s">
        <v>96</v>
      </c>
      <c r="D200" s="2" t="s">
        <v>655</v>
      </c>
      <c r="E200" s="2" t="s">
        <v>281</v>
      </c>
      <c r="F200" s="2" t="s">
        <v>65</v>
      </c>
      <c r="G200" s="2" t="n">
        <v>368</v>
      </c>
      <c r="H200" s="2" t="n">
        <v>500000</v>
      </c>
      <c r="I200" s="2" t="s">
        <v>24</v>
      </c>
      <c r="J200" s="2" t="n">
        <v>14</v>
      </c>
      <c r="K200" s="3"/>
      <c r="L200" s="4" t="n">
        <f aca="false">G200*H200</f>
        <v>184000000</v>
      </c>
      <c r="M200" s="2" t="str">
        <f aca="false">IF(I200="Received",(K200-B200)-J200,"-")</f>
        <v>-</v>
      </c>
      <c r="N200" s="2" t="str">
        <f aca="false">IF(I200="Received",IF(M200&lt;=0,"Tepat Waktu","Terlambat"),"-")</f>
        <v>-</v>
      </c>
    </row>
    <row r="201" customFormat="false" ht="15" hidden="false" customHeight="false" outlineLevel="0" collapsed="false">
      <c r="A201" s="2" t="s">
        <v>656</v>
      </c>
      <c r="B201" s="3" t="s">
        <v>657</v>
      </c>
      <c r="C201" s="2" t="s">
        <v>27</v>
      </c>
      <c r="D201" s="2" t="s">
        <v>658</v>
      </c>
      <c r="E201" s="2" t="s">
        <v>119</v>
      </c>
      <c r="F201" s="2" t="s">
        <v>16</v>
      </c>
      <c r="G201" s="2" t="n">
        <v>17</v>
      </c>
      <c r="H201" s="2" t="n">
        <v>500000</v>
      </c>
      <c r="I201" s="2" t="s">
        <v>31</v>
      </c>
      <c r="J201" s="2" t="n">
        <v>3</v>
      </c>
      <c r="K201" s="3" t="s">
        <v>154</v>
      </c>
      <c r="L201" s="4" t="n">
        <f aca="false">G201*H201</f>
        <v>8500000</v>
      </c>
      <c r="M201" s="2" t="n">
        <f aca="false">IF(I201="Received",(K201-B201)-J201,"-")</f>
        <v>1</v>
      </c>
      <c r="N201" s="2" t="str">
        <f aca="false">IF(I201="Received",IF(M201&lt;=0,"Tepat Waktu","Terlambat"),"-")</f>
        <v>Terlambat</v>
      </c>
    </row>
    <row r="202" customFormat="false" ht="15" hidden="false" customHeight="false" outlineLevel="0" collapsed="false">
      <c r="A202" s="2" t="s">
        <v>659</v>
      </c>
      <c r="B202" s="3" t="s">
        <v>660</v>
      </c>
      <c r="C202" s="2" t="s">
        <v>77</v>
      </c>
      <c r="D202" s="2" t="s">
        <v>661</v>
      </c>
      <c r="E202" s="2" t="s">
        <v>133</v>
      </c>
      <c r="F202" s="2" t="s">
        <v>89</v>
      </c>
      <c r="G202" s="2" t="n">
        <v>434</v>
      </c>
      <c r="H202" s="2" t="n">
        <v>15000</v>
      </c>
      <c r="I202" s="2" t="s">
        <v>24</v>
      </c>
      <c r="J202" s="2" t="n">
        <v>7</v>
      </c>
      <c r="K202" s="3"/>
      <c r="L202" s="4" t="n">
        <f aca="false">G202*H202</f>
        <v>6510000</v>
      </c>
      <c r="M202" s="2" t="str">
        <f aca="false">IF(I202="Received",(K202-B202)-J202,"-")</f>
        <v>-</v>
      </c>
      <c r="N202" s="2" t="str">
        <f aca="false">IF(I202="Received",IF(M202&lt;=0,"Tepat Waktu","Terlambat"),"-")</f>
        <v>-</v>
      </c>
    </row>
    <row r="203" customFormat="false" ht="15" hidden="false" customHeight="false" outlineLevel="0" collapsed="false">
      <c r="A203" s="2" t="s">
        <v>662</v>
      </c>
      <c r="B203" s="3" t="s">
        <v>663</v>
      </c>
      <c r="C203" s="2" t="s">
        <v>72</v>
      </c>
      <c r="D203" s="2" t="s">
        <v>664</v>
      </c>
      <c r="E203" s="2" t="s">
        <v>162</v>
      </c>
      <c r="F203" s="2" t="s">
        <v>16</v>
      </c>
      <c r="G203" s="2" t="n">
        <v>236</v>
      </c>
      <c r="H203" s="2" t="n">
        <v>25000</v>
      </c>
      <c r="I203" s="2" t="s">
        <v>24</v>
      </c>
      <c r="J203" s="2" t="n">
        <v>14</v>
      </c>
      <c r="K203" s="3"/>
      <c r="L203" s="4" t="n">
        <f aca="false">G203*H203</f>
        <v>5900000</v>
      </c>
      <c r="M203" s="2" t="str">
        <f aca="false">IF(I203="Received",(K203-B203)-J203,"-")</f>
        <v>-</v>
      </c>
      <c r="N203" s="2" t="str">
        <f aca="false">IF(I203="Received",IF(M203&lt;=0,"Tepat Waktu","Terlambat"),"-")</f>
        <v>-</v>
      </c>
    </row>
    <row r="204" customFormat="false" ht="15" hidden="false" customHeight="false" outlineLevel="0" collapsed="false">
      <c r="A204" s="2" t="s">
        <v>665</v>
      </c>
      <c r="B204" s="3" t="s">
        <v>204</v>
      </c>
      <c r="C204" s="2" t="s">
        <v>72</v>
      </c>
      <c r="D204" s="2" t="s">
        <v>666</v>
      </c>
      <c r="E204" s="2" t="s">
        <v>145</v>
      </c>
      <c r="F204" s="2" t="s">
        <v>42</v>
      </c>
      <c r="G204" s="2" t="n">
        <v>406</v>
      </c>
      <c r="H204" s="2" t="n">
        <v>120000</v>
      </c>
      <c r="I204" s="2" t="s">
        <v>24</v>
      </c>
      <c r="J204" s="2" t="n">
        <v>3</v>
      </c>
      <c r="K204" s="3"/>
      <c r="L204" s="4" t="n">
        <f aca="false">G204*H204</f>
        <v>48720000</v>
      </c>
      <c r="M204" s="2" t="str">
        <f aca="false">IF(I204="Received",(K204-B204)-J204,"-")</f>
        <v>-</v>
      </c>
      <c r="N204" s="2" t="str">
        <f aca="false">IF(I204="Received",IF(M204&lt;=0,"Tepat Waktu","Terlambat"),"-")</f>
        <v>-</v>
      </c>
    </row>
    <row r="205" customFormat="false" ht="15" hidden="false" customHeight="false" outlineLevel="0" collapsed="false">
      <c r="A205" s="2" t="s">
        <v>667</v>
      </c>
      <c r="B205" s="3" t="s">
        <v>668</v>
      </c>
      <c r="C205" s="2" t="s">
        <v>27</v>
      </c>
      <c r="D205" s="2" t="s">
        <v>669</v>
      </c>
      <c r="E205" s="2" t="s">
        <v>79</v>
      </c>
      <c r="F205" s="2" t="s">
        <v>42</v>
      </c>
      <c r="G205" s="2" t="n">
        <v>32</v>
      </c>
      <c r="H205" s="2" t="n">
        <v>15000</v>
      </c>
      <c r="I205" s="2" t="s">
        <v>24</v>
      </c>
      <c r="J205" s="2" t="n">
        <v>5</v>
      </c>
      <c r="K205" s="3"/>
      <c r="L205" s="4" t="n">
        <f aca="false">G205*H205</f>
        <v>480000</v>
      </c>
      <c r="M205" s="2" t="str">
        <f aca="false">IF(I205="Received",(K205-B205)-J205,"-")</f>
        <v>-</v>
      </c>
      <c r="N205" s="2" t="str">
        <f aca="false">IF(I205="Received",IF(M205&lt;=0,"Tepat Waktu","Terlambat"),"-")</f>
        <v>-</v>
      </c>
    </row>
    <row r="206" customFormat="false" ht="15" hidden="false" customHeight="false" outlineLevel="0" collapsed="false">
      <c r="A206" s="2" t="s">
        <v>670</v>
      </c>
      <c r="B206" s="3" t="s">
        <v>671</v>
      </c>
      <c r="C206" s="2" t="s">
        <v>96</v>
      </c>
      <c r="D206" s="2" t="s">
        <v>672</v>
      </c>
      <c r="E206" s="2" t="s">
        <v>106</v>
      </c>
      <c r="F206" s="2" t="s">
        <v>23</v>
      </c>
      <c r="G206" s="2" t="n">
        <v>306</v>
      </c>
      <c r="H206" s="2" t="n">
        <v>1200000</v>
      </c>
      <c r="I206" s="2" t="s">
        <v>24</v>
      </c>
      <c r="J206" s="2" t="n">
        <v>5</v>
      </c>
      <c r="K206" s="3"/>
      <c r="L206" s="4" t="n">
        <f aca="false">G206*H206</f>
        <v>367200000</v>
      </c>
      <c r="M206" s="2" t="str">
        <f aca="false">IF(I206="Received",(K206-B206)-J206,"-")</f>
        <v>-</v>
      </c>
      <c r="N206" s="2" t="str">
        <f aca="false">IF(I206="Received",IF(M206&lt;=0,"Tepat Waktu","Terlambat"),"-")</f>
        <v>-</v>
      </c>
    </row>
    <row r="207" customFormat="false" ht="15" hidden="false" customHeight="false" outlineLevel="0" collapsed="false">
      <c r="A207" s="2" t="s">
        <v>673</v>
      </c>
      <c r="B207" s="3" t="s">
        <v>674</v>
      </c>
      <c r="C207" s="2" t="s">
        <v>39</v>
      </c>
      <c r="D207" s="2" t="s">
        <v>675</v>
      </c>
      <c r="E207" s="2" t="s">
        <v>145</v>
      </c>
      <c r="F207" s="2" t="s">
        <v>42</v>
      </c>
      <c r="G207" s="2" t="n">
        <v>43</v>
      </c>
      <c r="H207" s="2" t="n">
        <v>45000</v>
      </c>
      <c r="I207" s="2" t="s">
        <v>17</v>
      </c>
      <c r="J207" s="2" t="n">
        <v>14</v>
      </c>
      <c r="K207" s="3"/>
      <c r="L207" s="4" t="n">
        <f aca="false">G207*H207</f>
        <v>1935000</v>
      </c>
      <c r="M207" s="2" t="str">
        <f aca="false">IF(I207="Received",(K207-B207)-J207,"-")</f>
        <v>-</v>
      </c>
      <c r="N207" s="2" t="str">
        <f aca="false">IF(I207="Received",IF(M207&lt;=0,"Tepat Waktu","Terlambat"),"-")</f>
        <v>-</v>
      </c>
    </row>
    <row r="208" customFormat="false" ht="15" hidden="false" customHeight="false" outlineLevel="0" collapsed="false">
      <c r="A208" s="2" t="s">
        <v>676</v>
      </c>
      <c r="B208" s="3" t="s">
        <v>677</v>
      </c>
      <c r="C208" s="2" t="s">
        <v>27</v>
      </c>
      <c r="D208" s="2" t="s">
        <v>678</v>
      </c>
      <c r="E208" s="2" t="s">
        <v>243</v>
      </c>
      <c r="F208" s="2" t="s">
        <v>16</v>
      </c>
      <c r="G208" s="2" t="n">
        <v>289</v>
      </c>
      <c r="H208" s="2" t="n">
        <v>120000</v>
      </c>
      <c r="I208" s="2" t="s">
        <v>31</v>
      </c>
      <c r="J208" s="2" t="n">
        <v>14</v>
      </c>
      <c r="K208" s="3" t="s">
        <v>449</v>
      </c>
      <c r="L208" s="4" t="n">
        <f aca="false">G208*H208</f>
        <v>34680000</v>
      </c>
      <c r="M208" s="2" t="n">
        <f aca="false">IF(I208="Received",(K208-B208)-J208,"-")</f>
        <v>2</v>
      </c>
      <c r="N208" s="2" t="str">
        <f aca="false">IF(I208="Received",IF(M208&lt;=0,"Tepat Waktu","Terlambat"),"-")</f>
        <v>Terlambat</v>
      </c>
    </row>
    <row r="209" customFormat="false" ht="15" hidden="false" customHeight="false" outlineLevel="0" collapsed="false">
      <c r="A209" s="2" t="s">
        <v>679</v>
      </c>
      <c r="B209" s="3" t="s">
        <v>549</v>
      </c>
      <c r="C209" s="2" t="s">
        <v>13</v>
      </c>
      <c r="D209" s="2" t="s">
        <v>680</v>
      </c>
      <c r="E209" s="2" t="s">
        <v>145</v>
      </c>
      <c r="F209" s="2" t="s">
        <v>42</v>
      </c>
      <c r="G209" s="2" t="n">
        <v>83</v>
      </c>
      <c r="H209" s="2" t="n">
        <v>250000</v>
      </c>
      <c r="I209" s="2" t="s">
        <v>24</v>
      </c>
      <c r="J209" s="2" t="n">
        <v>14</v>
      </c>
      <c r="K209" s="3"/>
      <c r="L209" s="4" t="n">
        <f aca="false">G209*H209</f>
        <v>20750000</v>
      </c>
      <c r="M209" s="2" t="str">
        <f aca="false">IF(I209="Received",(K209-B209)-J209,"-")</f>
        <v>-</v>
      </c>
      <c r="N209" s="2" t="str">
        <f aca="false">IF(I209="Received",IF(M209&lt;=0,"Tepat Waktu","Terlambat"),"-")</f>
        <v>-</v>
      </c>
    </row>
    <row r="210" customFormat="false" ht="15" hidden="false" customHeight="false" outlineLevel="0" collapsed="false">
      <c r="A210" s="2" t="s">
        <v>681</v>
      </c>
      <c r="B210" s="3" t="s">
        <v>682</v>
      </c>
      <c r="C210" s="2" t="s">
        <v>39</v>
      </c>
      <c r="D210" s="2" t="s">
        <v>683</v>
      </c>
      <c r="E210" s="2" t="s">
        <v>386</v>
      </c>
      <c r="F210" s="2" t="s">
        <v>42</v>
      </c>
      <c r="G210" s="2" t="n">
        <v>188</v>
      </c>
      <c r="H210" s="2" t="n">
        <v>25000</v>
      </c>
      <c r="I210" s="2" t="s">
        <v>47</v>
      </c>
      <c r="J210" s="2" t="n">
        <v>7</v>
      </c>
      <c r="K210" s="3"/>
      <c r="L210" s="4" t="n">
        <f aca="false">G210*H210</f>
        <v>4700000</v>
      </c>
      <c r="M210" s="2" t="str">
        <f aca="false">IF(I210="Received",(K210-B210)-J210,"-")</f>
        <v>-</v>
      </c>
      <c r="N210" s="2" t="str">
        <f aca="false">IF(I210="Received",IF(M210&lt;=0,"Tepat Waktu","Terlambat"),"-")</f>
        <v>-</v>
      </c>
    </row>
    <row r="211" customFormat="false" ht="15" hidden="false" customHeight="false" outlineLevel="0" collapsed="false">
      <c r="A211" s="2" t="s">
        <v>684</v>
      </c>
      <c r="B211" s="3" t="s">
        <v>685</v>
      </c>
      <c r="C211" s="2" t="s">
        <v>82</v>
      </c>
      <c r="D211" s="2" t="s">
        <v>686</v>
      </c>
      <c r="E211" s="2" t="s">
        <v>22</v>
      </c>
      <c r="F211" s="2" t="s">
        <v>23</v>
      </c>
      <c r="G211" s="2" t="n">
        <v>407</v>
      </c>
      <c r="H211" s="2" t="n">
        <v>1200000</v>
      </c>
      <c r="I211" s="2" t="s">
        <v>31</v>
      </c>
      <c r="J211" s="2" t="n">
        <v>14</v>
      </c>
      <c r="K211" s="3" t="s">
        <v>381</v>
      </c>
      <c r="L211" s="4" t="n">
        <f aca="false">G211*H211</f>
        <v>488400000</v>
      </c>
      <c r="M211" s="2" t="n">
        <f aca="false">IF(I211="Received",(K211-B211)-J211,"-")</f>
        <v>6</v>
      </c>
      <c r="N211" s="2" t="str">
        <f aca="false">IF(I211="Received",IF(M211&lt;=0,"Tepat Waktu","Terlambat"),"-")</f>
        <v>Terlambat</v>
      </c>
    </row>
    <row r="212" customFormat="false" ht="15" hidden="false" customHeight="false" outlineLevel="0" collapsed="false">
      <c r="A212" s="2" t="s">
        <v>687</v>
      </c>
      <c r="B212" s="3" t="s">
        <v>688</v>
      </c>
      <c r="C212" s="2" t="s">
        <v>54</v>
      </c>
      <c r="D212" s="2" t="s">
        <v>689</v>
      </c>
      <c r="E212" s="2" t="s">
        <v>184</v>
      </c>
      <c r="F212" s="2" t="s">
        <v>89</v>
      </c>
      <c r="G212" s="2" t="n">
        <v>344</v>
      </c>
      <c r="H212" s="2" t="n">
        <v>250000</v>
      </c>
      <c r="I212" s="2" t="s">
        <v>31</v>
      </c>
      <c r="J212" s="2" t="n">
        <v>7</v>
      </c>
      <c r="K212" s="3" t="s">
        <v>690</v>
      </c>
      <c r="L212" s="4" t="n">
        <f aca="false">G212*H212</f>
        <v>86000000</v>
      </c>
      <c r="M212" s="2" t="n">
        <f aca="false">IF(I212="Received",(K212-B212)-J212,"-")</f>
        <v>1</v>
      </c>
      <c r="N212" s="2" t="str">
        <f aca="false">IF(I212="Received",IF(M212&lt;=0,"Tepat Waktu","Terlambat"),"-")</f>
        <v>Terlambat</v>
      </c>
    </row>
    <row r="213" customFormat="false" ht="15" hidden="false" customHeight="false" outlineLevel="0" collapsed="false">
      <c r="A213" s="2" t="s">
        <v>691</v>
      </c>
      <c r="B213" s="3" t="s">
        <v>578</v>
      </c>
      <c r="C213" s="2" t="s">
        <v>72</v>
      </c>
      <c r="D213" s="2" t="s">
        <v>692</v>
      </c>
      <c r="E213" s="2" t="s">
        <v>386</v>
      </c>
      <c r="F213" s="2" t="s">
        <v>42</v>
      </c>
      <c r="G213" s="2" t="n">
        <v>390</v>
      </c>
      <c r="H213" s="2" t="n">
        <v>15000</v>
      </c>
      <c r="I213" s="2" t="s">
        <v>31</v>
      </c>
      <c r="J213" s="2" t="n">
        <v>7</v>
      </c>
      <c r="K213" s="3" t="s">
        <v>248</v>
      </c>
      <c r="L213" s="4" t="n">
        <f aca="false">G213*H213</f>
        <v>5850000</v>
      </c>
      <c r="M213" s="2" t="n">
        <f aca="false">IF(I213="Received",(K213-B213)-J213,"-")</f>
        <v>5</v>
      </c>
      <c r="N213" s="2" t="str">
        <f aca="false">IF(I213="Received",IF(M213&lt;=0,"Tepat Waktu","Terlambat"),"-")</f>
        <v>Terlambat</v>
      </c>
    </row>
    <row r="214" customFormat="false" ht="15" hidden="false" customHeight="false" outlineLevel="0" collapsed="false">
      <c r="A214" s="2" t="s">
        <v>693</v>
      </c>
      <c r="B214" s="3" t="s">
        <v>694</v>
      </c>
      <c r="C214" s="2" t="s">
        <v>20</v>
      </c>
      <c r="D214" s="2" t="s">
        <v>695</v>
      </c>
      <c r="E214" s="2" t="s">
        <v>94</v>
      </c>
      <c r="F214" s="2" t="s">
        <v>65</v>
      </c>
      <c r="G214" s="2" t="n">
        <v>354</v>
      </c>
      <c r="H214" s="2" t="n">
        <v>250000</v>
      </c>
      <c r="I214" s="2" t="s">
        <v>31</v>
      </c>
      <c r="J214" s="2" t="n">
        <v>3</v>
      </c>
      <c r="K214" s="3" t="s">
        <v>696</v>
      </c>
      <c r="L214" s="4" t="n">
        <f aca="false">G214*H214</f>
        <v>88500000</v>
      </c>
      <c r="M214" s="2" t="n">
        <f aca="false">IF(I214="Received",(K214-B214)-J214,"-")</f>
        <v>4</v>
      </c>
      <c r="N214" s="2" t="str">
        <f aca="false">IF(I214="Received",IF(M214&lt;=0,"Tepat Waktu","Terlambat"),"-")</f>
        <v>Terlambat</v>
      </c>
    </row>
    <row r="215" customFormat="false" ht="15" hidden="false" customHeight="false" outlineLevel="0" collapsed="false">
      <c r="A215" s="2" t="s">
        <v>697</v>
      </c>
      <c r="B215" s="3" t="s">
        <v>326</v>
      </c>
      <c r="C215" s="2" t="s">
        <v>72</v>
      </c>
      <c r="D215" s="2" t="s">
        <v>698</v>
      </c>
      <c r="E215" s="2" t="s">
        <v>198</v>
      </c>
      <c r="F215" s="2" t="s">
        <v>30</v>
      </c>
      <c r="G215" s="2" t="n">
        <v>471</v>
      </c>
      <c r="H215" s="2" t="n">
        <v>1200000</v>
      </c>
      <c r="I215" s="2" t="s">
        <v>47</v>
      </c>
      <c r="J215" s="2" t="n">
        <v>7</v>
      </c>
      <c r="K215" s="3"/>
      <c r="L215" s="4" t="n">
        <f aca="false">G215*H215</f>
        <v>565200000</v>
      </c>
      <c r="M215" s="2" t="str">
        <f aca="false">IF(I215="Received",(K215-B215)-J215,"-")</f>
        <v>-</v>
      </c>
      <c r="N215" s="2" t="str">
        <f aca="false">IF(I215="Received",IF(M215&lt;=0,"Tepat Waktu","Terlambat"),"-")</f>
        <v>-</v>
      </c>
    </row>
    <row r="216" customFormat="false" ht="15" hidden="false" customHeight="false" outlineLevel="0" collapsed="false">
      <c r="A216" s="2" t="s">
        <v>699</v>
      </c>
      <c r="B216" s="3" t="s">
        <v>216</v>
      </c>
      <c r="C216" s="2" t="s">
        <v>72</v>
      </c>
      <c r="D216" s="2" t="s">
        <v>700</v>
      </c>
      <c r="E216" s="2" t="s">
        <v>41</v>
      </c>
      <c r="F216" s="2" t="s">
        <v>42</v>
      </c>
      <c r="G216" s="2" t="n">
        <v>156</v>
      </c>
      <c r="H216" s="2" t="n">
        <v>75000</v>
      </c>
      <c r="I216" s="2" t="s">
        <v>31</v>
      </c>
      <c r="J216" s="2" t="n">
        <v>3</v>
      </c>
      <c r="K216" s="3" t="s">
        <v>218</v>
      </c>
      <c r="L216" s="4" t="n">
        <f aca="false">G216*H216</f>
        <v>11700000</v>
      </c>
      <c r="M216" s="2" t="n">
        <f aca="false">IF(I216="Received",(K216-B216)-J216,"-")</f>
        <v>-1</v>
      </c>
      <c r="N216" s="2" t="str">
        <f aca="false">IF(I216="Received",IF(M216&lt;=0,"Tepat Waktu","Terlambat"),"-")</f>
        <v>Tepat Waktu</v>
      </c>
    </row>
    <row r="217" customFormat="false" ht="15" hidden="false" customHeight="false" outlineLevel="0" collapsed="false">
      <c r="A217" s="2" t="s">
        <v>701</v>
      </c>
      <c r="B217" s="3" t="s">
        <v>117</v>
      </c>
      <c r="C217" s="2" t="s">
        <v>72</v>
      </c>
      <c r="D217" s="2" t="s">
        <v>225</v>
      </c>
      <c r="E217" s="2" t="s">
        <v>64</v>
      </c>
      <c r="F217" s="2" t="s">
        <v>65</v>
      </c>
      <c r="G217" s="2" t="n">
        <v>38</v>
      </c>
      <c r="H217" s="2" t="n">
        <v>75000</v>
      </c>
      <c r="I217" s="2" t="s">
        <v>24</v>
      </c>
      <c r="J217" s="2" t="n">
        <v>5</v>
      </c>
      <c r="K217" s="3"/>
      <c r="L217" s="4" t="n">
        <f aca="false">G217*H217</f>
        <v>2850000</v>
      </c>
      <c r="M217" s="2" t="str">
        <f aca="false">IF(I217="Received",(K217-B217)-J217,"-")</f>
        <v>-</v>
      </c>
      <c r="N217" s="2" t="str">
        <f aca="false">IF(I217="Received",IF(M217&lt;=0,"Tepat Waktu","Terlambat"),"-")</f>
        <v>-</v>
      </c>
    </row>
    <row r="218" customFormat="false" ht="15" hidden="false" customHeight="false" outlineLevel="0" collapsed="false">
      <c r="A218" s="2" t="s">
        <v>702</v>
      </c>
      <c r="B218" s="3" t="s">
        <v>703</v>
      </c>
      <c r="C218" s="2" t="s">
        <v>27</v>
      </c>
      <c r="D218" s="2" t="s">
        <v>183</v>
      </c>
      <c r="E218" s="2" t="s">
        <v>15</v>
      </c>
      <c r="F218" s="2" t="s">
        <v>16</v>
      </c>
      <c r="G218" s="2" t="n">
        <v>429</v>
      </c>
      <c r="H218" s="2" t="n">
        <v>500000</v>
      </c>
      <c r="I218" s="2" t="s">
        <v>24</v>
      </c>
      <c r="J218" s="2" t="n">
        <v>3</v>
      </c>
      <c r="K218" s="3"/>
      <c r="L218" s="4" t="n">
        <f aca="false">G218*H218</f>
        <v>214500000</v>
      </c>
      <c r="M218" s="2" t="str">
        <f aca="false">IF(I218="Received",(K218-B218)-J218,"-")</f>
        <v>-</v>
      </c>
      <c r="N218" s="2" t="str">
        <f aca="false">IF(I218="Received",IF(M218&lt;=0,"Tepat Waktu","Terlambat"),"-")</f>
        <v>-</v>
      </c>
    </row>
    <row r="219" customFormat="false" ht="15" hidden="false" customHeight="false" outlineLevel="0" collapsed="false">
      <c r="A219" s="2" t="s">
        <v>704</v>
      </c>
      <c r="B219" s="3" t="s">
        <v>705</v>
      </c>
      <c r="C219" s="2" t="s">
        <v>77</v>
      </c>
      <c r="D219" s="2" t="s">
        <v>706</v>
      </c>
      <c r="E219" s="2" t="s">
        <v>243</v>
      </c>
      <c r="F219" s="2" t="s">
        <v>16</v>
      </c>
      <c r="G219" s="2" t="n">
        <v>174</v>
      </c>
      <c r="H219" s="2" t="n">
        <v>15000</v>
      </c>
      <c r="I219" s="2" t="s">
        <v>31</v>
      </c>
      <c r="J219" s="2" t="n">
        <v>3</v>
      </c>
      <c r="K219" s="3" t="s">
        <v>707</v>
      </c>
      <c r="L219" s="4" t="n">
        <f aca="false">G219*H219</f>
        <v>2610000</v>
      </c>
      <c r="M219" s="2" t="n">
        <f aca="false">IF(I219="Received",(K219-B219)-J219,"-")</f>
        <v>0</v>
      </c>
      <c r="N219" s="2" t="str">
        <f aca="false">IF(I219="Received",IF(M219&lt;=0,"Tepat Waktu","Terlambat"),"-")</f>
        <v>Tepat Waktu</v>
      </c>
    </row>
    <row r="220" customFormat="false" ht="15" hidden="false" customHeight="false" outlineLevel="0" collapsed="false">
      <c r="A220" s="2" t="s">
        <v>708</v>
      </c>
      <c r="B220" s="3" t="s">
        <v>81</v>
      </c>
      <c r="C220" s="2" t="s">
        <v>72</v>
      </c>
      <c r="D220" s="2" t="s">
        <v>709</v>
      </c>
      <c r="E220" s="2" t="s">
        <v>119</v>
      </c>
      <c r="F220" s="2" t="s">
        <v>16</v>
      </c>
      <c r="G220" s="2" t="n">
        <v>121</v>
      </c>
      <c r="H220" s="2" t="n">
        <v>120000</v>
      </c>
      <c r="I220" s="2" t="s">
        <v>31</v>
      </c>
      <c r="J220" s="2" t="n">
        <v>10</v>
      </c>
      <c r="K220" s="3" t="s">
        <v>152</v>
      </c>
      <c r="L220" s="4" t="n">
        <f aca="false">G220*H220</f>
        <v>14520000</v>
      </c>
      <c r="M220" s="2" t="n">
        <f aca="false">IF(I220="Received",(K220-B220)-J220,"-")</f>
        <v>4</v>
      </c>
      <c r="N220" s="2" t="str">
        <f aca="false">IF(I220="Received",IF(M220&lt;=0,"Tepat Waktu","Terlambat"),"-")</f>
        <v>Terlambat</v>
      </c>
    </row>
    <row r="221" customFormat="false" ht="15" hidden="false" customHeight="false" outlineLevel="0" collapsed="false">
      <c r="A221" s="2" t="s">
        <v>710</v>
      </c>
      <c r="B221" s="3" t="s">
        <v>711</v>
      </c>
      <c r="C221" s="2" t="s">
        <v>13</v>
      </c>
      <c r="D221" s="2" t="s">
        <v>712</v>
      </c>
      <c r="E221" s="2" t="s">
        <v>243</v>
      </c>
      <c r="F221" s="2" t="s">
        <v>16</v>
      </c>
      <c r="G221" s="2" t="n">
        <v>65</v>
      </c>
      <c r="H221" s="2" t="n">
        <v>1200000</v>
      </c>
      <c r="I221" s="2" t="s">
        <v>31</v>
      </c>
      <c r="J221" s="2" t="n">
        <v>14</v>
      </c>
      <c r="K221" s="3" t="s">
        <v>156</v>
      </c>
      <c r="L221" s="4" t="n">
        <f aca="false">G221*H221</f>
        <v>78000000</v>
      </c>
      <c r="M221" s="2" t="n">
        <f aca="false">IF(I221="Received",(K221-B221)-J221,"-")</f>
        <v>-1</v>
      </c>
      <c r="N221" s="2" t="str">
        <f aca="false">IF(I221="Received",IF(M221&lt;=0,"Tepat Waktu","Terlambat"),"-")</f>
        <v>Tepat Waktu</v>
      </c>
    </row>
    <row r="222" customFormat="false" ht="15" hidden="false" customHeight="false" outlineLevel="0" collapsed="false">
      <c r="A222" s="2" t="s">
        <v>713</v>
      </c>
      <c r="B222" s="3" t="s">
        <v>343</v>
      </c>
      <c r="C222" s="2" t="s">
        <v>182</v>
      </c>
      <c r="D222" s="2" t="s">
        <v>714</v>
      </c>
      <c r="E222" s="2" t="s">
        <v>294</v>
      </c>
      <c r="F222" s="2" t="s">
        <v>30</v>
      </c>
      <c r="G222" s="2" t="n">
        <v>480</v>
      </c>
      <c r="H222" s="2" t="n">
        <v>1200000</v>
      </c>
      <c r="I222" s="2" t="s">
        <v>31</v>
      </c>
      <c r="J222" s="2" t="n">
        <v>7</v>
      </c>
      <c r="K222" s="3" t="s">
        <v>715</v>
      </c>
      <c r="L222" s="4" t="n">
        <f aca="false">G222*H222</f>
        <v>576000000</v>
      </c>
      <c r="M222" s="2" t="n">
        <f aca="false">IF(I222="Received",(K222-B222)-J222,"-")</f>
        <v>-1</v>
      </c>
      <c r="N222" s="2" t="str">
        <f aca="false">IF(I222="Received",IF(M222&lt;=0,"Tepat Waktu","Terlambat"),"-")</f>
        <v>Tepat Waktu</v>
      </c>
    </row>
    <row r="223" customFormat="false" ht="15" hidden="false" customHeight="false" outlineLevel="0" collapsed="false">
      <c r="A223" s="2" t="s">
        <v>716</v>
      </c>
      <c r="B223" s="3" t="s">
        <v>717</v>
      </c>
      <c r="C223" s="2" t="s">
        <v>96</v>
      </c>
      <c r="D223" s="2" t="s">
        <v>633</v>
      </c>
      <c r="E223" s="2" t="s">
        <v>41</v>
      </c>
      <c r="F223" s="2" t="s">
        <v>42</v>
      </c>
      <c r="G223" s="2" t="n">
        <v>343</v>
      </c>
      <c r="H223" s="2" t="n">
        <v>15000</v>
      </c>
      <c r="I223" s="2" t="s">
        <v>31</v>
      </c>
      <c r="J223" s="2" t="n">
        <v>14</v>
      </c>
      <c r="K223" s="3" t="s">
        <v>718</v>
      </c>
      <c r="L223" s="4" t="n">
        <f aca="false">G223*H223</f>
        <v>5145000</v>
      </c>
      <c r="M223" s="2" t="n">
        <f aca="false">IF(I223="Received",(K223-B223)-J223,"-")</f>
        <v>1</v>
      </c>
      <c r="N223" s="2" t="str">
        <f aca="false">IF(I223="Received",IF(M223&lt;=0,"Tepat Waktu","Terlambat"),"-")</f>
        <v>Terlambat</v>
      </c>
    </row>
    <row r="224" customFormat="false" ht="15" hidden="false" customHeight="false" outlineLevel="0" collapsed="false">
      <c r="A224" s="2" t="s">
        <v>719</v>
      </c>
      <c r="B224" s="3" t="s">
        <v>257</v>
      </c>
      <c r="C224" s="2" t="s">
        <v>27</v>
      </c>
      <c r="D224" s="2" t="s">
        <v>720</v>
      </c>
      <c r="E224" s="2" t="s">
        <v>203</v>
      </c>
      <c r="F224" s="2" t="s">
        <v>65</v>
      </c>
      <c r="G224" s="2" t="n">
        <v>78</v>
      </c>
      <c r="H224" s="2" t="n">
        <v>120000</v>
      </c>
      <c r="I224" s="2" t="s">
        <v>24</v>
      </c>
      <c r="J224" s="2" t="n">
        <v>7</v>
      </c>
      <c r="K224" s="3"/>
      <c r="L224" s="4" t="n">
        <f aca="false">G224*H224</f>
        <v>9360000</v>
      </c>
      <c r="M224" s="2" t="str">
        <f aca="false">IF(I224="Received",(K224-B224)-J224,"-")</f>
        <v>-</v>
      </c>
      <c r="N224" s="2" t="str">
        <f aca="false">IF(I224="Received",IF(M224&lt;=0,"Tepat Waktu","Terlambat"),"-")</f>
        <v>-</v>
      </c>
    </row>
    <row r="225" customFormat="false" ht="15" hidden="false" customHeight="false" outlineLevel="0" collapsed="false">
      <c r="A225" s="2" t="s">
        <v>721</v>
      </c>
      <c r="B225" s="3" t="s">
        <v>722</v>
      </c>
      <c r="C225" s="2" t="s">
        <v>72</v>
      </c>
      <c r="D225" s="2" t="s">
        <v>566</v>
      </c>
      <c r="E225" s="2" t="s">
        <v>94</v>
      </c>
      <c r="F225" s="2" t="s">
        <v>65</v>
      </c>
      <c r="G225" s="2" t="n">
        <v>26</v>
      </c>
      <c r="H225" s="2" t="n">
        <v>15000</v>
      </c>
      <c r="I225" s="2" t="s">
        <v>24</v>
      </c>
      <c r="J225" s="2" t="n">
        <v>10</v>
      </c>
      <c r="K225" s="3"/>
      <c r="L225" s="4" t="n">
        <f aca="false">G225*H225</f>
        <v>390000</v>
      </c>
      <c r="M225" s="2" t="str">
        <f aca="false">IF(I225="Received",(K225-B225)-J225,"-")</f>
        <v>-</v>
      </c>
      <c r="N225" s="2" t="str">
        <f aca="false">IF(I225="Received",IF(M225&lt;=0,"Tepat Waktu","Terlambat"),"-")</f>
        <v>-</v>
      </c>
    </row>
    <row r="226" customFormat="false" ht="15" hidden="false" customHeight="false" outlineLevel="0" collapsed="false">
      <c r="A226" s="2" t="s">
        <v>723</v>
      </c>
      <c r="B226" s="3" t="s">
        <v>493</v>
      </c>
      <c r="C226" s="2" t="s">
        <v>72</v>
      </c>
      <c r="D226" s="2" t="s">
        <v>724</v>
      </c>
      <c r="E226" s="2" t="s">
        <v>162</v>
      </c>
      <c r="F226" s="2" t="s">
        <v>16</v>
      </c>
      <c r="G226" s="2" t="n">
        <v>388</v>
      </c>
      <c r="H226" s="2" t="n">
        <v>250000</v>
      </c>
      <c r="I226" s="2" t="s">
        <v>31</v>
      </c>
      <c r="J226" s="2" t="n">
        <v>14</v>
      </c>
      <c r="K226" s="3" t="s">
        <v>381</v>
      </c>
      <c r="L226" s="4" t="n">
        <f aca="false">G226*H226</f>
        <v>97000000</v>
      </c>
      <c r="M226" s="2" t="n">
        <f aca="false">IF(I226="Received",(K226-B226)-J226,"-")</f>
        <v>0</v>
      </c>
      <c r="N226" s="2" t="str">
        <f aca="false">IF(I226="Received",IF(M226&lt;=0,"Tepat Waktu","Terlambat"),"-")</f>
        <v>Tepat Waktu</v>
      </c>
    </row>
    <row r="227" customFormat="false" ht="15" hidden="false" customHeight="false" outlineLevel="0" collapsed="false">
      <c r="A227" s="2" t="s">
        <v>725</v>
      </c>
      <c r="B227" s="3" t="s">
        <v>726</v>
      </c>
      <c r="C227" s="2" t="s">
        <v>77</v>
      </c>
      <c r="D227" s="2" t="s">
        <v>21</v>
      </c>
      <c r="E227" s="2" t="s">
        <v>22</v>
      </c>
      <c r="F227" s="2" t="s">
        <v>23</v>
      </c>
      <c r="G227" s="2" t="n">
        <v>134</v>
      </c>
      <c r="H227" s="2" t="n">
        <v>75000</v>
      </c>
      <c r="I227" s="2" t="s">
        <v>31</v>
      </c>
      <c r="J227" s="2" t="n">
        <v>14</v>
      </c>
      <c r="K227" s="3" t="s">
        <v>451</v>
      </c>
      <c r="L227" s="4" t="n">
        <f aca="false">G227*H227</f>
        <v>10050000</v>
      </c>
      <c r="M227" s="2" t="n">
        <f aca="false">IF(I227="Received",(K227-B227)-J227,"-")</f>
        <v>-2</v>
      </c>
      <c r="N227" s="2" t="str">
        <f aca="false">IF(I227="Received",IF(M227&lt;=0,"Tepat Waktu","Terlambat"),"-")</f>
        <v>Tepat Waktu</v>
      </c>
    </row>
    <row r="228" customFormat="false" ht="15" hidden="false" customHeight="false" outlineLevel="0" collapsed="false">
      <c r="A228" s="2" t="s">
        <v>727</v>
      </c>
      <c r="B228" s="3" t="s">
        <v>728</v>
      </c>
      <c r="C228" s="2" t="s">
        <v>96</v>
      </c>
      <c r="D228" s="2" t="s">
        <v>729</v>
      </c>
      <c r="E228" s="2" t="s">
        <v>114</v>
      </c>
      <c r="F228" s="2" t="s">
        <v>30</v>
      </c>
      <c r="G228" s="2" t="n">
        <v>153</v>
      </c>
      <c r="H228" s="2" t="n">
        <v>25000</v>
      </c>
      <c r="I228" s="2" t="s">
        <v>31</v>
      </c>
      <c r="J228" s="2" t="n">
        <v>5</v>
      </c>
      <c r="K228" s="3" t="s">
        <v>730</v>
      </c>
      <c r="L228" s="4" t="n">
        <f aca="false">G228*H228</f>
        <v>3825000</v>
      </c>
      <c r="M228" s="2" t="n">
        <f aca="false">IF(I228="Received",(K228-B228)-J228,"-")</f>
        <v>5</v>
      </c>
      <c r="N228" s="2" t="str">
        <f aca="false">IF(I228="Received",IF(M228&lt;=0,"Tepat Waktu","Terlambat"),"-")</f>
        <v>Terlambat</v>
      </c>
    </row>
    <row r="229" customFormat="false" ht="15" hidden="false" customHeight="false" outlineLevel="0" collapsed="false">
      <c r="A229" s="2" t="s">
        <v>731</v>
      </c>
      <c r="B229" s="3" t="s">
        <v>26</v>
      </c>
      <c r="C229" s="2" t="s">
        <v>13</v>
      </c>
      <c r="D229" s="2" t="s">
        <v>732</v>
      </c>
      <c r="E229" s="2" t="s">
        <v>370</v>
      </c>
      <c r="F229" s="2" t="s">
        <v>23</v>
      </c>
      <c r="G229" s="2" t="n">
        <v>150</v>
      </c>
      <c r="H229" s="2" t="n">
        <v>25000</v>
      </c>
      <c r="I229" s="2" t="s">
        <v>17</v>
      </c>
      <c r="J229" s="2" t="n">
        <v>7</v>
      </c>
      <c r="K229" s="3"/>
      <c r="L229" s="4" t="n">
        <f aca="false">G229*H229</f>
        <v>3750000</v>
      </c>
      <c r="M229" s="2" t="str">
        <f aca="false">IF(I229="Received",(K229-B229)-J229,"-")</f>
        <v>-</v>
      </c>
      <c r="N229" s="2" t="str">
        <f aca="false">IF(I229="Received",IF(M229&lt;=0,"Tepat Waktu","Terlambat"),"-")</f>
        <v>-</v>
      </c>
    </row>
    <row r="230" customFormat="false" ht="15" hidden="false" customHeight="false" outlineLevel="0" collapsed="false">
      <c r="A230" s="2" t="s">
        <v>733</v>
      </c>
      <c r="B230" s="3" t="s">
        <v>175</v>
      </c>
      <c r="C230" s="2" t="s">
        <v>96</v>
      </c>
      <c r="D230" s="2" t="s">
        <v>734</v>
      </c>
      <c r="E230" s="2" t="s">
        <v>88</v>
      </c>
      <c r="F230" s="2" t="s">
        <v>89</v>
      </c>
      <c r="G230" s="2" t="n">
        <v>161</v>
      </c>
      <c r="H230" s="2" t="n">
        <v>45000</v>
      </c>
      <c r="I230" s="2" t="s">
        <v>24</v>
      </c>
      <c r="J230" s="2" t="n">
        <v>7</v>
      </c>
      <c r="K230" s="3"/>
      <c r="L230" s="4" t="n">
        <f aca="false">G230*H230</f>
        <v>7245000</v>
      </c>
      <c r="M230" s="2" t="str">
        <f aca="false">IF(I230="Received",(K230-B230)-J230,"-")</f>
        <v>-</v>
      </c>
      <c r="N230" s="2" t="str">
        <f aca="false">IF(I230="Received",IF(M230&lt;=0,"Tepat Waktu","Terlambat"),"-")</f>
        <v>-</v>
      </c>
    </row>
    <row r="231" customFormat="false" ht="15" hidden="false" customHeight="false" outlineLevel="0" collapsed="false">
      <c r="A231" s="2" t="s">
        <v>735</v>
      </c>
      <c r="B231" s="3" t="s">
        <v>736</v>
      </c>
      <c r="C231" s="2" t="s">
        <v>27</v>
      </c>
      <c r="D231" s="2" t="s">
        <v>737</v>
      </c>
      <c r="E231" s="2" t="s">
        <v>36</v>
      </c>
      <c r="F231" s="2" t="s">
        <v>23</v>
      </c>
      <c r="G231" s="2" t="n">
        <v>131</v>
      </c>
      <c r="H231" s="2" t="n">
        <v>75000</v>
      </c>
      <c r="I231" s="2" t="s">
        <v>24</v>
      </c>
      <c r="J231" s="2" t="n">
        <v>10</v>
      </c>
      <c r="K231" s="3"/>
      <c r="L231" s="4" t="n">
        <f aca="false">G231*H231</f>
        <v>9825000</v>
      </c>
      <c r="M231" s="2" t="str">
        <f aca="false">IF(I231="Received",(K231-B231)-J231,"-")</f>
        <v>-</v>
      </c>
      <c r="N231" s="2" t="str">
        <f aca="false">IF(I231="Received",IF(M231&lt;=0,"Tepat Waktu","Terlambat"),"-")</f>
        <v>-</v>
      </c>
    </row>
  </sheetData>
  <autoFilter ref="A1:N2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3"/>
    <col collapsed="false" customWidth="true" hidden="false" outlineLevel="0" max="6" min="3" style="0" width="38"/>
    <col collapsed="false" customWidth="true" hidden="false" outlineLevel="0" max="8" min="7" style="0" width="25"/>
  </cols>
  <sheetData>
    <row r="1" customFormat="false" ht="16.15" hidden="false" customHeight="false" outlineLevel="0" collapsed="false">
      <c r="A1" s="7" t="s">
        <v>742</v>
      </c>
    </row>
    <row r="2" customFormat="false" ht="15" hidden="false" customHeight="false" outlineLevel="0" collapsed="false">
      <c r="A2" s="6" t="s">
        <v>743</v>
      </c>
    </row>
    <row r="4" customFormat="false" ht="15" hidden="false" customHeight="false" outlineLevel="0" collapsed="false">
      <c r="A4" s="1" t="s">
        <v>2</v>
      </c>
      <c r="B4" s="1" t="s">
        <v>744</v>
      </c>
      <c r="C4" s="1" t="s">
        <v>745</v>
      </c>
      <c r="D4" s="1" t="s">
        <v>746</v>
      </c>
      <c r="E4" s="1" t="s">
        <v>747</v>
      </c>
      <c r="F4" s="1" t="s">
        <v>748</v>
      </c>
      <c r="G4" s="1" t="s">
        <v>749</v>
      </c>
      <c r="H4" s="1" t="s">
        <v>750</v>
      </c>
    </row>
    <row r="5" customFormat="false" ht="15" hidden="false" customHeight="false" outlineLevel="0" collapsed="false">
      <c r="A5" s="2" t="s">
        <v>27</v>
      </c>
      <c r="B5" s="2" t="n">
        <f aca="false">COUNTIF(Kunci_Jawaban!C:C,A5)</f>
        <v>25</v>
      </c>
      <c r="C5" s="4" t="n">
        <f aca="false">SUMIF(Kunci_Jawaban!C:C,A5,Kunci_Jawaban!L:L)</f>
        <v>2162295000</v>
      </c>
      <c r="D5" s="8" t="n">
        <f aca="false">AVERAGEIF(Kunci_Jawaban!C:C,A5,Kunci_Jawaban!J:J)</f>
        <v>7.88</v>
      </c>
      <c r="E5" s="2" t="n">
        <f aca="false">COUNTIFS(Kunci_Jawaban!C:C,A5,Kunci_Jawaban!I:I,"Received")</f>
        <v>14</v>
      </c>
      <c r="F5" s="2" t="n">
        <f aca="false">COUNTIFS(Kunci_Jawaban!C:C,A5,Kunci_Jawaban!N:N,"Tepat Waktu")</f>
        <v>3</v>
      </c>
      <c r="G5" s="8" t="n">
        <f aca="false">IFERROR(F5/E5*100,0)</f>
        <v>21.4285714285714</v>
      </c>
      <c r="H5" s="2" t="n">
        <f aca="false">RANK(C5,$C$5:$C$14)</f>
        <v>5</v>
      </c>
    </row>
    <row r="6" customFormat="false" ht="15" hidden="false" customHeight="false" outlineLevel="0" collapsed="false">
      <c r="A6" s="2" t="s">
        <v>82</v>
      </c>
      <c r="B6" s="2" t="n">
        <f aca="false">COUNTIF(Kunci_Jawaban!C:C,A6)</f>
        <v>17</v>
      </c>
      <c r="C6" s="4" t="n">
        <f aca="false">SUMIF(Kunci_Jawaban!C:C,A6,Kunci_Jawaban!L:L)</f>
        <v>902815000</v>
      </c>
      <c r="D6" s="8" t="n">
        <f aca="false">AVERAGEIF(Kunci_Jawaban!C:C,A6,Kunci_Jawaban!J:J)</f>
        <v>7.11764705882353</v>
      </c>
      <c r="E6" s="2" t="n">
        <f aca="false">COUNTIFS(Kunci_Jawaban!C:C,A6,Kunci_Jawaban!I:I,"Received")</f>
        <v>12</v>
      </c>
      <c r="F6" s="2" t="n">
        <f aca="false">COUNTIFS(Kunci_Jawaban!C:C,A6,Kunci_Jawaban!N:N,"Tepat Waktu")</f>
        <v>5</v>
      </c>
      <c r="G6" s="8" t="n">
        <f aca="false">IFERROR(F6/E6*100,0)</f>
        <v>41.6666666666667</v>
      </c>
      <c r="H6" s="2" t="n">
        <f aca="false">RANK(C6,$C$5:$C$14)</f>
        <v>9</v>
      </c>
    </row>
    <row r="7" customFormat="false" ht="15" hidden="false" customHeight="false" outlineLevel="0" collapsed="false">
      <c r="A7" s="2" t="s">
        <v>54</v>
      </c>
      <c r="B7" s="2" t="n">
        <f aca="false">COUNTIF(Kunci_Jawaban!C:C,A7)</f>
        <v>27</v>
      </c>
      <c r="C7" s="4" t="n">
        <f aca="false">SUMIF(Kunci_Jawaban!C:C,A7,Kunci_Jawaban!L:L)</f>
        <v>3052380000</v>
      </c>
      <c r="D7" s="8" t="n">
        <f aca="false">AVERAGEIF(Kunci_Jawaban!C:C,A7,Kunci_Jawaban!J:J)</f>
        <v>7</v>
      </c>
      <c r="E7" s="2" t="n">
        <f aca="false">COUNTIFS(Kunci_Jawaban!C:C,A7,Kunci_Jawaban!I:I,"Received")</f>
        <v>15</v>
      </c>
      <c r="F7" s="2" t="n">
        <f aca="false">COUNTIFS(Kunci_Jawaban!C:C,A7,Kunci_Jawaban!N:N,"Tepat Waktu")</f>
        <v>2</v>
      </c>
      <c r="G7" s="8" t="n">
        <f aca="false">IFERROR(F7/E7*100,0)</f>
        <v>13.3333333333333</v>
      </c>
      <c r="H7" s="2" t="n">
        <f aca="false">RANK(C7,$C$5:$C$14)</f>
        <v>2</v>
      </c>
    </row>
    <row r="8" customFormat="false" ht="15" hidden="false" customHeight="false" outlineLevel="0" collapsed="false">
      <c r="A8" s="2" t="s">
        <v>72</v>
      </c>
      <c r="B8" s="2" t="n">
        <f aca="false">COUNTIF(Kunci_Jawaban!C:C,A8)</f>
        <v>24</v>
      </c>
      <c r="C8" s="4" t="n">
        <f aca="false">SUMIF(Kunci_Jawaban!C:C,A8,Kunci_Jawaban!L:L)</f>
        <v>1198325000</v>
      </c>
      <c r="D8" s="8" t="n">
        <f aca="false">AVERAGEIF(Kunci_Jawaban!C:C,A8,Kunci_Jawaban!J:J)</f>
        <v>8.04166666666667</v>
      </c>
      <c r="E8" s="2" t="n">
        <f aca="false">COUNTIFS(Kunci_Jawaban!C:C,A8,Kunci_Jawaban!I:I,"Received")</f>
        <v>13</v>
      </c>
      <c r="F8" s="2" t="n">
        <f aca="false">COUNTIFS(Kunci_Jawaban!C:C,A8,Kunci_Jawaban!N:N,"Tepat Waktu")</f>
        <v>5</v>
      </c>
      <c r="G8" s="8" t="n">
        <f aca="false">IFERROR(F8/E8*100,0)</f>
        <v>38.4615384615385</v>
      </c>
      <c r="H8" s="2" t="n">
        <f aca="false">RANK(C8,$C$5:$C$14)</f>
        <v>8</v>
      </c>
    </row>
    <row r="9" customFormat="false" ht="15" hidden="false" customHeight="false" outlineLevel="0" collapsed="false">
      <c r="A9" s="2" t="s">
        <v>77</v>
      </c>
      <c r="B9" s="2" t="n">
        <f aca="false">COUNTIF(Kunci_Jawaban!C:C,A9)</f>
        <v>24</v>
      </c>
      <c r="C9" s="4" t="n">
        <f aca="false">SUMIF(Kunci_Jawaban!C:C,A9,Kunci_Jawaban!L:L)</f>
        <v>2390670000</v>
      </c>
      <c r="D9" s="8" t="n">
        <f aca="false">AVERAGEIF(Kunci_Jawaban!C:C,A9,Kunci_Jawaban!J:J)</f>
        <v>7.70833333333333</v>
      </c>
      <c r="E9" s="2" t="n">
        <f aca="false">COUNTIFS(Kunci_Jawaban!C:C,A9,Kunci_Jawaban!I:I,"Received")</f>
        <v>14</v>
      </c>
      <c r="F9" s="2" t="n">
        <f aca="false">COUNTIFS(Kunci_Jawaban!C:C,A9,Kunci_Jawaban!N:N,"Tepat Waktu")</f>
        <v>6</v>
      </c>
      <c r="G9" s="8" t="n">
        <f aca="false">IFERROR(F9/E9*100,0)</f>
        <v>42.8571428571429</v>
      </c>
      <c r="H9" s="2" t="n">
        <f aca="false">RANK(C9,$C$5:$C$14)</f>
        <v>3</v>
      </c>
    </row>
    <row r="10" customFormat="false" ht="15" hidden="false" customHeight="false" outlineLevel="0" collapsed="false">
      <c r="A10" s="2" t="s">
        <v>96</v>
      </c>
      <c r="B10" s="2" t="n">
        <f aca="false">COUNTIF(Kunci_Jawaban!C:C,A10)</f>
        <v>26</v>
      </c>
      <c r="C10" s="4" t="n">
        <f aca="false">SUMIF(Kunci_Jawaban!C:C,A10,Kunci_Jawaban!L:L)</f>
        <v>3054885000</v>
      </c>
      <c r="D10" s="8" t="n">
        <f aca="false">AVERAGEIF(Kunci_Jawaban!C:C,A10,Kunci_Jawaban!J:J)</f>
        <v>8.15384615384615</v>
      </c>
      <c r="E10" s="2" t="n">
        <f aca="false">COUNTIFS(Kunci_Jawaban!C:C,A10,Kunci_Jawaban!I:I,"Received")</f>
        <v>10</v>
      </c>
      <c r="F10" s="2" t="n">
        <f aca="false">COUNTIFS(Kunci_Jawaban!C:C,A10,Kunci_Jawaban!N:N,"Tepat Waktu")</f>
        <v>1</v>
      </c>
      <c r="G10" s="8" t="n">
        <f aca="false">IFERROR(F10/E10*100,0)</f>
        <v>10</v>
      </c>
      <c r="H10" s="2" t="n">
        <f aca="false">RANK(C10,$C$5:$C$14)</f>
        <v>1</v>
      </c>
    </row>
    <row r="11" customFormat="false" ht="15" hidden="false" customHeight="false" outlineLevel="0" collapsed="false">
      <c r="A11" s="2" t="s">
        <v>13</v>
      </c>
      <c r="B11" s="2" t="n">
        <f aca="false">COUNTIF(Kunci_Jawaban!C:C,A11)</f>
        <v>25</v>
      </c>
      <c r="C11" s="4" t="n">
        <f aca="false">SUMIF(Kunci_Jawaban!C:C,A11,Kunci_Jawaban!L:L)</f>
        <v>885135000</v>
      </c>
      <c r="D11" s="8" t="n">
        <f aca="false">AVERAGEIF(Kunci_Jawaban!C:C,A11,Kunci_Jawaban!J:J)</f>
        <v>7.88</v>
      </c>
      <c r="E11" s="2" t="n">
        <f aca="false">COUNTIFS(Kunci_Jawaban!C:C,A11,Kunci_Jawaban!I:I,"Received")</f>
        <v>11</v>
      </c>
      <c r="F11" s="2" t="n">
        <f aca="false">COUNTIFS(Kunci_Jawaban!C:C,A11,Kunci_Jawaban!N:N,"Tepat Waktu")</f>
        <v>5</v>
      </c>
      <c r="G11" s="8" t="n">
        <f aca="false">IFERROR(F11/E11*100,0)</f>
        <v>45.4545454545455</v>
      </c>
      <c r="H11" s="2" t="n">
        <f aca="false">RANK(C11,$C$5:$C$14)</f>
        <v>10</v>
      </c>
    </row>
    <row r="12" customFormat="false" ht="15" hidden="false" customHeight="false" outlineLevel="0" collapsed="false">
      <c r="A12" s="2" t="s">
        <v>39</v>
      </c>
      <c r="B12" s="2" t="n">
        <f aca="false">COUNTIF(Kunci_Jawaban!C:C,A12)</f>
        <v>18</v>
      </c>
      <c r="C12" s="4" t="n">
        <f aca="false">SUMIF(Kunci_Jawaban!C:C,A12,Kunci_Jawaban!L:L)</f>
        <v>1420600000</v>
      </c>
      <c r="D12" s="8" t="n">
        <f aca="false">AVERAGEIF(Kunci_Jawaban!C:C,A12,Kunci_Jawaban!J:J)</f>
        <v>7.66666666666667</v>
      </c>
      <c r="E12" s="2" t="n">
        <f aca="false">COUNTIFS(Kunci_Jawaban!C:C,A12,Kunci_Jawaban!I:I,"Received")</f>
        <v>4</v>
      </c>
      <c r="F12" s="2" t="n">
        <f aca="false">COUNTIFS(Kunci_Jawaban!C:C,A12,Kunci_Jawaban!N:N,"Tepat Waktu")</f>
        <v>2</v>
      </c>
      <c r="G12" s="8" t="n">
        <f aca="false">IFERROR(F12/E12*100,0)</f>
        <v>50</v>
      </c>
      <c r="H12" s="2" t="n">
        <f aca="false">RANK(C12,$C$5:$C$14)</f>
        <v>7</v>
      </c>
    </row>
    <row r="13" customFormat="false" ht="15" hidden="false" customHeight="false" outlineLevel="0" collapsed="false">
      <c r="A13" s="2" t="s">
        <v>20</v>
      </c>
      <c r="B13" s="2" t="n">
        <f aca="false">COUNTIF(Kunci_Jawaban!C:C,A13)</f>
        <v>20</v>
      </c>
      <c r="C13" s="4" t="n">
        <f aca="false">SUMIF(Kunci_Jawaban!C:C,A13,Kunci_Jawaban!L:L)</f>
        <v>2109155000</v>
      </c>
      <c r="D13" s="8" t="n">
        <f aca="false">AVERAGEIF(Kunci_Jawaban!C:C,A13,Kunci_Jawaban!J:J)</f>
        <v>7.75</v>
      </c>
      <c r="E13" s="2" t="n">
        <f aca="false">COUNTIFS(Kunci_Jawaban!C:C,A13,Kunci_Jawaban!I:I,"Received")</f>
        <v>10</v>
      </c>
      <c r="F13" s="2" t="n">
        <f aca="false">COUNTIFS(Kunci_Jawaban!C:C,A13,Kunci_Jawaban!N:N,"Tepat Waktu")</f>
        <v>1</v>
      </c>
      <c r="G13" s="8" t="n">
        <f aca="false">IFERROR(F13/E13*100,0)</f>
        <v>10</v>
      </c>
      <c r="H13" s="2" t="n">
        <f aca="false">RANK(C13,$C$5:$C$14)</f>
        <v>6</v>
      </c>
    </row>
    <row r="14" customFormat="false" ht="15" hidden="false" customHeight="false" outlineLevel="0" collapsed="false">
      <c r="A14" s="2" t="s">
        <v>182</v>
      </c>
      <c r="B14" s="2" t="n">
        <f aca="false">COUNTIF(Kunci_Jawaban!C:C,A14)</f>
        <v>24</v>
      </c>
      <c r="C14" s="4" t="n">
        <f aca="false">SUMIF(Kunci_Jawaban!C:C,A14,Kunci_Jawaban!L:L)</f>
        <v>2365750000</v>
      </c>
      <c r="D14" s="8" t="n">
        <f aca="false">AVERAGEIF(Kunci_Jawaban!C:C,A14,Kunci_Jawaban!J:J)</f>
        <v>8</v>
      </c>
      <c r="E14" s="2" t="n">
        <f aca="false">COUNTIFS(Kunci_Jawaban!C:C,A14,Kunci_Jawaban!I:I,"Received")</f>
        <v>15</v>
      </c>
      <c r="F14" s="2" t="n">
        <f aca="false">COUNTIFS(Kunci_Jawaban!C:C,A14,Kunci_Jawaban!N:N,"Tepat Waktu")</f>
        <v>4</v>
      </c>
      <c r="G14" s="8" t="n">
        <f aca="false">IFERROR(F14/E14*100,0)</f>
        <v>26.6666666666667</v>
      </c>
      <c r="H14" s="2" t="n">
        <f aca="false">RANK(C14,$C$5:$C$14)</f>
        <v>4</v>
      </c>
    </row>
    <row r="16" customFormat="false" ht="15" hidden="false" customHeight="false" outlineLevel="0" collapsed="false">
      <c r="A16" s="9" t="s">
        <v>751</v>
      </c>
      <c r="B16" s="9" t="n">
        <f aca="false">SUM(B5:B14)</f>
        <v>230</v>
      </c>
      <c r="C16" s="10" t="n">
        <f aca="false">SUM(C5:C14)</f>
        <v>19542010000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55"/>
  </cols>
  <sheetData>
    <row r="1" customFormat="false" ht="15" hidden="false" customHeight="false" outlineLevel="0" collapsed="false">
      <c r="A1" s="11" t="s">
        <v>752</v>
      </c>
      <c r="B1" s="11" t="s">
        <v>753</v>
      </c>
      <c r="C1" s="11" t="s">
        <v>754</v>
      </c>
    </row>
    <row r="2" customFormat="false" ht="15" hidden="false" customHeight="false" outlineLevel="0" collapsed="false">
      <c r="A2" s="12" t="s">
        <v>755</v>
      </c>
      <c r="B2" s="12" t="s">
        <v>756</v>
      </c>
      <c r="C2" s="12" t="s">
        <v>757</v>
      </c>
    </row>
    <row r="3" customFormat="false" ht="23.85" hidden="false" customHeight="false" outlineLevel="0" collapsed="false">
      <c r="A3" s="12" t="s">
        <v>739</v>
      </c>
      <c r="B3" s="12" t="s">
        <v>758</v>
      </c>
      <c r="C3" s="12" t="s">
        <v>759</v>
      </c>
    </row>
    <row r="4" customFormat="false" ht="23.85" hidden="false" customHeight="false" outlineLevel="0" collapsed="false">
      <c r="A4" s="12" t="s">
        <v>740</v>
      </c>
      <c r="B4" s="12" t="s">
        <v>760</v>
      </c>
      <c r="C4" s="12" t="s">
        <v>761</v>
      </c>
    </row>
    <row r="5" customFormat="false" ht="23.85" hidden="false" customHeight="false" outlineLevel="0" collapsed="false">
      <c r="A5" s="12" t="s">
        <v>762</v>
      </c>
      <c r="B5" s="12" t="s">
        <v>763</v>
      </c>
      <c r="C5" s="12" t="s">
        <v>764</v>
      </c>
    </row>
    <row r="6" customFormat="false" ht="23.85" hidden="false" customHeight="false" outlineLevel="0" collapsed="false">
      <c r="A6" s="12" t="s">
        <v>765</v>
      </c>
      <c r="B6" s="12" t="s">
        <v>766</v>
      </c>
      <c r="C6" s="12" t="s">
        <v>767</v>
      </c>
    </row>
    <row r="7" customFormat="false" ht="35.05" hidden="false" customHeight="false" outlineLevel="0" collapsed="false">
      <c r="A7" s="12" t="s">
        <v>768</v>
      </c>
      <c r="B7" s="12" t="s">
        <v>769</v>
      </c>
      <c r="C7" s="12" t="s">
        <v>770</v>
      </c>
    </row>
    <row r="8" customFormat="false" ht="15" hidden="false" customHeight="false" outlineLevel="0" collapsed="false">
      <c r="A8" s="12"/>
      <c r="B8" s="12"/>
      <c r="C8" s="12"/>
    </row>
    <row r="9" customFormat="false" ht="46.25" hidden="false" customHeight="false" outlineLevel="0" collapsed="false">
      <c r="A9" s="12" t="s">
        <v>771</v>
      </c>
      <c r="B9" s="12" t="s">
        <v>772</v>
      </c>
      <c r="C9" s="12" t="s">
        <v>773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34"/>
    <col collapsed="false" customWidth="true" hidden="false" outlineLevel="0" max="7" min="6" style="0" width="38"/>
    <col collapsed="false" customWidth="true" hidden="false" outlineLevel="0" max="8" min="8" style="0" width="35"/>
  </cols>
  <sheetData>
    <row r="1" customFormat="false" ht="16.15" hidden="false" customHeight="false" outlineLevel="0" collapsed="false">
      <c r="A1" s="7" t="s">
        <v>774</v>
      </c>
    </row>
    <row r="2" customFormat="false" ht="15" hidden="false" customHeight="false" outlineLevel="0" collapsed="false">
      <c r="A2" s="6" t="s">
        <v>775</v>
      </c>
    </row>
    <row r="4" customFormat="false" ht="15" hidden="false" customHeight="false" outlineLevel="0" collapsed="false">
      <c r="A4" s="13" t="s">
        <v>776</v>
      </c>
    </row>
    <row r="5" customFormat="false" ht="15" hidden="false" customHeight="false" outlineLevel="0" collapsed="false">
      <c r="A5" s="1" t="s">
        <v>5</v>
      </c>
      <c r="B5" s="1" t="s">
        <v>777</v>
      </c>
      <c r="C5" s="1" t="s">
        <v>778</v>
      </c>
    </row>
    <row r="6" customFormat="false" ht="15" hidden="false" customHeight="false" outlineLevel="0" collapsed="false">
      <c r="A6" s="2" t="s">
        <v>42</v>
      </c>
      <c r="B6" s="2" t="s">
        <v>779</v>
      </c>
      <c r="C6" s="2" t="n">
        <v>10</v>
      </c>
    </row>
    <row r="7" customFormat="false" ht="15" hidden="false" customHeight="false" outlineLevel="0" collapsed="false">
      <c r="A7" s="2" t="s">
        <v>16</v>
      </c>
      <c r="B7" s="2" t="s">
        <v>780</v>
      </c>
      <c r="C7" s="2" t="n">
        <v>14</v>
      </c>
    </row>
    <row r="8" customFormat="false" ht="15" hidden="false" customHeight="false" outlineLevel="0" collapsed="false">
      <c r="A8" s="2" t="s">
        <v>89</v>
      </c>
      <c r="B8" s="2" t="s">
        <v>781</v>
      </c>
      <c r="C8" s="2" t="n">
        <v>10</v>
      </c>
    </row>
    <row r="9" customFormat="false" ht="15" hidden="false" customHeight="false" outlineLevel="0" collapsed="false">
      <c r="A9" s="2" t="s">
        <v>65</v>
      </c>
      <c r="B9" s="2" t="s">
        <v>782</v>
      </c>
      <c r="C9" s="2" t="n">
        <v>10</v>
      </c>
    </row>
    <row r="10" customFormat="false" ht="15" hidden="false" customHeight="false" outlineLevel="0" collapsed="false">
      <c r="A10" s="2" t="s">
        <v>30</v>
      </c>
      <c r="B10" s="2" t="s">
        <v>783</v>
      </c>
      <c r="C10" s="2" t="n">
        <v>14</v>
      </c>
    </row>
    <row r="11" customFormat="false" ht="15" hidden="false" customHeight="false" outlineLevel="0" collapsed="false">
      <c r="A11" s="2" t="s">
        <v>23</v>
      </c>
      <c r="B11" s="2" t="s">
        <v>784</v>
      </c>
      <c r="C11" s="2" t="n">
        <v>14</v>
      </c>
    </row>
    <row r="14" customFormat="false" ht="15" hidden="false" customHeight="false" outlineLevel="0" collapsed="false">
      <c r="A14" s="13" t="s">
        <v>785</v>
      </c>
    </row>
    <row r="15" customFormat="false" ht="15" hidden="false" customHeight="false" outlineLevel="0" collapsed="false">
      <c r="A15" s="11" t="s">
        <v>786</v>
      </c>
      <c r="B15" s="11" t="s">
        <v>787</v>
      </c>
      <c r="C15" s="11" t="s">
        <v>788</v>
      </c>
      <c r="D15" s="11" t="s">
        <v>789</v>
      </c>
      <c r="E15" s="11" t="s">
        <v>790</v>
      </c>
    </row>
    <row r="16" customFormat="false" ht="15" hidden="false" customHeight="false" outlineLevel="0" collapsed="false">
      <c r="A16" s="14" t="s">
        <v>791</v>
      </c>
      <c r="B16" s="15" t="n">
        <v>0</v>
      </c>
      <c r="C16" s="15" t="n">
        <v>0.02</v>
      </c>
      <c r="D16" s="15" t="n">
        <v>0.05</v>
      </c>
      <c r="E16" s="15" t="n">
        <v>0.08</v>
      </c>
    </row>
    <row r="19" customFormat="false" ht="15" hidden="false" customHeight="false" outlineLevel="0" collapsed="false">
      <c r="A19" s="13" t="s">
        <v>792</v>
      </c>
    </row>
    <row r="20" customFormat="false" ht="23.85" hidden="false" customHeight="false" outlineLevel="0" collapsed="false">
      <c r="A20" s="1" t="s">
        <v>0</v>
      </c>
      <c r="B20" s="1" t="s">
        <v>2</v>
      </c>
      <c r="C20" s="1" t="s">
        <v>5</v>
      </c>
      <c r="D20" s="1" t="s">
        <v>6</v>
      </c>
      <c r="E20" s="1" t="s">
        <v>793</v>
      </c>
      <c r="F20" s="1" t="s">
        <v>794</v>
      </c>
      <c r="G20" s="1" t="s">
        <v>795</v>
      </c>
      <c r="H20" s="1" t="s">
        <v>796</v>
      </c>
    </row>
    <row r="21" customFormat="false" ht="15" hidden="false" customHeight="false" outlineLevel="0" collapsed="false">
      <c r="A21" s="0" t="str">
        <f aca="false">Kunci_Jawaban!A2</f>
        <v>PO-2024-0001</v>
      </c>
      <c r="B21" s="0" t="str">
        <f aca="false">Kunci_Jawaban!C2</f>
        <v>PT Indo Chemical</v>
      </c>
      <c r="C21" s="0" t="str">
        <f aca="false">Kunci_Jawaban!F2</f>
        <v>Bahan Baku</v>
      </c>
      <c r="D21" s="0" t="n">
        <f aca="false">Kunci_Jawaban!G2</f>
        <v>78</v>
      </c>
      <c r="E21" s="16" t="n">
        <f aca="false">VLOOKUP(C21,$A$6:$C$11,3,FALSE())</f>
        <v>14</v>
      </c>
      <c r="F21" s="16" t="n">
        <f aca="false">INDEX($C$6:$C$11,MATCH(C21,$A$6:$A$11,0))</f>
        <v>14</v>
      </c>
      <c r="G21" s="16" t="str">
        <f aca="false">IF(D21&lt;=50,"0-50",IF(D21&lt;=150,"51-150",IF(D21&lt;=300,"151-300","301+")))</f>
        <v>51-150</v>
      </c>
      <c r="H21" s="17" t="n">
        <f aca="false">HLOOKUP(G21,$B$15:$E$16,2,FALSE())</f>
        <v>0.02</v>
      </c>
    </row>
    <row r="22" customFormat="false" ht="15" hidden="false" customHeight="false" outlineLevel="0" collapsed="false">
      <c r="A22" s="0" t="str">
        <f aca="false">Kunci_Jawaban!A3</f>
        <v>PO-2024-0002</v>
      </c>
      <c r="B22" s="0" t="str">
        <f aca="false">Kunci_Jawaban!C3</f>
        <v>PT Mega Sparepart</v>
      </c>
      <c r="C22" s="0" t="str">
        <f aca="false">Kunci_Jawaban!F3</f>
        <v>Sparepart Mesin</v>
      </c>
      <c r="D22" s="0" t="n">
        <f aca="false">Kunci_Jawaban!G3</f>
        <v>439</v>
      </c>
      <c r="E22" s="16"/>
      <c r="F22" s="16"/>
      <c r="G22" s="16"/>
      <c r="H22" s="16"/>
    </row>
    <row r="23" customFormat="false" ht="15" hidden="false" customHeight="false" outlineLevel="0" collapsed="false">
      <c r="A23" s="0" t="str">
        <f aca="false">Kunci_Jawaban!A4</f>
        <v>PO-2024-0003</v>
      </c>
      <c r="B23" s="0" t="str">
        <f aca="false">Kunci_Jawaban!C4</f>
        <v>CV Anugrah Teknik</v>
      </c>
      <c r="C23" s="0" t="str">
        <f aca="false">Kunci_Jawaban!F4</f>
        <v>Consumables</v>
      </c>
      <c r="D23" s="0" t="n">
        <f aca="false">Kunci_Jawaban!G4</f>
        <v>357</v>
      </c>
      <c r="E23" s="16"/>
      <c r="F23" s="16"/>
      <c r="G23" s="16"/>
      <c r="H23" s="16"/>
    </row>
    <row r="24" customFormat="false" ht="15" hidden="false" customHeight="false" outlineLevel="0" collapsed="false">
      <c r="A24" s="0" t="str">
        <f aca="false">Kunci_Jawaban!A5</f>
        <v>PO-2024-0004</v>
      </c>
      <c r="B24" s="0" t="str">
        <f aca="false">Kunci_Jawaban!C5</f>
        <v>CV Anugrah Teknik</v>
      </c>
      <c r="C24" s="0" t="str">
        <f aca="false">Kunci_Jawaban!F5</f>
        <v>Sparepart Mesin</v>
      </c>
      <c r="D24" s="0" t="n">
        <f aca="false">Kunci_Jawaban!G5</f>
        <v>314</v>
      </c>
      <c r="E24" s="16"/>
      <c r="F24" s="16"/>
      <c r="G24" s="16"/>
      <c r="H24" s="16"/>
    </row>
    <row r="25" customFormat="false" ht="15" hidden="false" customHeight="false" outlineLevel="0" collapsed="false">
      <c r="A25" s="0" t="str">
        <f aca="false">Kunci_Jawaban!A6</f>
        <v>PO-2024-0005</v>
      </c>
      <c r="B25" s="0" t="str">
        <f aca="false">Kunci_Jawaban!C6</f>
        <v>PT Karya Abadi</v>
      </c>
      <c r="C25" s="0" t="str">
        <f aca="false">Kunci_Jawaban!F6</f>
        <v>ATK</v>
      </c>
      <c r="D25" s="0" t="n">
        <f aca="false">Kunci_Jawaban!G6</f>
        <v>187</v>
      </c>
      <c r="E25" s="16"/>
      <c r="F25" s="16"/>
      <c r="G25" s="16"/>
      <c r="H25" s="16"/>
    </row>
    <row r="26" customFormat="false" ht="15" hidden="false" customHeight="false" outlineLevel="0" collapsed="false">
      <c r="A26" s="0" t="str">
        <f aca="false">Kunci_Jawaban!A7</f>
        <v>PO-2024-0006</v>
      </c>
      <c r="B26" s="0" t="str">
        <f aca="false">Kunci_Jawaban!C7</f>
        <v>PT Mega Sparepart</v>
      </c>
      <c r="C26" s="0" t="str">
        <f aca="false">Kunci_Jawaban!F7</f>
        <v>Consumables</v>
      </c>
      <c r="D26" s="0" t="n">
        <f aca="false">Kunci_Jawaban!G7</f>
        <v>400</v>
      </c>
      <c r="E26" s="16"/>
      <c r="F26" s="16"/>
      <c r="G26" s="16"/>
      <c r="H26" s="16"/>
    </row>
    <row r="27" customFormat="false" ht="15" hidden="false" customHeight="false" outlineLevel="0" collapsed="false">
      <c r="A27" s="0" t="str">
        <f aca="false">Kunci_Jawaban!A8</f>
        <v>PO-2024-0007</v>
      </c>
      <c r="B27" s="0" t="str">
        <f aca="false">Kunci_Jawaban!C8</f>
        <v>PT Karya Abadi</v>
      </c>
      <c r="C27" s="0" t="str">
        <f aca="false">Kunci_Jawaban!F8</f>
        <v>Sparepart Mesin</v>
      </c>
      <c r="D27" s="0" t="n">
        <f aca="false">Kunci_Jawaban!G8</f>
        <v>406</v>
      </c>
      <c r="E27" s="16"/>
      <c r="F27" s="16"/>
      <c r="G27" s="16"/>
      <c r="H27" s="16"/>
    </row>
    <row r="28" customFormat="false" ht="15" hidden="false" customHeight="false" outlineLevel="0" collapsed="false">
      <c r="A28" s="0" t="str">
        <f aca="false">Kunci_Jawaban!A9</f>
        <v>PO-2024-0008</v>
      </c>
      <c r="B28" s="0" t="str">
        <f aca="false">Kunci_Jawaban!C9</f>
        <v>CV Sentosa Jaya</v>
      </c>
      <c r="C28" s="0" t="str">
        <f aca="false">Kunci_Jawaban!F9</f>
        <v>Bahan Baku</v>
      </c>
      <c r="D28" s="0" t="n">
        <f aca="false">Kunci_Jawaban!G9</f>
        <v>232</v>
      </c>
      <c r="E28" s="16"/>
      <c r="F28" s="16"/>
      <c r="G28" s="16"/>
      <c r="H28" s="16"/>
    </row>
    <row r="29" customFormat="false" ht="15" hidden="false" customHeight="false" outlineLevel="0" collapsed="false">
      <c r="A29" s="0" t="str">
        <f aca="false">Kunci_Jawaban!A10</f>
        <v>PO-2024-0009</v>
      </c>
      <c r="B29" s="0" t="str">
        <f aca="false">Kunci_Jawaban!C10</f>
        <v>CV Sentosa Jaya</v>
      </c>
      <c r="C29" s="0" t="str">
        <f aca="false">Kunci_Jawaban!F10</f>
        <v>Sparepart Mesin</v>
      </c>
      <c r="D29" s="0" t="n">
        <f aca="false">Kunci_Jawaban!G10</f>
        <v>290</v>
      </c>
      <c r="E29" s="16"/>
      <c r="F29" s="16"/>
      <c r="G29" s="16"/>
      <c r="H29" s="16"/>
    </row>
    <row r="30" customFormat="false" ht="15" hidden="false" customHeight="false" outlineLevel="0" collapsed="false">
      <c r="A30" s="0" t="str">
        <f aca="false">Kunci_Jawaban!A11</f>
        <v>PO-2024-0010</v>
      </c>
      <c r="B30" s="0" t="str">
        <f aca="false">Kunci_Jawaban!C11</f>
        <v>PT Indo Chemical</v>
      </c>
      <c r="C30" s="0" t="str">
        <f aca="false">Kunci_Jawaban!F11</f>
        <v>Bahan Kimia</v>
      </c>
      <c r="D30" s="0" t="n">
        <f aca="false">Kunci_Jawaban!G11</f>
        <v>311</v>
      </c>
      <c r="E30" s="16"/>
      <c r="F30" s="16"/>
      <c r="G30" s="16"/>
      <c r="H30" s="16"/>
    </row>
    <row r="31" customFormat="false" ht="15" hidden="false" customHeight="false" outlineLevel="0" collapsed="false">
      <c r="A31" s="0" t="str">
        <f aca="false">Kunci_Jawaban!A12</f>
        <v>PO-2024-0011</v>
      </c>
      <c r="B31" s="0" t="str">
        <f aca="false">Kunci_Jawaban!C12</f>
        <v>CV Anugrah Teknik</v>
      </c>
      <c r="C31" s="0" t="str">
        <f aca="false">Kunci_Jawaban!F12</f>
        <v>ATK</v>
      </c>
      <c r="D31" s="0" t="n">
        <f aca="false">Kunci_Jawaban!G12</f>
        <v>466</v>
      </c>
      <c r="E31" s="16"/>
      <c r="F31" s="16"/>
      <c r="G31" s="16"/>
      <c r="H31" s="16"/>
    </row>
    <row r="32" customFormat="false" ht="15" hidden="false" customHeight="false" outlineLevel="0" collapsed="false">
      <c r="A32" s="0" t="str">
        <f aca="false">Kunci_Jawaban!A13</f>
        <v>PO-2024-0012</v>
      </c>
      <c r="B32" s="0" t="str">
        <f aca="false">Kunci_Jawaban!C13</f>
        <v>CV Sinar Terang</v>
      </c>
      <c r="C32" s="0" t="str">
        <f aca="false">Kunci_Jawaban!F13</f>
        <v>Sparepart Mesin</v>
      </c>
      <c r="D32" s="0" t="n">
        <f aca="false">Kunci_Jawaban!G13</f>
        <v>76</v>
      </c>
      <c r="E32" s="16"/>
      <c r="F32" s="16"/>
      <c r="G32" s="16"/>
      <c r="H32" s="16"/>
    </row>
    <row r="33" customFormat="false" ht="15" hidden="false" customHeight="false" outlineLevel="0" collapsed="false">
      <c r="A33" s="0" t="str">
        <f aca="false">Kunci_Jawaban!A14</f>
        <v>PO-2024-0013</v>
      </c>
      <c r="B33" s="0" t="str">
        <f aca="false">Kunci_Jawaban!C14</f>
        <v>PT Baja Perkasa</v>
      </c>
      <c r="C33" s="0" t="str">
        <f aca="false">Kunci_Jawaban!F14</f>
        <v>ATK</v>
      </c>
      <c r="D33" s="0" t="n">
        <f aca="false">Kunci_Jawaban!G14</f>
        <v>158</v>
      </c>
      <c r="E33" s="16"/>
      <c r="F33" s="16"/>
      <c r="G33" s="16"/>
      <c r="H33" s="16"/>
    </row>
    <row r="34" customFormat="false" ht="15" hidden="false" customHeight="false" outlineLevel="0" collapsed="false">
      <c r="A34" s="0" t="str">
        <f aca="false">Kunci_Jawaban!A15</f>
        <v>PO-2024-0014</v>
      </c>
      <c r="B34" s="0" t="str">
        <f aca="false">Kunci_Jawaban!C15</f>
        <v>CV Mitra Logistik</v>
      </c>
      <c r="C34" s="0" t="str">
        <f aca="false">Kunci_Jawaban!F15</f>
        <v>Consumables</v>
      </c>
      <c r="D34" s="0" t="n">
        <f aca="false">Kunci_Jawaban!G15</f>
        <v>320</v>
      </c>
      <c r="E34" s="16"/>
      <c r="F34" s="16"/>
      <c r="G34" s="16"/>
      <c r="H34" s="16"/>
    </row>
    <row r="35" customFormat="false" ht="15" hidden="false" customHeight="false" outlineLevel="0" collapsed="false">
      <c r="A35" s="0" t="str">
        <f aca="false">Kunci_Jawaban!A16</f>
        <v>PO-2024-0015</v>
      </c>
      <c r="B35" s="0" t="str">
        <f aca="false">Kunci_Jawaban!C16</f>
        <v>CV Anugrah Teknik</v>
      </c>
      <c r="C35" s="0" t="str">
        <f aca="false">Kunci_Jawaban!F16</f>
        <v>Bahan Kemasan</v>
      </c>
      <c r="D35" s="0" t="n">
        <f aca="false">Kunci_Jawaban!G16</f>
        <v>416</v>
      </c>
      <c r="E35" s="16"/>
      <c r="F35" s="16"/>
      <c r="G35" s="16"/>
      <c r="H35" s="16"/>
    </row>
    <row r="36" customFormat="false" ht="15" hidden="false" customHeight="false" outlineLevel="0" collapsed="false">
      <c r="A36" s="0" t="str">
        <f aca="false">Kunci_Jawaban!A17</f>
        <v>PO-2024-0016</v>
      </c>
      <c r="B36" s="0" t="str">
        <f aca="false">Kunci_Jawaban!C17</f>
        <v>PT Indo Chemical</v>
      </c>
      <c r="C36" s="0" t="str">
        <f aca="false">Kunci_Jawaban!F17</f>
        <v>Bahan Kimia</v>
      </c>
      <c r="D36" s="0" t="n">
        <f aca="false">Kunci_Jawaban!G17</f>
        <v>165</v>
      </c>
      <c r="E36" s="16"/>
      <c r="F36" s="16"/>
      <c r="G36" s="16"/>
      <c r="H36" s="16"/>
    </row>
    <row r="37" customFormat="false" ht="15" hidden="false" customHeight="false" outlineLevel="0" collapsed="false">
      <c r="A37" s="0" t="str">
        <f aca="false">Kunci_Jawaban!A18</f>
        <v>PO-2024-0017</v>
      </c>
      <c r="B37" s="0" t="str">
        <f aca="false">Kunci_Jawaban!C18</f>
        <v>PT Global Packaging</v>
      </c>
      <c r="C37" s="0" t="str">
        <f aca="false">Kunci_Jawaban!F18</f>
        <v>Bahan Kimia</v>
      </c>
      <c r="D37" s="0" t="n">
        <f aca="false">Kunci_Jawaban!G18</f>
        <v>197</v>
      </c>
      <c r="E37" s="16"/>
      <c r="F37" s="16"/>
      <c r="G37" s="16"/>
      <c r="H37" s="16"/>
    </row>
    <row r="38" customFormat="false" ht="15" hidden="false" customHeight="false" outlineLevel="0" collapsed="false">
      <c r="A38" s="0" t="str">
        <f aca="false">Kunci_Jawaban!A19</f>
        <v>PO-2024-0018</v>
      </c>
      <c r="B38" s="0" t="str">
        <f aca="false">Kunci_Jawaban!C19</f>
        <v>CV Sentosa Jaya</v>
      </c>
      <c r="C38" s="0" t="str">
        <f aca="false">Kunci_Jawaban!F19</f>
        <v>Bahan Kimia</v>
      </c>
      <c r="D38" s="0" t="n">
        <f aca="false">Kunci_Jawaban!G19</f>
        <v>284</v>
      </c>
      <c r="E38" s="16"/>
      <c r="F38" s="16"/>
      <c r="G38" s="16"/>
      <c r="H38" s="16"/>
    </row>
    <row r="39" customFormat="false" ht="15" hidden="false" customHeight="false" outlineLevel="0" collapsed="false">
      <c r="A39" s="0" t="str">
        <f aca="false">Kunci_Jawaban!A20</f>
        <v>PO-2024-0019</v>
      </c>
      <c r="B39" s="0" t="str">
        <f aca="false">Kunci_Jawaban!C20</f>
        <v>PT Global Packaging</v>
      </c>
      <c r="C39" s="0" t="str">
        <f aca="false">Kunci_Jawaban!F20</f>
        <v>Consumables</v>
      </c>
      <c r="D39" s="0" t="n">
        <f aca="false">Kunci_Jawaban!G20</f>
        <v>413</v>
      </c>
      <c r="E39" s="16"/>
      <c r="F39" s="16"/>
      <c r="G39" s="16"/>
      <c r="H39" s="16"/>
    </row>
    <row r="40" customFormat="false" ht="15" hidden="false" customHeight="false" outlineLevel="0" collapsed="false">
      <c r="A40" s="0" t="str">
        <f aca="false">Kunci_Jawaban!A21</f>
        <v>PO-2024-0020</v>
      </c>
      <c r="B40" s="0" t="str">
        <f aca="false">Kunci_Jawaban!C21</f>
        <v>PT Global Packaging</v>
      </c>
      <c r="C40" s="0" t="str">
        <f aca="false">Kunci_Jawaban!F21</f>
        <v>Sparepart Mesin</v>
      </c>
      <c r="D40" s="0" t="n">
        <f aca="false">Kunci_Jawaban!G21</f>
        <v>134</v>
      </c>
      <c r="E40" s="16"/>
      <c r="F40" s="16"/>
      <c r="G40" s="16"/>
      <c r="H40" s="16"/>
    </row>
    <row r="41" customFormat="false" ht="15" hidden="false" customHeight="false" outlineLevel="0" collapsed="false">
      <c r="A41" s="0" t="str">
        <f aca="false">Kunci_Jawaban!A22</f>
        <v>PO-2024-0021</v>
      </c>
      <c r="B41" s="0" t="str">
        <f aca="false">Kunci_Jawaban!C22</f>
        <v>PT Global Packaging</v>
      </c>
      <c r="C41" s="0" t="str">
        <f aca="false">Kunci_Jawaban!F22</f>
        <v>Bahan Kimia</v>
      </c>
      <c r="D41" s="0" t="n">
        <f aca="false">Kunci_Jawaban!G22</f>
        <v>210</v>
      </c>
      <c r="E41" s="16"/>
      <c r="F41" s="16"/>
      <c r="G41" s="16"/>
      <c r="H41" s="16"/>
    </row>
    <row r="42" customFormat="false" ht="15" hidden="false" customHeight="false" outlineLevel="0" collapsed="false">
      <c r="A42" s="0" t="str">
        <f aca="false">Kunci_Jawaban!A23</f>
        <v>PO-2024-0022</v>
      </c>
      <c r="B42" s="0" t="str">
        <f aca="false">Kunci_Jawaban!C23</f>
        <v>PT Indo Chemical</v>
      </c>
      <c r="C42" s="0" t="str">
        <f aca="false">Kunci_Jawaban!F23</f>
        <v>Consumables</v>
      </c>
      <c r="D42" s="0" t="n">
        <f aca="false">Kunci_Jawaban!G23</f>
        <v>331</v>
      </c>
      <c r="E42" s="16"/>
      <c r="F42" s="16"/>
      <c r="G42" s="16"/>
      <c r="H42" s="16"/>
    </row>
    <row r="43" customFormat="false" ht="15" hidden="false" customHeight="false" outlineLevel="0" collapsed="false">
      <c r="A43" s="0" t="str">
        <f aca="false">Kunci_Jawaban!A24</f>
        <v>PO-2024-0023</v>
      </c>
      <c r="B43" s="0" t="str">
        <f aca="false">Kunci_Jawaban!C24</f>
        <v>PT Mega Sparepart</v>
      </c>
      <c r="C43" s="0" t="str">
        <f aca="false">Kunci_Jawaban!F24</f>
        <v>Bahan Baku</v>
      </c>
      <c r="D43" s="0" t="n">
        <f aca="false">Kunci_Jawaban!G24</f>
        <v>351</v>
      </c>
      <c r="E43" s="16"/>
      <c r="F43" s="16"/>
      <c r="G43" s="16"/>
      <c r="H43" s="16"/>
    </row>
    <row r="44" customFormat="false" ht="15" hidden="false" customHeight="false" outlineLevel="0" collapsed="false">
      <c r="A44" s="0" t="str">
        <f aca="false">Kunci_Jawaban!A25</f>
        <v>PO-2024-0024</v>
      </c>
      <c r="B44" s="0" t="str">
        <f aca="false">Kunci_Jawaban!C25</f>
        <v>CV Sentosa Jaya</v>
      </c>
      <c r="C44" s="0" t="str">
        <f aca="false">Kunci_Jawaban!F25</f>
        <v>Bahan Baku</v>
      </c>
      <c r="D44" s="0" t="n">
        <f aca="false">Kunci_Jawaban!G25</f>
        <v>118</v>
      </c>
      <c r="E44" s="16"/>
      <c r="F44" s="16"/>
      <c r="G44" s="16"/>
      <c r="H44" s="16"/>
    </row>
    <row r="45" customFormat="false" ht="15" hidden="false" customHeight="false" outlineLevel="0" collapsed="false">
      <c r="A45" s="0" t="str">
        <f aca="false">Kunci_Jawaban!A26</f>
        <v>PO-2024-0025</v>
      </c>
      <c r="B45" s="0" t="str">
        <f aca="false">Kunci_Jawaban!C26</f>
        <v>PT Mega Sparepart</v>
      </c>
      <c r="C45" s="0" t="str">
        <f aca="false">Kunci_Jawaban!F26</f>
        <v>Sparepart Mesin</v>
      </c>
      <c r="D45" s="0" t="n">
        <f aca="false">Kunci_Jawaban!G26</f>
        <v>205</v>
      </c>
      <c r="E45" s="16"/>
      <c r="F45" s="16"/>
      <c r="G45" s="16"/>
      <c r="H45" s="16"/>
    </row>
    <row r="46" customFormat="false" ht="15" hidden="false" customHeight="false" outlineLevel="0" collapsed="false">
      <c r="A46" s="0" t="str">
        <f aca="false">Kunci_Jawaban!A27</f>
        <v>PO-2024-0026</v>
      </c>
      <c r="B46" s="0" t="str">
        <f aca="false">Kunci_Jawaban!C27</f>
        <v>CV Sinar Terang</v>
      </c>
      <c r="C46" s="0" t="str">
        <f aca="false">Kunci_Jawaban!F27</f>
        <v>Sparepart Mesin</v>
      </c>
      <c r="D46" s="0" t="n">
        <f aca="false">Kunci_Jawaban!G27</f>
        <v>252</v>
      </c>
      <c r="E46" s="16"/>
      <c r="F46" s="16"/>
      <c r="G46" s="16"/>
      <c r="H46" s="16"/>
    </row>
    <row r="47" customFormat="false" ht="15" hidden="false" customHeight="false" outlineLevel="0" collapsed="false">
      <c r="A47" s="0" t="str">
        <f aca="false">Kunci_Jawaban!A28</f>
        <v>PO-2024-0027</v>
      </c>
      <c r="B47" s="0" t="str">
        <f aca="false">Kunci_Jawaban!C28</f>
        <v>PT Indo Chemical</v>
      </c>
      <c r="C47" s="0" t="str">
        <f aca="false">Kunci_Jawaban!F28</f>
        <v>Bahan Kemasan</v>
      </c>
      <c r="D47" s="0" t="n">
        <f aca="false">Kunci_Jawaban!G28</f>
        <v>406</v>
      </c>
      <c r="E47" s="16"/>
      <c r="F47" s="16"/>
      <c r="G47" s="16"/>
      <c r="H47" s="16"/>
    </row>
    <row r="48" customFormat="false" ht="15" hidden="false" customHeight="false" outlineLevel="0" collapsed="false">
      <c r="A48" s="0" t="str">
        <f aca="false">Kunci_Jawaban!A29</f>
        <v>PO-2024-0028</v>
      </c>
      <c r="B48" s="0" t="str">
        <f aca="false">Kunci_Jawaban!C29</f>
        <v>PT Global Packaging</v>
      </c>
      <c r="C48" s="0" t="str">
        <f aca="false">Kunci_Jawaban!F29</f>
        <v>Consumables</v>
      </c>
      <c r="D48" s="0" t="n">
        <f aca="false">Kunci_Jawaban!G29</f>
        <v>39</v>
      </c>
      <c r="E48" s="16"/>
      <c r="F48" s="16"/>
      <c r="G48" s="16"/>
      <c r="H48" s="16"/>
    </row>
    <row r="49" customFormat="false" ht="15" hidden="false" customHeight="false" outlineLevel="0" collapsed="false">
      <c r="A49" s="0" t="str">
        <f aca="false">Kunci_Jawaban!A30</f>
        <v>PO-2024-0029</v>
      </c>
      <c r="B49" s="0" t="str">
        <f aca="false">Kunci_Jawaban!C30</f>
        <v>CV Sentosa Jaya</v>
      </c>
      <c r="C49" s="0" t="str">
        <f aca="false">Kunci_Jawaban!F30</f>
        <v>Consumables</v>
      </c>
      <c r="D49" s="0" t="n">
        <f aca="false">Kunci_Jawaban!G30</f>
        <v>129</v>
      </c>
      <c r="E49" s="16"/>
      <c r="F49" s="16"/>
      <c r="G49" s="16"/>
      <c r="H49" s="16"/>
    </row>
    <row r="50" customFormat="false" ht="15" hidden="false" customHeight="false" outlineLevel="0" collapsed="false">
      <c r="A50" s="0" t="str">
        <f aca="false">Kunci_Jawaban!A31</f>
        <v>PO-2024-0030</v>
      </c>
      <c r="B50" s="0" t="str">
        <f aca="false">Kunci_Jawaban!C31</f>
        <v>CV Anugrah Teknik</v>
      </c>
      <c r="C50" s="0" t="str">
        <f aca="false">Kunci_Jawaban!F31</f>
        <v>ATK</v>
      </c>
      <c r="D50" s="0" t="n">
        <f aca="false">Kunci_Jawaban!G31</f>
        <v>212</v>
      </c>
      <c r="E50" s="16"/>
      <c r="F50" s="16"/>
      <c r="G50" s="16"/>
      <c r="H50" s="16"/>
    </row>
    <row r="53" customFormat="false" ht="45" hidden="false" customHeight="true" outlineLevel="0" collapsed="false">
      <c r="A53" s="18" t="s">
        <v>797</v>
      </c>
      <c r="B53" s="18"/>
      <c r="C53" s="18"/>
      <c r="D53" s="18"/>
      <c r="E53" s="18"/>
      <c r="F53" s="18"/>
      <c r="G53" s="18"/>
      <c r="H53" s="18"/>
    </row>
  </sheetData>
  <mergeCells count="1">
    <mergeCell ref="A53:H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2026-08-17T07:04:05Z</dcterms:created>
  <dc:creator>openpyxl</dc:creator>
  <dc:description/>
  <dc:language>en-US</dc:language>
  <cp:lastModifiedBy/>
  <dcterms:modified xsi:type="dcterms:W3CDTF">2026-08-17T07:04:06Z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